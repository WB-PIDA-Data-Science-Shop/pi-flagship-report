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https://worldbankgroup-my.sharepoint.com/personal/rgranguillhomeoc_worldbank_org/Documents/RGO/ETIMT/GOV/PMR/Update/"/>
    </mc:Choice>
  </mc:AlternateContent>
  <xr:revisionPtr revIDLastSave="90" documentId="13_ncr:1_{8A75D107-C5C2-4635-A145-587F48F9271D}" xr6:coauthVersionLast="47" xr6:coauthVersionMax="47" xr10:uidLastSave="{B4A0132E-1DDE-47C4-83F5-A3D7CBCAF579}"/>
  <bookViews>
    <workbookView xWindow="28680" yWindow="-120" windowWidth="29040" windowHeight="15720" xr2:uid="{00000000-000D-0000-FFFF-FFFF00000000}"/>
  </bookViews>
  <sheets>
    <sheet name="PMR_Sector_Network_2023-24_ v2" sheetId="29" r:id="rId1"/>
    <sheet name="PMR_Sector_Network_2023-24_clea" sheetId="27" r:id="rId2"/>
    <sheet name="Clean_sector" sheetId="28" r:id="rId3"/>
    <sheet name="Introduction to this file" sheetId="19" r:id="rId4"/>
    <sheet name="Sector PMR_2023-24 structure" sheetId="11" r:id="rId5"/>
    <sheet name="PMR_Sector_Network_2023-24 " sheetId="22" r:id="rId6"/>
    <sheet name="PMR_Sector_Network_2018" sheetId="5" r:id="rId7"/>
    <sheet name="PMR_Sector_TradProf_2023-24" sheetId="17" r:id="rId8"/>
    <sheet name="PMR_Sector_TradProf_2018" sheetId="23" r:id="rId9"/>
    <sheet name="PMR_Digital Mkts__2023-24+2018" sheetId="15" r:id="rId10"/>
    <sheet name="2018 oldMethod_Sector_structure" sheetId="24" r:id="rId11"/>
    <sheet name="old2018_Sector_Networks" sheetId="25" r:id="rId12"/>
    <sheet name="old2018_Sector_TradeProf" sheetId="26" r:id="rId13"/>
  </sheets>
  <externalReferences>
    <externalReference r:id="rId14"/>
  </externalReferences>
  <definedNames>
    <definedName name="_xlnm.Print_Area" localSheetId="11">old2018_Sector_Networks!$A$6:$AE$24</definedName>
    <definedName name="_xlnm.Print_Area" localSheetId="12">old2018_Sector_TradeProf!#REF!</definedName>
    <definedName name="_xlnm.Print_Area" localSheetId="6">PMR_Sector_Network_2018!$B$2:$S$60</definedName>
    <definedName name="_xlnm.Print_Area" localSheetId="5">'PMR_Sector_Network_2023-24 '!$B$2:$S$61</definedName>
    <definedName name="_xlnm.Print_Area" localSheetId="0">'PMR_Sector_Network_2023-24_ v2'!$B$1:$T$52</definedName>
    <definedName name="_xlnm.Print_Area" localSheetId="1">'PMR_Sector_Network_2023-24_clea'!$B$1:$T$52</definedName>
    <definedName name="_xlnm.Print_Area" localSheetId="8">PMR_Sector_TradProf_2018!#REF!</definedName>
    <definedName name="_xlnm.Print_Area" localSheetId="7">'PMR_Sector_TradProf_2023-24'!#REF!</definedName>
    <definedName name="_xlnm.Print_Titles" localSheetId="11">old2018_Sector_Networks!$A:$A</definedName>
    <definedName name="_xlnm.Print_Titles" localSheetId="12">old2018_Sector_TradeProf!$C:$C</definedName>
    <definedName name="_xlnm.Print_Titles" localSheetId="6">PMR_Sector_Network_2018!$B:$B</definedName>
    <definedName name="_xlnm.Print_Titles" localSheetId="5">'PMR_Sector_Network_2023-24 '!$B:$B</definedName>
    <definedName name="_xlnm.Print_Titles" localSheetId="0">'PMR_Sector_Network_2023-24_ v2'!$B:$B</definedName>
    <definedName name="_xlnm.Print_Titles" localSheetId="1">'PMR_Sector_Network_2023-24_clea'!$B:$B</definedName>
    <definedName name="_xlnm.Print_Titles" localSheetId="8">PMR_Sector_TradProf_2018!$B:$B</definedName>
    <definedName name="_xlnm.Print_Titles" localSheetId="7">'PMR_Sector_TradProf_2023-24'!$B:$B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4" i="29" l="1"/>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96" i="29"/>
  <c r="D97" i="29"/>
  <c r="D98" i="29"/>
  <c r="D99" i="29"/>
  <c r="D100" i="29"/>
  <c r="D101" i="29"/>
  <c r="D102" i="29"/>
  <c r="D103" i="29"/>
  <c r="D104" i="29"/>
  <c r="D105" i="29"/>
  <c r="D106" i="29"/>
  <c r="D107" i="29"/>
  <c r="D108" i="29"/>
  <c r="D109" i="29"/>
  <c r="D110" i="29"/>
  <c r="D111" i="29"/>
  <c r="D112" i="29"/>
  <c r="F112" i="29"/>
  <c r="F111" i="29"/>
  <c r="F110" i="29"/>
  <c r="F109" i="29"/>
  <c r="F108" i="29"/>
  <c r="F107" i="29"/>
  <c r="F106" i="29"/>
  <c r="F105" i="29"/>
  <c r="F104" i="29"/>
  <c r="F103" i="29"/>
  <c r="F102" i="29"/>
  <c r="F101" i="29"/>
  <c r="F100" i="29"/>
  <c r="F99" i="29"/>
  <c r="F98" i="29"/>
  <c r="F97" i="29"/>
  <c r="F96" i="29"/>
  <c r="F95" i="29"/>
  <c r="F94" i="29"/>
  <c r="F93" i="29"/>
  <c r="F92" i="29"/>
  <c r="F91" i="29"/>
  <c r="F90" i="29"/>
  <c r="F89" i="29"/>
  <c r="F88" i="29"/>
  <c r="F87" i="29"/>
  <c r="F86" i="29"/>
  <c r="F85" i="29"/>
  <c r="F84" i="29"/>
  <c r="F83" i="29"/>
  <c r="F82" i="29"/>
  <c r="F81" i="29"/>
  <c r="F80" i="29"/>
  <c r="F79" i="29"/>
  <c r="F78" i="29"/>
  <c r="F77" i="29"/>
  <c r="F76" i="29"/>
  <c r="F75" i="29"/>
  <c r="F74" i="29"/>
  <c r="F73" i="29"/>
  <c r="F72" i="29"/>
  <c r="F71" i="29"/>
  <c r="F70" i="29"/>
  <c r="F69" i="29"/>
  <c r="F68" i="29"/>
  <c r="F67" i="29"/>
  <c r="F66" i="29"/>
  <c r="F65" i="29"/>
  <c r="F64" i="29"/>
  <c r="F63" i="29"/>
  <c r="D63" i="29"/>
  <c r="F62" i="29"/>
  <c r="D62" i="29"/>
  <c r="F61" i="29"/>
  <c r="D61" i="29"/>
  <c r="D60" i="29"/>
  <c r="F59" i="29"/>
  <c r="D59" i="29"/>
  <c r="F58" i="29"/>
  <c r="D58" i="29"/>
  <c r="F57" i="29"/>
  <c r="D57" i="29"/>
  <c r="F56" i="29"/>
  <c r="D56" i="29"/>
  <c r="D55" i="29"/>
  <c r="F54" i="29"/>
  <c r="D54" i="29"/>
  <c r="F53" i="29"/>
  <c r="D53" i="29"/>
  <c r="F52" i="29"/>
  <c r="D52" i="29"/>
  <c r="F51" i="29"/>
  <c r="D51" i="29"/>
  <c r="F50" i="29"/>
  <c r="D50" i="29"/>
  <c r="F49" i="29"/>
  <c r="D49" i="29"/>
  <c r="F48" i="29"/>
  <c r="D48" i="29"/>
  <c r="F47" i="29"/>
  <c r="D47" i="29"/>
  <c r="F46" i="29"/>
  <c r="D46" i="29"/>
  <c r="F45" i="29"/>
  <c r="D45" i="29"/>
  <c r="F44" i="29"/>
  <c r="D44" i="29"/>
  <c r="F43" i="29"/>
  <c r="D43" i="29"/>
  <c r="F42" i="29"/>
  <c r="D42" i="29"/>
  <c r="F41" i="29"/>
  <c r="D41" i="29"/>
  <c r="F40" i="29"/>
  <c r="D40" i="29"/>
  <c r="F39" i="29"/>
  <c r="D39" i="29"/>
  <c r="F38" i="29"/>
  <c r="D38" i="29"/>
  <c r="F37" i="29"/>
  <c r="D37" i="29"/>
  <c r="F36" i="29"/>
  <c r="D36" i="29"/>
  <c r="F35" i="29"/>
  <c r="D35" i="29"/>
  <c r="F34" i="29"/>
  <c r="D34" i="29"/>
  <c r="F33" i="29"/>
  <c r="D33" i="29"/>
  <c r="F32" i="29"/>
  <c r="D32" i="29"/>
  <c r="F31" i="29"/>
  <c r="D31" i="29"/>
  <c r="F30" i="29"/>
  <c r="D30" i="29"/>
  <c r="F29" i="29"/>
  <c r="D29" i="29"/>
  <c r="F28" i="29"/>
  <c r="D28" i="29"/>
  <c r="F27" i="29"/>
  <c r="D27" i="29"/>
  <c r="F26" i="29"/>
  <c r="D26" i="29"/>
  <c r="F25" i="29"/>
  <c r="D25" i="29"/>
  <c r="F24" i="29"/>
  <c r="D24" i="29"/>
  <c r="F23" i="29"/>
  <c r="D23" i="29"/>
  <c r="F22" i="29"/>
  <c r="D22" i="29"/>
  <c r="F21" i="29"/>
  <c r="D21" i="29"/>
  <c r="F20" i="29"/>
  <c r="D20" i="29"/>
  <c r="F19" i="29"/>
  <c r="D19" i="29"/>
  <c r="F18" i="29"/>
  <c r="D18" i="29"/>
  <c r="F17" i="29"/>
  <c r="D17" i="29"/>
  <c r="F16" i="29"/>
  <c r="D16" i="29"/>
  <c r="F15" i="29"/>
  <c r="D15" i="29"/>
  <c r="F14" i="29"/>
  <c r="D14" i="29"/>
  <c r="F13" i="29"/>
  <c r="D13" i="29"/>
  <c r="F12" i="29"/>
  <c r="D12" i="29"/>
  <c r="F11" i="29"/>
  <c r="D11" i="29"/>
  <c r="F10" i="29"/>
  <c r="D10" i="29"/>
  <c r="F9" i="29"/>
  <c r="D9" i="29"/>
  <c r="F8" i="29"/>
  <c r="D8" i="29"/>
  <c r="F7" i="29"/>
  <c r="D7" i="29"/>
  <c r="F6" i="29"/>
  <c r="D6" i="29"/>
  <c r="F5" i="29"/>
  <c r="D5" i="29"/>
  <c r="F4" i="29"/>
  <c r="D4" i="29"/>
  <c r="F3" i="29"/>
  <c r="D3" i="29"/>
  <c r="F2" i="29"/>
  <c r="D2" i="29"/>
  <c r="D56" i="27"/>
  <c r="D63" i="27"/>
  <c r="D62" i="27"/>
  <c r="D61" i="27"/>
  <c r="D60" i="27"/>
  <c r="D59" i="27"/>
  <c r="D58" i="27"/>
  <c r="D57" i="27"/>
  <c r="D55" i="27"/>
  <c r="D54" i="27"/>
  <c r="D53" i="27"/>
  <c r="F63" i="27"/>
  <c r="F62" i="27"/>
  <c r="F61" i="27"/>
  <c r="F59" i="27"/>
  <c r="F58" i="27"/>
  <c r="F57" i="27"/>
  <c r="F56" i="27"/>
  <c r="F54" i="27"/>
  <c r="F53" i="27"/>
  <c r="D40" i="27"/>
  <c r="D41" i="27"/>
  <c r="D42" i="27"/>
  <c r="D43" i="27"/>
  <c r="D44" i="27"/>
  <c r="D45" i="27"/>
  <c r="D46" i="27"/>
  <c r="D47" i="27"/>
  <c r="D48" i="27"/>
  <c r="D49" i="27"/>
  <c r="D50" i="27"/>
  <c r="D51" i="27"/>
  <c r="D52" i="27"/>
  <c r="D3" i="27"/>
  <c r="D4" i="27"/>
  <c r="D5" i="27"/>
  <c r="D6" i="27"/>
  <c r="D7" i="27"/>
  <c r="D8" i="27"/>
  <c r="D9" i="27"/>
  <c r="D10" i="27"/>
  <c r="D11" i="27"/>
  <c r="D12" i="27"/>
  <c r="D13" i="27"/>
  <c r="D14" i="27"/>
  <c r="D15" i="27"/>
  <c r="D16" i="27"/>
  <c r="D17" i="27"/>
  <c r="D18" i="27"/>
  <c r="D19" i="27"/>
  <c r="D20" i="27"/>
  <c r="D21" i="27"/>
  <c r="D22" i="27"/>
  <c r="D23" i="27"/>
  <c r="D24" i="27"/>
  <c r="D25" i="27"/>
  <c r="D26" i="27"/>
  <c r="D27" i="27"/>
  <c r="D28" i="27"/>
  <c r="D29" i="27"/>
  <c r="D30" i="27"/>
  <c r="D31" i="27"/>
  <c r="D32" i="27"/>
  <c r="D33" i="27"/>
  <c r="D34" i="27"/>
  <c r="D35" i="27"/>
  <c r="D36" i="27"/>
  <c r="D37" i="27"/>
  <c r="D38" i="27"/>
  <c r="D39" i="27"/>
  <c r="D2" i="27"/>
  <c r="F52" i="27"/>
  <c r="F51" i="27"/>
  <c r="F50" i="27"/>
  <c r="F49" i="27"/>
  <c r="F48" i="27"/>
  <c r="F47" i="27"/>
  <c r="F46" i="27"/>
  <c r="F45" i="27"/>
  <c r="F44" i="27"/>
  <c r="F43" i="27"/>
  <c r="F42" i="27"/>
  <c r="F41" i="27"/>
  <c r="F40" i="27"/>
  <c r="F39" i="27"/>
  <c r="F38" i="27"/>
  <c r="F37" i="27"/>
  <c r="F36" i="27"/>
  <c r="F35" i="27"/>
  <c r="F34" i="27"/>
  <c r="F33" i="27"/>
  <c r="F32" i="27"/>
  <c r="F31" i="27"/>
  <c r="F30" i="27"/>
  <c r="F29" i="27"/>
  <c r="F28" i="27"/>
  <c r="F27" i="27"/>
  <c r="F26" i="27"/>
  <c r="F25" i="27"/>
  <c r="F24" i="27"/>
  <c r="F23" i="27"/>
  <c r="F22" i="27"/>
  <c r="F21" i="27"/>
  <c r="F20" i="27"/>
  <c r="F19" i="27"/>
  <c r="F18" i="27"/>
  <c r="F17" i="27"/>
  <c r="F16" i="27"/>
  <c r="F15" i="27"/>
  <c r="F14" i="27"/>
  <c r="F13" i="27"/>
  <c r="F12" i="27"/>
  <c r="F11" i="27"/>
  <c r="F10" i="27"/>
  <c r="F9" i="27"/>
  <c r="F8" i="27"/>
  <c r="F7" i="27"/>
  <c r="F6" i="27"/>
  <c r="F5" i="27"/>
  <c r="F4" i="27"/>
  <c r="F3" i="27"/>
  <c r="F2" i="27"/>
  <c r="E55" i="22" l="1"/>
  <c r="E57" i="22" l="1"/>
  <c r="E51" i="22"/>
  <c r="E45" i="22"/>
  <c r="E54" i="5"/>
  <c r="E53" i="5"/>
  <c r="E53" i="22"/>
  <c r="E54" i="22"/>
  <c r="E45" i="5"/>
  <c r="E52" i="22" l="1"/>
  <c r="K64" i="15" l="1"/>
  <c r="K63" i="15"/>
  <c r="O64" i="15"/>
  <c r="O63" i="15"/>
  <c r="N62" i="15"/>
  <c r="N63" i="15"/>
  <c r="N64" i="15"/>
  <c r="M63" i="15"/>
  <c r="M64" i="15"/>
  <c r="P62" i="15"/>
  <c r="P64" i="15"/>
  <c r="P63" i="15"/>
  <c r="L62" i="15"/>
  <c r="L64" i="15"/>
  <c r="L63" i="15"/>
  <c r="M62" i="15"/>
  <c r="K62" i="15"/>
  <c r="O62" i="15"/>
  <c r="E17" i="25" l="1"/>
  <c r="E16" i="25"/>
  <c r="E15" i="25"/>
  <c r="E13" i="25"/>
  <c r="E12" i="25"/>
  <c r="E11" i="25"/>
  <c r="E10" i="25"/>
  <c r="E8" i="25"/>
  <c r="E7" i="25"/>
  <c r="K59" i="23" l="1"/>
  <c r="F59" i="23"/>
  <c r="I60" i="23"/>
  <c r="G60" i="23"/>
  <c r="L60" i="23"/>
  <c r="J58" i="23"/>
  <c r="H58" i="23"/>
  <c r="L58" i="23"/>
  <c r="E59" i="23"/>
  <c r="E58" i="23"/>
  <c r="I59" i="23"/>
  <c r="F58" i="23"/>
  <c r="J60" i="23"/>
  <c r="K58" i="23"/>
  <c r="G59" i="23"/>
  <c r="L59" i="23"/>
  <c r="H60" i="23"/>
  <c r="I58" i="23"/>
  <c r="E60" i="23"/>
  <c r="J59" i="23"/>
  <c r="F60" i="23"/>
  <c r="G58" i="23"/>
  <c r="K60" i="23"/>
  <c r="H59" i="23"/>
  <c r="E50" i="22"/>
  <c r="E36" i="22"/>
  <c r="E40" i="22"/>
  <c r="E46" i="22"/>
  <c r="E42" i="22"/>
  <c r="E48" i="22"/>
  <c r="E32" i="22"/>
  <c r="E6" i="22"/>
  <c r="E18" i="22"/>
  <c r="E39" i="22"/>
  <c r="E7" i="22"/>
  <c r="E12" i="22"/>
  <c r="E19" i="22"/>
  <c r="E23" i="22"/>
  <c r="E24" i="22"/>
  <c r="G61" i="22"/>
  <c r="E8" i="22"/>
  <c r="E25" i="22"/>
  <c r="E29" i="22"/>
  <c r="E30" i="22"/>
  <c r="E9" i="22"/>
  <c r="E10" i="22"/>
  <c r="E14" i="22"/>
  <c r="E21" i="22"/>
  <c r="E31" i="22"/>
  <c r="E35" i="22"/>
  <c r="E56" i="22"/>
  <c r="P59" i="22"/>
  <c r="F60" i="22"/>
  <c r="G60" i="22"/>
  <c r="J61" i="22"/>
  <c r="H61" i="22"/>
  <c r="E22" i="22"/>
  <c r="I61" i="22"/>
  <c r="O59" i="22"/>
  <c r="E26" i="22"/>
  <c r="E33" i="22"/>
  <c r="E43" i="22"/>
  <c r="E49" i="22"/>
  <c r="J59" i="22"/>
  <c r="E13" i="22"/>
  <c r="E17" i="22"/>
  <c r="E34" i="22"/>
  <c r="K59" i="22"/>
  <c r="E38" i="22"/>
  <c r="E47" i="22"/>
  <c r="L59" i="22"/>
  <c r="E15" i="22"/>
  <c r="M59" i="22"/>
  <c r="E16" i="22"/>
  <c r="N59" i="22"/>
  <c r="E20" i="22"/>
  <c r="E27" i="22"/>
  <c r="E37" i="22"/>
  <c r="E41" i="22"/>
  <c r="O60" i="22"/>
  <c r="E11" i="22"/>
  <c r="E28" i="22"/>
  <c r="F59" i="22"/>
  <c r="H60" i="22"/>
  <c r="G59" i="22"/>
  <c r="I60" i="22"/>
  <c r="K61" i="22"/>
  <c r="H59" i="22"/>
  <c r="J60" i="22"/>
  <c r="L61" i="22"/>
  <c r="I59" i="22"/>
  <c r="K60" i="22"/>
  <c r="M61" i="22"/>
  <c r="L60" i="22"/>
  <c r="N61" i="22"/>
  <c r="M60" i="22"/>
  <c r="O61" i="22"/>
  <c r="N60" i="22"/>
  <c r="P61" i="22"/>
  <c r="P60" i="22"/>
  <c r="F61" i="22"/>
  <c r="E60" i="22" l="1"/>
  <c r="E59" i="22"/>
  <c r="E61" i="22"/>
  <c r="K60" i="17" l="1"/>
  <c r="I61" i="17"/>
  <c r="E62" i="17"/>
  <c r="I60" i="17"/>
  <c r="G61" i="17"/>
  <c r="J62" i="17"/>
  <c r="K62" i="17"/>
  <c r="H62" i="17"/>
  <c r="L60" i="17"/>
  <c r="E60" i="17"/>
  <c r="I62" i="17"/>
  <c r="F62" i="17"/>
  <c r="G60" i="17"/>
  <c r="F60" i="17"/>
  <c r="L61" i="17"/>
  <c r="E61" i="17"/>
  <c r="K61" i="17"/>
  <c r="G62" i="17"/>
  <c r="J61" i="17"/>
  <c r="J60" i="17"/>
  <c r="F61" i="17"/>
  <c r="H60" i="17"/>
  <c r="L62" i="17"/>
  <c r="H61" i="17"/>
  <c r="E31" i="5" l="1"/>
  <c r="E19" i="5" l="1"/>
  <c r="E51" i="5" l="1"/>
  <c r="E52" i="5" l="1"/>
  <c r="E8" i="5" l="1"/>
  <c r="E29" i="5" l="1"/>
  <c r="E49" i="5"/>
  <c r="E47" i="5"/>
  <c r="E42" i="5" l="1"/>
  <c r="E46" i="5" l="1"/>
  <c r="E36" i="5" l="1"/>
  <c r="E10" i="5"/>
  <c r="E12" i="5"/>
  <c r="E15" i="5"/>
  <c r="E43" i="5"/>
  <c r="E23" i="5"/>
  <c r="E55" i="5"/>
  <c r="E9" i="5"/>
  <c r="E25" i="5" l="1"/>
  <c r="E24" i="5"/>
  <c r="E39" i="5"/>
  <c r="E13" i="5"/>
  <c r="E20" i="5"/>
  <c r="E30" i="5"/>
  <c r="P59" i="5"/>
  <c r="E48" i="5"/>
  <c r="E27" i="5"/>
  <c r="L57" i="5"/>
  <c r="O57" i="5"/>
  <c r="J57" i="5"/>
  <c r="I57" i="5"/>
  <c r="E37" i="5"/>
  <c r="E17" i="5"/>
  <c r="I63" i="15"/>
  <c r="E41" i="5"/>
  <c r="E18" i="5"/>
  <c r="E40" i="5"/>
  <c r="E21" i="5"/>
  <c r="E22" i="5"/>
  <c r="O59" i="5"/>
  <c r="H64" i="15"/>
  <c r="J62" i="15"/>
  <c r="F64" i="15"/>
  <c r="G58" i="5"/>
  <c r="E38" i="5"/>
  <c r="H58" i="5"/>
  <c r="E16" i="5"/>
  <c r="E6" i="5"/>
  <c r="P58" i="5"/>
  <c r="E14" i="5"/>
  <c r="J58" i="5"/>
  <c r="J64" i="15"/>
  <c r="P57" i="5"/>
  <c r="E34" i="5"/>
  <c r="J59" i="5"/>
  <c r="E64" i="15"/>
  <c r="K59" i="5"/>
  <c r="I59" i="5"/>
  <c r="E28" i="5"/>
  <c r="F63" i="15"/>
  <c r="I64" i="15"/>
  <c r="M59" i="5"/>
  <c r="I58" i="5"/>
  <c r="H57" i="5"/>
  <c r="N59" i="5"/>
  <c r="E33" i="5"/>
  <c r="L58" i="5"/>
  <c r="N57" i="5"/>
  <c r="G63" i="15"/>
  <c r="F59" i="5"/>
  <c r="G59" i="5"/>
  <c r="E11" i="5"/>
  <c r="E62" i="15"/>
  <c r="H63" i="15"/>
  <c r="E26" i="5"/>
  <c r="G57" i="5"/>
  <c r="N58" i="5"/>
  <c r="O58" i="5"/>
  <c r="E50" i="5"/>
  <c r="E32" i="5"/>
  <c r="H62" i="15"/>
  <c r="H59" i="5"/>
  <c r="F58" i="5"/>
  <c r="J63" i="15"/>
  <c r="M57" i="5"/>
  <c r="K57" i="5"/>
  <c r="E63" i="15"/>
  <c r="F57" i="5"/>
  <c r="M58" i="5"/>
  <c r="E7" i="5"/>
  <c r="K58" i="5"/>
  <c r="E35" i="5"/>
  <c r="G64" i="15"/>
  <c r="L59" i="5"/>
  <c r="F62" i="15"/>
  <c r="G62" i="15"/>
  <c r="I62" i="15"/>
  <c r="E59" i="5" l="1"/>
  <c r="E58" i="5"/>
  <c r="E57" i="5"/>
</calcChain>
</file>

<file path=xl/sharedStrings.xml><?xml version="1.0" encoding="utf-8"?>
<sst xmlns="http://schemas.openxmlformats.org/spreadsheetml/2006/main" count="2016" uniqueCount="302">
  <si>
    <t>Accountants</t>
  </si>
  <si>
    <t>Architects</t>
  </si>
  <si>
    <t>Civil engineers</t>
  </si>
  <si>
    <t>Electricity</t>
  </si>
  <si>
    <t>Natural Gas</t>
  </si>
  <si>
    <t>by Rail</t>
  </si>
  <si>
    <t>by Air</t>
  </si>
  <si>
    <t>by Road</t>
  </si>
  <si>
    <t>by Water</t>
  </si>
  <si>
    <t>Fixed Ecomm.</t>
  </si>
  <si>
    <t>Mobile Ecomm</t>
  </si>
  <si>
    <t>Overall</t>
  </si>
  <si>
    <t>Retail Distribution</t>
  </si>
  <si>
    <t>Lawyers</t>
  </si>
  <si>
    <t>Sectoral Product Market Regulation Indicators</t>
  </si>
  <si>
    <r>
      <t xml:space="preserve">Energy </t>
    </r>
    <r>
      <rPr>
        <sz val="10"/>
        <rFont val="Calibri"/>
        <family val="2"/>
        <scheme val="minor"/>
      </rPr>
      <t>is the simple average of: Electricity and Natural Gas (weights ½)</t>
    </r>
  </si>
  <si>
    <r>
      <t>Transport</t>
    </r>
    <r>
      <rPr>
        <sz val="10"/>
        <rFont val="Calibri"/>
        <family val="2"/>
        <scheme val="minor"/>
      </rPr>
      <t xml:space="preserve"> is the simple average of: Air, Rail, Road and Water (weights ¼)</t>
    </r>
  </si>
  <si>
    <r>
      <t xml:space="preserve">Ecomm. </t>
    </r>
    <r>
      <rPr>
        <sz val="10"/>
        <rFont val="Calibri"/>
        <family val="2"/>
        <scheme val="minor"/>
      </rPr>
      <t>is the simple average of: Fixed Ecomm and Mobile Ecomm (weights ½)</t>
    </r>
  </si>
  <si>
    <t>Croatia</t>
  </si>
  <si>
    <t>Contestability</t>
  </si>
  <si>
    <t>Fair Trade</t>
  </si>
  <si>
    <t>Use and Access to Data</t>
  </si>
  <si>
    <r>
      <t xml:space="preserve">Network Sectors </t>
    </r>
    <r>
      <rPr>
        <sz val="10"/>
        <rFont val="Calibri"/>
        <family val="2"/>
        <scheme val="minor"/>
      </rPr>
      <t>is the simple average of: Energy, Transport , and Ecomm. (weights 1/3)</t>
    </r>
  </si>
  <si>
    <t>Real estate agents</t>
  </si>
  <si>
    <t>Luxembourg</t>
  </si>
  <si>
    <t>Assessing Competition</t>
  </si>
  <si>
    <t>Switzerland</t>
  </si>
  <si>
    <t>Brazil</t>
  </si>
  <si>
    <t>Costa Rica</t>
  </si>
  <si>
    <t>Japan</t>
  </si>
  <si>
    <t>Italy</t>
  </si>
  <si>
    <t>Canada</t>
  </si>
  <si>
    <t>Sweden</t>
  </si>
  <si>
    <t>Korea</t>
  </si>
  <si>
    <t>Estonia</t>
  </si>
  <si>
    <t>New Zealand</t>
  </si>
  <si>
    <t>Lithuania</t>
  </si>
  <si>
    <t>Austria</t>
  </si>
  <si>
    <t>Finland</t>
  </si>
  <si>
    <t>Spain</t>
  </si>
  <si>
    <t>Norway</t>
  </si>
  <si>
    <t>Slovenia</t>
  </si>
  <si>
    <t>Ireland</t>
  </si>
  <si>
    <t>Latvia</t>
  </si>
  <si>
    <t>Poland</t>
  </si>
  <si>
    <t>Iceland</t>
  </si>
  <si>
    <t>Greece</t>
  </si>
  <si>
    <t>Chile</t>
  </si>
  <si>
    <t>France</t>
  </si>
  <si>
    <t>United Kingdom</t>
  </si>
  <si>
    <t>Portugal</t>
  </si>
  <si>
    <t>Germany</t>
  </si>
  <si>
    <t>Türkiye</t>
  </si>
  <si>
    <t>South Africa</t>
  </si>
  <si>
    <t>Denmark</t>
  </si>
  <si>
    <t>1.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</si>
  <si>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Notes:</t>
  </si>
  <si>
    <r>
      <t>Israel</t>
    </r>
    <r>
      <rPr>
        <i/>
        <vertAlign val="superscript"/>
        <sz val="10"/>
        <color theme="1"/>
        <rFont val="Arial"/>
        <family val="2"/>
      </rPr>
      <t>1</t>
    </r>
  </si>
  <si>
    <t xml:space="preserve">Merger Control Regime </t>
  </si>
  <si>
    <t>The 2018 values herein contained replace previous values for 2018 as these are based on the methodology introduced in 2023</t>
  </si>
  <si>
    <t>Czechia</t>
  </si>
  <si>
    <t>Australia</t>
  </si>
  <si>
    <t>AUS</t>
  </si>
  <si>
    <t>CAN</t>
  </si>
  <si>
    <t>CZE</t>
  </si>
  <si>
    <t>EST</t>
  </si>
  <si>
    <t>FIN</t>
  </si>
  <si>
    <t>FRA</t>
  </si>
  <si>
    <t>ISR</t>
  </si>
  <si>
    <t>ITA</t>
  </si>
  <si>
    <t>KOR</t>
  </si>
  <si>
    <t>LUX</t>
  </si>
  <si>
    <t>NOR</t>
  </si>
  <si>
    <t>POL</t>
  </si>
  <si>
    <t>SWE</t>
  </si>
  <si>
    <t>BRA</t>
  </si>
  <si>
    <t>AUT</t>
  </si>
  <si>
    <t>CHL</t>
  </si>
  <si>
    <t>CRI</t>
  </si>
  <si>
    <t>DNK</t>
  </si>
  <si>
    <t>DEU</t>
  </si>
  <si>
    <t>GBR</t>
  </si>
  <si>
    <t>ISL</t>
  </si>
  <si>
    <t>JPN</t>
  </si>
  <si>
    <t>LVA</t>
  </si>
  <si>
    <t>LTU</t>
  </si>
  <si>
    <t>NZL</t>
  </si>
  <si>
    <t>PRT</t>
  </si>
  <si>
    <t>SVN</t>
  </si>
  <si>
    <t>ESP</t>
  </si>
  <si>
    <t>CHE</t>
  </si>
  <si>
    <t>TUR</t>
  </si>
  <si>
    <t>GRC</t>
  </si>
  <si>
    <t>HRV</t>
  </si>
  <si>
    <t>ZAF</t>
  </si>
  <si>
    <t>IRL</t>
  </si>
  <si>
    <t>2023*</t>
  </si>
  <si>
    <t>Colombia</t>
  </si>
  <si>
    <t>COL</t>
  </si>
  <si>
    <t>SVK</t>
  </si>
  <si>
    <t>Slovak Republic</t>
  </si>
  <si>
    <t>Information refers to laws and regulation that were in force on:</t>
  </si>
  <si>
    <t>Bulgaria</t>
  </si>
  <si>
    <t>BGR</t>
  </si>
  <si>
    <t>United States</t>
  </si>
  <si>
    <t>USA</t>
  </si>
  <si>
    <t>CHN</t>
  </si>
  <si>
    <t>2018*</t>
  </si>
  <si>
    <t>CYP</t>
  </si>
  <si>
    <t>Mexico</t>
  </si>
  <si>
    <t>MEX</t>
  </si>
  <si>
    <t>3. Footnote by Türkiye: The information in this document with reference to "Cyprus" relates to the southern part of the Island. There is no single authority representing both Turkish and Greek Cypriot people on the Island. Türkiye recognizes the Turkish Republic of Northern Cyprus (TRNC). Until a lasting and equitable solution is found within the context of United Nations, Türkiye shall preserve its position concerning the "Cyprus issue".</t>
  </si>
  <si>
    <t>4. Footnote by all the European Union Member States of the OECD and the European Union: The Republic of Cyprus is recognized by all members of the United Nations with the exception of Türkiye. The information in this database relates to the area under the effective control of the Government of the Republic of Cyprus.</t>
  </si>
  <si>
    <t>Belgium</t>
  </si>
  <si>
    <t>BEL</t>
  </si>
  <si>
    <t>PER</t>
  </si>
  <si>
    <t>* Only for this indicator all the information refer to 1 January 2024. Since this is a fast-moving regulatory area, the OECD has ensured that all the information used to build this indicator refers to 1 January 2024.</t>
  </si>
  <si>
    <t>Indonesia</t>
  </si>
  <si>
    <t>IDN</t>
  </si>
  <si>
    <t>Malta</t>
  </si>
  <si>
    <t>MLT</t>
  </si>
  <si>
    <t>Hungary</t>
  </si>
  <si>
    <t>HUN</t>
  </si>
  <si>
    <t>NLD</t>
  </si>
  <si>
    <t>Netherlands</t>
  </si>
  <si>
    <t xml:space="preserve">Source: 2023/2024 OECD PMR database </t>
  </si>
  <si>
    <t>The information used to build this indicator are not included in the economy-wide PMR indicator</t>
  </si>
  <si>
    <t>ISO Alpha-3 code</t>
  </si>
  <si>
    <t>OECD economies</t>
  </si>
  <si>
    <t>Non-OECD economies</t>
  </si>
  <si>
    <t>Some care should be taken when comparing the PMR indicators on individual professions across economies, because the activities that a specific profession undertakes may vary between economies. The PMR database provides an indication of the activities performed by each profession in each country.</t>
  </si>
  <si>
    <t xml:space="preserve">On Notaries: In some economies, notaries do not exist as an independent profession. For this reason there are values missing for this profession for some economies. It should be added that in civil law economies, notaries exercise administrative and judicial tasks by virtue of power delegated by the state; hence, they play a special role in the legal services market in the concerned economies and in this aspect they are different from the other professions included in the OECD's PMR indicator. </t>
  </si>
  <si>
    <t>CONTENT OF THIS FILE</t>
  </si>
  <si>
    <t>OECD</t>
  </si>
  <si>
    <t>OECD-WBG</t>
  </si>
  <si>
    <t>* 2018 is the year in which the majority of the data were collected. However in some countries the data collection was completed at a later date. Column D provides the exact date to which the information used to build the indicators refer</t>
  </si>
  <si>
    <t>* 2023 is the year in which the majority of the data were collected. However in some countries the data collection was completed at a later date. Column D provides the exact date to which the information used to build the indicators refer</t>
  </si>
  <si>
    <r>
      <t xml:space="preserve">The sheet named </t>
    </r>
    <r>
      <rPr>
        <b/>
        <sz val="10"/>
        <color theme="1"/>
        <rFont val="Arial"/>
        <family val="2"/>
      </rPr>
      <t>2018 oldMethod_PMR_structure</t>
    </r>
  </si>
  <si>
    <t>column A</t>
  </si>
  <si>
    <t>column B</t>
  </si>
  <si>
    <t xml:space="preserve"> the full name of each economy included in the dataset in English</t>
  </si>
  <si>
    <t xml:space="preserve"> the code (ISO Alpha-3 code) for each economy included in the dataset</t>
  </si>
  <si>
    <t xml:space="preserve"> whether the indicators have been produced by the OECD or by the OECD in collaboration with World Bank Group</t>
  </si>
  <si>
    <t>column C</t>
  </si>
  <si>
    <t>column D</t>
  </si>
  <si>
    <t xml:space="preserve">OECD average </t>
  </si>
  <si>
    <t xml:space="preserve">Average of 5 best performing OECD economies </t>
  </si>
  <si>
    <t>Average of 5 worst performing OECD economies</t>
  </si>
  <si>
    <t>Please note that each sheet with values includes the following information:</t>
  </si>
  <si>
    <t>Database^</t>
  </si>
  <si>
    <t>Average of 5 best performing OECD economies</t>
  </si>
  <si>
    <t>China</t>
  </si>
  <si>
    <t>Peru</t>
  </si>
  <si>
    <r>
      <t xml:space="preserve">The sheet named </t>
    </r>
    <r>
      <rPr>
        <b/>
        <sz val="10"/>
        <color theme="1"/>
        <rFont val="Arial"/>
        <family val="2"/>
      </rPr>
      <t>PMR_Digital Markets_2023-24</t>
    </r>
  </si>
  <si>
    <r>
      <t xml:space="preserve">The sheet named </t>
    </r>
    <r>
      <rPr>
        <b/>
        <sz val="10"/>
        <color theme="1"/>
        <rFont val="Arial"/>
        <family val="2"/>
      </rPr>
      <t>PMR_Sector_Network_2023-24</t>
    </r>
  </si>
  <si>
    <t xml:space="preserve">The figure below shows the structure of the PMR Sector indicators for Network Sectors (electricity, natural gas, rail transport, air transport, water transport, road transport, fixed e-communication and mobile e-communication), Professional Services (accountants, lawyers, notaries, civil engineers, real estate agents and architects), and Retail Trade (retail distribution, and retail sales of medicines), and Digital Markets based on the latest methodology (introduced in 2023 ). </t>
  </si>
  <si>
    <t>OECD average</t>
  </si>
  <si>
    <t>Economies</t>
  </si>
  <si>
    <t xml:space="preserve">Average of 5 worst performing OECD economies </t>
  </si>
  <si>
    <t>^ The PMR indicators are calculated using a methodology developed by the OECD, but the data collection and validation is performed either by the OECD or jointly by the OECD and the World Bank Group (WBG)</t>
  </si>
  <si>
    <t>Retail Sale of Medicines</t>
  </si>
  <si>
    <t>shows the structure of the PMR indicators for network and services sectors based on the previous methodology, which has now been discontinued (2018 methodology).</t>
  </si>
  <si>
    <t>shows the most recent values of the PMR indicators for the services sectors (retail trade, and professions)</t>
  </si>
  <si>
    <t>shows the most recent values of the PMR sector indicator for digital markets</t>
  </si>
  <si>
    <t>the other columns</t>
  </si>
  <si>
    <r>
      <t xml:space="preserve"> the values of the</t>
    </r>
    <r>
      <rPr>
        <b/>
        <sz val="10"/>
        <color theme="1"/>
        <rFont val="Arial"/>
        <family val="2"/>
      </rPr>
      <t xml:space="preserve"> sector PMR</t>
    </r>
    <r>
      <rPr>
        <sz val="10"/>
        <color theme="1"/>
        <rFont val="Arial"/>
        <family val="2"/>
      </rPr>
      <t xml:space="preserve"> indicators on a</t>
    </r>
    <r>
      <rPr>
        <b/>
        <sz val="10"/>
        <color theme="1"/>
        <rFont val="Arial"/>
        <family val="2"/>
      </rPr>
      <t xml:space="preserve"> scale</t>
    </r>
    <r>
      <rPr>
        <sz val="10"/>
        <color theme="1"/>
        <rFont val="Arial"/>
        <family val="2"/>
      </rPr>
      <t xml:space="preserve"> from 0 (more competition friendly) to 6 (less competition friendly)</t>
    </r>
  </si>
  <si>
    <t>2024*</t>
  </si>
  <si>
    <r>
      <t>Peru</t>
    </r>
    <r>
      <rPr>
        <i/>
        <vertAlign val="superscript"/>
        <sz val="10"/>
        <color theme="1"/>
        <rFont val="Arial"/>
        <family val="2"/>
      </rPr>
      <t>\</t>
    </r>
  </si>
  <si>
    <t>Product Market Regulation Sector Indicators</t>
  </si>
  <si>
    <t>2018 old Methodology</t>
  </si>
  <si>
    <r>
      <t xml:space="preserve">Network Sectors </t>
    </r>
    <r>
      <rPr>
        <sz val="10"/>
        <rFont val="Calibri"/>
        <family val="2"/>
        <scheme val="minor"/>
      </rPr>
      <t>is the simple average of: Electricity and Natural Gas, Air, Rail, Road , Water, Fixed Ecomm and Mobile Ecomm (weights 1/8)</t>
    </r>
  </si>
  <si>
    <t>Albania</t>
  </si>
  <si>
    <t>Ecuador</t>
  </si>
  <si>
    <t>.</t>
  </si>
  <si>
    <t>Kosovo</t>
  </si>
  <si>
    <r>
      <t>Malaysia</t>
    </r>
    <r>
      <rPr>
        <i/>
        <vertAlign val="superscript"/>
        <sz val="10"/>
        <color theme="1"/>
        <rFont val="Arial"/>
        <family val="2"/>
      </rPr>
      <t>1</t>
    </r>
  </si>
  <si>
    <t>Moldova</t>
  </si>
  <si>
    <t>Montenegro</t>
  </si>
  <si>
    <t>Serbia</t>
  </si>
  <si>
    <t>The Philippines</t>
  </si>
  <si>
    <t>Vietnam</t>
  </si>
  <si>
    <t>2. Average over eight sectors (electricity, gas, rail, air, road, water transport, fixed and mobile telephony).</t>
  </si>
  <si>
    <t>3. Average over 2 sectors: electricity and natural gas</t>
  </si>
  <si>
    <t>4. Average over 4 sectors: rail, road, water and air</t>
  </si>
  <si>
    <t>5. Average over 2 sectors: fixed and mobile e-communications</t>
  </si>
  <si>
    <t>Estate agents</t>
  </si>
  <si>
    <r>
      <t xml:space="preserve">This sheet shows of the network sectors indicators from the previous update. These values that have NOT been </t>
    </r>
    <r>
      <rPr>
        <b/>
        <u/>
        <sz val="14"/>
        <color rgb="FFFF0000"/>
        <rFont val="Arial"/>
        <family val="2"/>
      </rPr>
      <t>updated</t>
    </r>
    <r>
      <rPr>
        <b/>
        <sz val="14"/>
        <color rgb="FFFF0000"/>
        <rFont val="Arial"/>
        <family val="2"/>
      </rPr>
      <t xml:space="preserve"> according to the new methodology (introduced in 2023).</t>
    </r>
  </si>
  <si>
    <t>Hence they are only partially comparable with the values based on most recent (2023) methodology.</t>
  </si>
  <si>
    <r>
      <t>Total network sectors</t>
    </r>
    <r>
      <rPr>
        <b/>
        <vertAlign val="superscript"/>
        <sz val="12"/>
        <rFont val="Arial"/>
        <family val="2"/>
      </rPr>
      <t>2</t>
    </r>
  </si>
  <si>
    <r>
      <t>Overall</t>
    </r>
    <r>
      <rPr>
        <b/>
        <vertAlign val="superscript"/>
        <sz val="12"/>
        <rFont val="Arial"/>
        <family val="2"/>
      </rPr>
      <t>3</t>
    </r>
  </si>
  <si>
    <r>
      <t>Overall</t>
    </r>
    <r>
      <rPr>
        <b/>
        <vertAlign val="superscript"/>
        <sz val="12"/>
        <rFont val="Arial"/>
        <family val="2"/>
      </rPr>
      <t>4</t>
    </r>
  </si>
  <si>
    <r>
      <t>Overall</t>
    </r>
    <r>
      <rPr>
        <b/>
        <vertAlign val="superscript"/>
        <sz val="12"/>
        <rFont val="Arial"/>
        <family val="2"/>
      </rPr>
      <t>5</t>
    </r>
  </si>
  <si>
    <t>Kazakhstan</t>
  </si>
  <si>
    <t>Professional Services</t>
  </si>
  <si>
    <r>
      <t>Notaries</t>
    </r>
    <r>
      <rPr>
        <b/>
        <vertAlign val="superscript"/>
        <sz val="10"/>
        <rFont val="Arial"/>
        <family val="2"/>
      </rPr>
      <t>2,3</t>
    </r>
  </si>
  <si>
    <t xml:space="preserve">2. In some countries, notaries do not exist as an independent profession. For this reason there are values missing for this profession for some countries. </t>
  </si>
  <si>
    <t xml:space="preserve">3. It should be added that in civil law countries, notaries exercise administrative and judicial tasks by virtue of power delegated by the state; hence, they play a special role in the legal services market in the concerned countries and in this aspect they are different from the other professions included in the OECD's PMR indicator. </t>
  </si>
  <si>
    <r>
      <t xml:space="preserve">The sheet named </t>
    </r>
    <r>
      <rPr>
        <b/>
        <sz val="10"/>
        <color theme="1"/>
        <rFont val="Arial"/>
        <family val="2"/>
      </rPr>
      <t>old2018_Sector_Networks</t>
    </r>
  </si>
  <si>
    <r>
      <t xml:space="preserve">The sheet named </t>
    </r>
    <r>
      <rPr>
        <b/>
        <sz val="10"/>
        <color theme="1"/>
        <rFont val="Arial"/>
        <family val="2"/>
      </rPr>
      <t>old2018_Sector_TradeProf</t>
    </r>
  </si>
  <si>
    <t>shows the values of the PMR indicator for the network sectors from the previous update still based on the previous methodology, which has now been discontinued</t>
  </si>
  <si>
    <t>shows the values of the PMR indicator for the services sectors from the previous update still based on the previous methodology, which has now been discontinued</t>
  </si>
  <si>
    <r>
      <t xml:space="preserve">The sheet named </t>
    </r>
    <r>
      <rPr>
        <b/>
        <sz val="10"/>
        <color theme="1"/>
        <rFont val="Arial"/>
        <family val="2"/>
      </rPr>
      <t>Sector PMR_2023-24 structure</t>
    </r>
  </si>
  <si>
    <t xml:space="preserve">shows the structure of the PMR indicators for network and services sectors based on the most recent methodology (introduced in 2023)  </t>
  </si>
  <si>
    <t>shows the most recent values of the PMR indicators for network sectors (energy, e-communications and transport)</t>
  </si>
  <si>
    <r>
      <t xml:space="preserve">This sheet shows of the network sectors indicators from the previous update. These values have NOT been </t>
    </r>
    <r>
      <rPr>
        <b/>
        <u/>
        <sz val="14"/>
        <color rgb="FFFF0000"/>
        <rFont val="Arial"/>
        <family val="2"/>
      </rPr>
      <t>updated</t>
    </r>
    <r>
      <rPr>
        <b/>
        <sz val="14"/>
        <color rgb="FFFF0000"/>
        <rFont val="Arial"/>
        <family val="2"/>
      </rPr>
      <t xml:space="preserve"> according to the new methodology (introduced in 2023).</t>
    </r>
  </si>
  <si>
    <t>Russia</t>
  </si>
  <si>
    <t>Last updated in May 2023</t>
  </si>
  <si>
    <t xml:space="preserve">Source: OECD WBG 2018-2022 PMR database </t>
  </si>
  <si>
    <t>ALB</t>
  </si>
  <si>
    <t>ECU</t>
  </si>
  <si>
    <t>KAZ</t>
  </si>
  <si>
    <t>MYS</t>
  </si>
  <si>
    <t>MDA</t>
  </si>
  <si>
    <t>MNE</t>
  </si>
  <si>
    <t>RUS</t>
  </si>
  <si>
    <t>SRB</t>
  </si>
  <si>
    <t>PHL</t>
  </si>
  <si>
    <t>VNM</t>
  </si>
  <si>
    <r>
      <t>Energy</t>
    </r>
    <r>
      <rPr>
        <b/>
        <vertAlign val="superscript"/>
        <sz val="12"/>
        <color theme="0"/>
        <rFont val="Arial"/>
        <family val="2"/>
      </rPr>
      <t>3</t>
    </r>
  </si>
  <si>
    <r>
      <t>Transport</t>
    </r>
    <r>
      <rPr>
        <b/>
        <vertAlign val="superscript"/>
        <sz val="12"/>
        <color theme="0"/>
        <rFont val="Arial"/>
        <family val="2"/>
      </rPr>
      <t>4</t>
    </r>
  </si>
  <si>
    <r>
      <t>E-Communications</t>
    </r>
    <r>
      <rPr>
        <b/>
        <vertAlign val="superscript"/>
        <sz val="12"/>
        <color theme="0"/>
        <rFont val="Arial"/>
        <family val="2"/>
      </rPr>
      <t>5</t>
    </r>
  </si>
  <si>
    <t>these values that have been updated according to the new methodology (introduced in 2023)</t>
  </si>
  <si>
    <t>shows the values of the PMR indicators for network and services sectors from the previous update</t>
  </si>
  <si>
    <t>shows the values of the PMR indicators for the services sectors (retail trade, and professions) from the previous update</t>
  </si>
  <si>
    <t>the PMR sector indicator for digital markets was introduced in 2023, hence it does not appear in this sheet</t>
  </si>
  <si>
    <t>it includes ONLY THOSE ECONOMIES whose values have not been possible to update according to the new methodology</t>
  </si>
  <si>
    <t>This sheet shows the most recent values of the network sector indicators on a scale from 0 (most competition-friendly regulatory set-up) to 6 (least competition-friendly regulatory set-up)</t>
  </si>
  <si>
    <r>
      <t xml:space="preserve">This sheet shows the values of the network sector indicators from the previous update. These values have been </t>
    </r>
    <r>
      <rPr>
        <b/>
        <u/>
        <sz val="14"/>
        <color rgb="FFFF0000"/>
        <rFont val="Arial"/>
        <family val="2"/>
      </rPr>
      <t>updated</t>
    </r>
    <r>
      <rPr>
        <b/>
        <sz val="14"/>
        <color rgb="FFFF0000"/>
        <rFont val="Arial"/>
        <family val="2"/>
      </rPr>
      <t xml:space="preserve"> according to the new methodology (introduced in 2023)</t>
    </r>
  </si>
  <si>
    <t>This sheet shows the most recent values of the service sector indicators on a scale from 0 (most competition-friendly regulatory set-up) to 6 (least competition-friendly regulatory set-up)</t>
  </si>
  <si>
    <r>
      <t xml:space="preserve">This sheet shows the values of the service sector indicators from the previous update. These values have been </t>
    </r>
    <r>
      <rPr>
        <b/>
        <u/>
        <sz val="14"/>
        <color rgb="FFFF0000"/>
        <rFont val="Arial"/>
        <family val="2"/>
      </rPr>
      <t>updated</t>
    </r>
    <r>
      <rPr>
        <b/>
        <sz val="14"/>
        <color rgb="FFFF0000"/>
        <rFont val="Arial"/>
        <family val="2"/>
      </rPr>
      <t xml:space="preserve"> according to the new methodology (introduced in 2023)</t>
    </r>
  </si>
  <si>
    <t>This indicator was only introduced in 2023, but data for 2018 were collected by the OECD to calculate the relevant values</t>
  </si>
  <si>
    <t>This sheet shows the values of the sector indicator for the digital markets for the last two updates on a scale from 0 (most competition-friendly regulatory set-up) to 6 (least competition-friendly regulatory set-up)</t>
  </si>
  <si>
    <r>
      <t>Cyprus</t>
    </r>
    <r>
      <rPr>
        <i/>
        <vertAlign val="superscript"/>
        <sz val="10"/>
        <color theme="1"/>
        <rFont val="Arial"/>
        <family val="2"/>
      </rPr>
      <t>2,3</t>
    </r>
  </si>
  <si>
    <t>2. Footnote by Türkiye: The information in this document with reference to "Cyprus" relates to the southern part of the Island. There is no single authority representing both Turkish and Greek Cypriot people on the Island. Türkiye recognizes the Turkish Republic of Northern Cyprus (TRNC). Until a lasting and equitable solution is found within the context of United Nations, Türkiye shall preserve its position concerning the "Cyprus issue".</t>
  </si>
  <si>
    <t>3. Footnote by all the European Union Member States of the OECD and the European Union: The Republic of Cyprus is recognized by all members of the United Nations with the exception of Türkiye. The information in this database relates to the area under the effective control of the Government of the Republic of Cyprus.</t>
  </si>
  <si>
    <t>4. Average over 3 industries (energy, transport, e-communications)</t>
  </si>
  <si>
    <t>5. Average over 2 sectors: electricity and natural gas</t>
  </si>
  <si>
    <t>7. Average over 2 sectors: fixed and mobile ecommunications</t>
  </si>
  <si>
    <t xml:space="preserve">8. The 'Electricity' indicator is the weighted average of the 'Quality and scope of public ownership', 'Barriers to entry', 'Competition in retail supply market' and 'Demand response' components. </t>
  </si>
  <si>
    <t xml:space="preserve">9. The 'Natural gas' indicator is the weighted average of the 'Quality and scope of public ownership', 'Barriers to entry', 'Competition in retail supply market' and 'New regulatory issues' components. </t>
  </si>
  <si>
    <t>6. Average over 4 sectors: rail, road, water and air</t>
  </si>
  <si>
    <r>
      <t>Total network sectors</t>
    </r>
    <r>
      <rPr>
        <b/>
        <vertAlign val="superscript"/>
        <sz val="12"/>
        <rFont val="Arial"/>
        <family val="2"/>
      </rPr>
      <t>4</t>
    </r>
  </si>
  <si>
    <r>
      <t>Energy</t>
    </r>
    <r>
      <rPr>
        <b/>
        <vertAlign val="superscript"/>
        <sz val="12"/>
        <color theme="0"/>
        <rFont val="Arial"/>
        <family val="2"/>
      </rPr>
      <t>5</t>
    </r>
  </si>
  <si>
    <r>
      <t>Transport</t>
    </r>
    <r>
      <rPr>
        <b/>
        <vertAlign val="superscript"/>
        <sz val="12"/>
        <color theme="0"/>
        <rFont val="Arial"/>
        <family val="2"/>
      </rPr>
      <t>6</t>
    </r>
  </si>
  <si>
    <r>
      <t>E-Communications</t>
    </r>
    <r>
      <rPr>
        <b/>
        <vertAlign val="superscript"/>
        <sz val="12"/>
        <color theme="0"/>
        <rFont val="Arial"/>
        <family val="2"/>
      </rPr>
      <t>7</t>
    </r>
  </si>
  <si>
    <t>Digital Markets 2024</t>
  </si>
  <si>
    <t>Digital Markets 2018</t>
  </si>
  <si>
    <r>
      <t xml:space="preserve">The sheet named </t>
    </r>
    <r>
      <rPr>
        <b/>
        <sz val="10"/>
        <color theme="2" tint="-0.89999084444715716"/>
        <rFont val="Arial"/>
        <family val="2"/>
      </rPr>
      <t>PMR_Sector_Network_2018</t>
    </r>
  </si>
  <si>
    <r>
      <t xml:space="preserve">The sheet named </t>
    </r>
    <r>
      <rPr>
        <b/>
        <sz val="10"/>
        <color theme="2" tint="-0.89999084444715716"/>
        <rFont val="Arial"/>
        <family val="2"/>
      </rPr>
      <t>PMR_Sector_TradProf_2023-24</t>
    </r>
  </si>
  <si>
    <r>
      <t xml:space="preserve">The sheet named </t>
    </r>
    <r>
      <rPr>
        <b/>
        <sz val="10"/>
        <color theme="2" tint="-0.89999084444715716"/>
        <rFont val="Arial"/>
        <family val="2"/>
      </rPr>
      <t>PMR_Sector_TradProf_2018</t>
    </r>
  </si>
  <si>
    <t xml:space="preserve">4. In some countries, notaries do not exist as an independent profession. For this reason there are values missing for this profession for some countries. </t>
  </si>
  <si>
    <t xml:space="preserve">5. It should be added that in civil law countries, notaries exercise administrative and judicial tasks by virtue of power delegated by the state; hence, they play a special role in the legal services market in the concerned countries and in this aspect they are different from the other professions included in the OECD's PMR indicator. </t>
  </si>
  <si>
    <t>6. For each profession, a breakdown in four components is provided. The indicator for each professions is the weighted average of these components. The weights applied are shown in the PMR Schemata.</t>
  </si>
  <si>
    <r>
      <t>Notaries</t>
    </r>
    <r>
      <rPr>
        <b/>
        <vertAlign val="superscript"/>
        <sz val="12"/>
        <rFont val="Arial"/>
        <family val="2"/>
      </rPr>
      <t>4,5</t>
    </r>
  </si>
  <si>
    <t>Professions</t>
  </si>
  <si>
    <r>
      <t>Notaries</t>
    </r>
    <r>
      <rPr>
        <vertAlign val="superscript"/>
        <sz val="12"/>
        <rFont val="Arial"/>
        <family val="2"/>
      </rPr>
      <t>4,5</t>
    </r>
  </si>
  <si>
    <r>
      <t xml:space="preserve"> the date to which the information </t>
    </r>
    <r>
      <rPr>
        <sz val="10"/>
        <color theme="2" tint="-0.89999084444715716"/>
        <rFont val="Arial"/>
        <family val="2"/>
      </rPr>
      <t>on which the values are based</t>
    </r>
    <r>
      <rPr>
        <sz val="10"/>
        <color rgb="FFFF0000"/>
        <rFont val="Arial"/>
        <family val="2"/>
      </rPr>
      <t xml:space="preserve"> </t>
    </r>
    <r>
      <rPr>
        <sz val="10"/>
        <color theme="1"/>
        <rFont val="Arial"/>
        <family val="2"/>
      </rPr>
      <t>refer to</t>
    </r>
  </si>
  <si>
    <t>Chinese Taipei</t>
  </si>
  <si>
    <t>TWN</t>
  </si>
  <si>
    <t>** A value is missing when a sector is very small in economic terms and hence is not assessed in the indicator</t>
  </si>
  <si>
    <t>** Values are missing when data where not collected for a specific country/year</t>
  </si>
  <si>
    <t>* A value is missing when a sector is very small in economic terms and hence is not assessed in the indicator</t>
  </si>
  <si>
    <t xml:space="preserve">1. The values refer to mainland Malaysia with the exclusion of the states of Sabah and Sarawak </t>
  </si>
  <si>
    <t>The 2018 values herein contained are based on the methodology introduced in 2023 and are comparable with the 2023 values.</t>
  </si>
  <si>
    <t>https://www.oecd.org/en/topics/sub-issues/product-market-regulation.html</t>
  </si>
  <si>
    <t xml:space="preserve">*For more details on the individual questions that compose each indicator and their scoring see the 'PMR Sector Schemata' available at: </t>
  </si>
  <si>
    <t>There are six indicators one for each of the 6 professions covered: accountants, architects, civil engineers, estate agents, lawyers, and notaries. There is no single average indicator for all professions since some professions do not exist in some of the economies surveyed.</t>
  </si>
  <si>
    <r>
      <t xml:space="preserve">The figure below shows the structure of the PMR Sector indicators (for Network Sectors, Professional Services, and Retail Trade) according to the previous methodology, which has now been discontinued (2018 old methodology).  Note that the PMR Sector indicator for Digital Markets was introduced in 2023. 
Please note that in the following tabs (marked as </t>
    </r>
    <r>
      <rPr>
        <i/>
        <sz val="10"/>
        <color theme="1"/>
        <rFont val="Calibri"/>
        <family val="2"/>
        <scheme val="minor"/>
      </rPr>
      <t>2018 oldmethod)</t>
    </r>
    <r>
      <rPr>
        <sz val="10"/>
        <color theme="1"/>
        <rFont val="Calibri"/>
        <family val="2"/>
        <scheme val="minor"/>
      </rPr>
      <t xml:space="preserve"> are presented the 2018 values for the countries that have not been updated according to the new 2023 methodology</t>
    </r>
  </si>
  <si>
    <t>This file presents the economy-wide Product Market Regulation (PMR) indicators that measure how competition-enhancing is the regulatory framework in network and services sectors in individual economies.</t>
  </si>
  <si>
    <t>Argentina</t>
  </si>
  <si>
    <t>ARG</t>
  </si>
  <si>
    <t>ROU</t>
  </si>
  <si>
    <t>Romania</t>
  </si>
  <si>
    <t>Thailand</t>
  </si>
  <si>
    <t>THA</t>
  </si>
  <si>
    <t>OECD-ADB</t>
  </si>
  <si>
    <t>^ The PMR indicators are calculated using a methodology developed by the OECD, but the data collection and validation is performed either by the OECD or jointly by the OECD and other institutions</t>
  </si>
  <si>
    <t>Last updated in July 2025</t>
  </si>
  <si>
    <t>countrycode</t>
  </si>
  <si>
    <t>countryname</t>
  </si>
  <si>
    <t>Group</t>
  </si>
  <si>
    <t>income</t>
  </si>
  <si>
    <t>date</t>
  </si>
  <si>
    <t>overall_network</t>
  </si>
  <si>
    <t>energy_overall</t>
  </si>
  <si>
    <t>energy_electricity</t>
  </si>
  <si>
    <t>energy_natural gas</t>
  </si>
  <si>
    <t>transport_overall</t>
  </si>
  <si>
    <t>transport_rail</t>
  </si>
  <si>
    <t>transport_air</t>
  </si>
  <si>
    <t>transport_road</t>
  </si>
  <si>
    <t>transport_water</t>
  </si>
  <si>
    <t>e_communications_overall</t>
  </si>
  <si>
    <t>e_communications_fixed_ecomm</t>
  </si>
  <si>
    <t>e_communications_mobile_ecomm</t>
  </si>
  <si>
    <t>XKX</t>
  </si>
  <si>
    <t>HIC</t>
  </si>
  <si>
    <t>UMC</t>
  </si>
  <si>
    <t>Israel1</t>
  </si>
  <si>
    <t>Cyprus2,3</t>
  </si>
  <si>
    <t>Malaysia1</t>
  </si>
  <si>
    <t>LMC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</si>
</sst>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
  </numFmts>
  <fonts count="40" x14ac:knownFonts="1">
    <font>
      <sz val="10"/>
      <color theme="1"/>
      <name val="Arial"/>
      <family val="2"/>
    </font>
    <font>
      <sz val="11"/>
      <color theme="1"/>
      <name val="Calibri"/>
      <family val="2"/>
      <scheme val="minor"/>
    </font>
    <font>
      <sz val="11"/>
      <name val="Calibri"/>
      <family val="2"/>
    </font>
    <font>
      <sz val="10"/>
      <name val="Arial"/>
      <family val="2"/>
    </font>
    <font>
      <sz val="10"/>
      <color theme="1"/>
      <name val="Calibri"/>
      <family val="2"/>
      <scheme val="minor"/>
    </font>
    <font>
      <b/>
      <sz val="14"/>
      <color theme="1"/>
      <name val="Calibri"/>
      <family val="2"/>
      <scheme val="minor"/>
    </font>
    <font>
      <b/>
      <sz val="10"/>
      <name val="Calibri"/>
      <family val="2"/>
      <scheme val="minor"/>
    </font>
    <font>
      <sz val="10"/>
      <name val="Calibri"/>
      <family val="2"/>
      <scheme val="minor"/>
    </font>
    <font>
      <sz val="11"/>
      <color theme="1"/>
      <name val="Calibri"/>
      <family val="2"/>
      <scheme val="minor"/>
    </font>
    <font>
      <sz val="10"/>
      <color theme="1"/>
      <name val="Arial"/>
      <family val="2"/>
    </font>
    <font>
      <sz val="10"/>
      <color rgb="FFFF0000"/>
      <name val="Arial"/>
      <family val="2"/>
    </font>
    <font>
      <b/>
      <sz val="10"/>
      <color theme="1"/>
      <name val="Arial"/>
      <family val="2"/>
    </font>
    <font>
      <b/>
      <sz val="10"/>
      <name val="Arial"/>
      <family val="2"/>
    </font>
    <font>
      <b/>
      <sz val="10"/>
      <color rgb="FFFF0000"/>
      <name val="Arial"/>
      <family val="2"/>
    </font>
    <font>
      <i/>
      <sz val="10"/>
      <color theme="1"/>
      <name val="Arial"/>
      <family val="2"/>
    </font>
    <font>
      <i/>
      <vertAlign val="superscript"/>
      <sz val="10"/>
      <color theme="1"/>
      <name val="Arial"/>
      <family val="2"/>
    </font>
    <font>
      <b/>
      <i/>
      <sz val="10"/>
      <color theme="1"/>
      <name val="Arial"/>
      <family val="2"/>
    </font>
    <font>
      <i/>
      <sz val="10"/>
      <color rgb="FF000000"/>
      <name val="Arial"/>
      <family val="2"/>
    </font>
    <font>
      <i/>
      <sz val="10"/>
      <name val="Arial"/>
      <family val="2"/>
    </font>
    <font>
      <b/>
      <vertAlign val="superscript"/>
      <sz val="10"/>
      <name val="Arial"/>
      <family val="2"/>
    </font>
    <font>
      <sz val="10"/>
      <color rgb="FF000000"/>
      <name val="Arial"/>
      <family val="2"/>
    </font>
    <font>
      <b/>
      <strike/>
      <sz val="10"/>
      <color rgb="FFFF0000"/>
      <name val="Arial"/>
      <family val="2"/>
    </font>
    <font>
      <b/>
      <sz val="14"/>
      <color rgb="FFFF0000"/>
      <name val="Arial"/>
      <family val="2"/>
    </font>
    <font>
      <sz val="12"/>
      <color theme="1"/>
      <name val="Arial"/>
      <family val="2"/>
    </font>
    <font>
      <b/>
      <sz val="12"/>
      <color theme="1"/>
      <name val="Arial"/>
      <family val="2"/>
    </font>
    <font>
      <b/>
      <sz val="12"/>
      <name val="Arial"/>
      <family val="2"/>
    </font>
    <font>
      <b/>
      <u/>
      <sz val="14"/>
      <color rgb="FFFF0000"/>
      <name val="Arial"/>
      <family val="2"/>
    </font>
    <font>
      <sz val="12"/>
      <name val="Arial"/>
      <family val="2"/>
    </font>
    <font>
      <b/>
      <vertAlign val="superscript"/>
      <sz val="12"/>
      <name val="Arial"/>
      <family val="2"/>
    </font>
    <font>
      <b/>
      <sz val="12"/>
      <color theme="0"/>
      <name val="Arial"/>
      <family val="2"/>
    </font>
    <font>
      <b/>
      <vertAlign val="superscript"/>
      <sz val="12"/>
      <color theme="0"/>
      <name val="Arial"/>
      <family val="2"/>
    </font>
    <font>
      <sz val="10"/>
      <color theme="0"/>
      <name val="Arial"/>
      <family val="2"/>
    </font>
    <font>
      <vertAlign val="superscript"/>
      <sz val="12"/>
      <name val="Arial"/>
      <family val="2"/>
    </font>
    <font>
      <i/>
      <sz val="10"/>
      <color theme="1"/>
      <name val="Calibri"/>
      <family val="2"/>
      <scheme val="minor"/>
    </font>
    <font>
      <b/>
      <sz val="16"/>
      <color theme="1"/>
      <name val="Calibri"/>
      <family val="2"/>
      <scheme val="minor"/>
    </font>
    <font>
      <b/>
      <sz val="10"/>
      <name val="Calibri"/>
      <family val="2"/>
    </font>
    <font>
      <sz val="10"/>
      <name val="Calibri"/>
      <family val="2"/>
    </font>
    <font>
      <sz val="10"/>
      <color theme="2" tint="-0.89999084444715716"/>
      <name val="Arial"/>
      <family val="2"/>
    </font>
    <font>
      <b/>
      <sz val="10"/>
      <color theme="2" tint="-0.89999084444715716"/>
      <name val="Arial"/>
      <family val="2"/>
    </font>
    <font>
      <u/>
      <sz val="10"/>
      <color theme="10"/>
      <name val="Arial"/>
      <family val="2"/>
    </font>
  </fonts>
  <fills count="11">
    <fill>
      <patternFill patternType="none"/>
    </fill>
    <fill>
      <patternFill patternType="gray125"/>
    </fill>
    <fill>
      <patternFill patternType="solid">
        <fgColor rgb="FFB8E08C"/>
        <bgColor indexed="64"/>
      </patternFill>
    </fill>
    <fill>
      <patternFill patternType="solid">
        <fgColor rgb="FF8EA9DB"/>
        <bgColor indexed="64"/>
      </patternFill>
    </fill>
    <fill>
      <patternFill patternType="solid">
        <fgColor rgb="FFD9E1F2"/>
        <bgColor indexed="64"/>
      </patternFill>
    </fill>
    <fill>
      <patternFill patternType="solid">
        <fgColor theme="8" tint="-0.249977111117893"/>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FFFF00"/>
        <bgColor indexed="64"/>
      </patternFill>
    </fill>
    <fill>
      <patternFill patternType="solid">
        <fgColor rgb="FFFFC000"/>
        <bgColor indexed="64"/>
      </patternFill>
    </fill>
  </fills>
  <borders count="32">
    <border>
      <left/>
      <right/>
      <top/>
      <bottom/>
      <diagonal/>
    </border>
    <border>
      <left/>
      <right style="thin">
        <color auto="1"/>
      </right>
      <top/>
      <bottom/>
      <diagonal/>
    </border>
    <border>
      <left style="thin">
        <color auto="1"/>
      </left>
      <right/>
      <top/>
      <bottom/>
      <diagonal/>
    </border>
    <border>
      <left/>
      <right/>
      <top/>
      <bottom style="thin">
        <color indexed="64"/>
      </bottom>
      <diagonal/>
    </border>
    <border>
      <left style="thin">
        <color auto="1"/>
      </left>
      <right/>
      <top/>
      <bottom style="thin">
        <color indexed="64"/>
      </bottom>
      <diagonal/>
    </border>
    <border>
      <left/>
      <right style="thin">
        <color auto="1"/>
      </right>
      <top/>
      <bottom style="thin">
        <color indexed="64"/>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diagonal/>
    </border>
    <border>
      <left style="thin">
        <color auto="1"/>
      </left>
      <right style="thin">
        <color auto="1"/>
      </right>
      <top/>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right/>
      <top style="thin">
        <color indexed="64"/>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auto="1"/>
      </left>
      <right style="dotted">
        <color indexed="64"/>
      </right>
      <top/>
      <bottom/>
      <diagonal/>
    </border>
    <border>
      <left style="dotted">
        <color indexed="64"/>
      </left>
      <right style="dotted">
        <color indexed="64"/>
      </right>
      <top/>
      <bottom/>
      <diagonal/>
    </border>
    <border>
      <left style="thin">
        <color auto="1"/>
      </left>
      <right style="dotted">
        <color indexed="64"/>
      </right>
      <top/>
      <bottom style="thin">
        <color indexed="64"/>
      </bottom>
      <diagonal/>
    </border>
    <border>
      <left style="thin">
        <color auto="1"/>
      </left>
      <right style="dotted">
        <color indexed="64"/>
      </right>
      <top style="thin">
        <color indexed="64"/>
      </top>
      <bottom/>
      <diagonal/>
    </border>
    <border>
      <left style="dotted">
        <color indexed="64"/>
      </left>
      <right style="dotted">
        <color indexed="64"/>
      </right>
      <top/>
      <bottom style="thin">
        <color indexed="64"/>
      </bottom>
      <diagonal/>
    </border>
    <border>
      <left style="dotted">
        <color indexed="64"/>
      </left>
      <right style="dotted">
        <color indexed="64"/>
      </right>
      <top style="thin">
        <color indexed="64"/>
      </top>
      <bottom/>
      <diagonal/>
    </border>
    <border>
      <left style="thin">
        <color indexed="64"/>
      </left>
      <right/>
      <top style="thin">
        <color indexed="64"/>
      </top>
      <bottom style="thin">
        <color indexed="64"/>
      </bottom>
      <diagonal/>
    </border>
  </borders>
  <cellStyleXfs count="5">
    <xf numFmtId="0" fontId="0" fillId="0" borderId="0"/>
    <xf numFmtId="0" fontId="2" fillId="0" borderId="0"/>
    <xf numFmtId="0" fontId="3" fillId="0" borderId="0"/>
    <xf numFmtId="0" fontId="39" fillId="0" borderId="0" applyNumberFormat="0" applyFill="0" applyBorder="0" applyAlignment="0" applyProtection="0"/>
    <xf numFmtId="0" fontId="9" fillId="0" borderId="0"/>
  </cellStyleXfs>
  <cellXfs count="387">
    <xf numFmtId="0" fontId="0" fillId="0" borderId="0" xfId="0"/>
    <xf numFmtId="0" fontId="0" fillId="0" borderId="0" xfId="0" applyAlignment="1">
      <alignment vertical="center" wrapText="1"/>
    </xf>
    <xf numFmtId="0" fontId="4" fillId="6" borderId="0" xfId="0" applyFont="1" applyFill="1"/>
    <xf numFmtId="0" fontId="7" fillId="6" borderId="0" xfId="0" applyFont="1" applyFill="1"/>
    <xf numFmtId="0" fontId="7" fillId="0" borderId="0" xfId="0" applyFont="1"/>
    <xf numFmtId="0" fontId="7" fillId="6" borderId="0" xfId="0" applyFont="1" applyFill="1" applyAlignment="1">
      <alignment horizontal="left" vertical="center" wrapText="1" readingOrder="1"/>
    </xf>
    <xf numFmtId="0" fontId="6" fillId="6" borderId="0" xfId="0" applyFont="1" applyFill="1"/>
    <xf numFmtId="0" fontId="4" fillId="6" borderId="0" xfId="0" applyFont="1" applyFill="1" applyAlignment="1">
      <alignment vertical="center"/>
    </xf>
    <xf numFmtId="0" fontId="7" fillId="0" borderId="0" xfId="2" applyFont="1" applyAlignment="1">
      <alignment vertical="center" wrapText="1"/>
    </xf>
    <xf numFmtId="0" fontId="8" fillId="0" borderId="0" xfId="0" applyFont="1" applyAlignment="1">
      <alignment vertical="center"/>
    </xf>
    <xf numFmtId="0" fontId="0" fillId="0" borderId="0" xfId="0" applyAlignment="1">
      <alignment horizontal="center" vertical="center"/>
    </xf>
    <xf numFmtId="0" fontId="0" fillId="0" borderId="0" xfId="0" applyAlignment="1">
      <alignment vertical="center"/>
    </xf>
    <xf numFmtId="0" fontId="16" fillId="0" borderId="0" xfId="0" applyFont="1" applyAlignment="1">
      <alignment vertical="center"/>
    </xf>
    <xf numFmtId="0" fontId="11" fillId="0" borderId="0" xfId="0" applyFont="1" applyAlignment="1">
      <alignment vertical="center"/>
    </xf>
    <xf numFmtId="0" fontId="14" fillId="0" borderId="0" xfId="0" applyFont="1" applyAlignment="1">
      <alignment vertical="center"/>
    </xf>
    <xf numFmtId="0" fontId="3" fillId="0" borderId="0" xfId="1" applyFont="1"/>
    <xf numFmtId="0" fontId="3" fillId="0" borderId="0" xfId="1" applyFont="1" applyAlignment="1">
      <alignment horizontal="center" vertical="center"/>
    </xf>
    <xf numFmtId="0" fontId="3" fillId="4" borderId="0" xfId="1" applyFont="1" applyFill="1" applyAlignment="1">
      <alignment horizontal="center" vertical="center"/>
    </xf>
    <xf numFmtId="2" fontId="3" fillId="4" borderId="0" xfId="1" applyNumberFormat="1" applyFont="1" applyFill="1" applyAlignment="1">
      <alignment horizontal="center" vertical="center"/>
    </xf>
    <xf numFmtId="2" fontId="3" fillId="0" borderId="0" xfId="1" applyNumberFormat="1" applyFont="1" applyAlignment="1">
      <alignment horizontal="center" vertical="center" wrapText="1"/>
    </xf>
    <xf numFmtId="0" fontId="9" fillId="0" borderId="0" xfId="0" applyFont="1" applyAlignment="1">
      <alignment vertical="center"/>
    </xf>
    <xf numFmtId="2" fontId="10" fillId="4" borderId="0" xfId="1" applyNumberFormat="1" applyFont="1" applyFill="1" applyAlignment="1">
      <alignment horizontal="center" vertical="center"/>
    </xf>
    <xf numFmtId="2" fontId="10" fillId="4" borderId="3" xfId="1" applyNumberFormat="1" applyFont="1" applyFill="1" applyBorder="1" applyAlignment="1">
      <alignment horizontal="center" vertical="center"/>
    </xf>
    <xf numFmtId="0" fontId="14" fillId="6" borderId="0" xfId="0" applyFont="1" applyFill="1" applyAlignment="1">
      <alignment vertical="center"/>
    </xf>
    <xf numFmtId="0" fontId="3" fillId="0" borderId="0" xfId="0" quotePrefix="1" applyFont="1" applyAlignment="1">
      <alignment vertical="center"/>
    </xf>
    <xf numFmtId="0" fontId="9" fillId="0" borderId="0" xfId="0" applyFont="1" applyAlignment="1">
      <alignment horizontal="center" vertical="center"/>
    </xf>
    <xf numFmtId="2" fontId="3" fillId="0" borderId="0" xfId="1" applyNumberFormat="1" applyFont="1" applyAlignment="1">
      <alignment horizontal="center" vertical="center"/>
    </xf>
    <xf numFmtId="0" fontId="9" fillId="0" borderId="0" xfId="0" applyFont="1"/>
    <xf numFmtId="0" fontId="18" fillId="0" borderId="0" xfId="1" applyFont="1"/>
    <xf numFmtId="2" fontId="3" fillId="3" borderId="9" xfId="1" applyNumberFormat="1" applyFont="1" applyFill="1" applyBorder="1" applyAlignment="1">
      <alignment horizontal="center" vertical="center"/>
    </xf>
    <xf numFmtId="165" fontId="3" fillId="0" borderId="0" xfId="1" applyNumberFormat="1" applyFont="1" applyAlignment="1">
      <alignment horizontal="center" vertical="center"/>
    </xf>
    <xf numFmtId="2" fontId="3" fillId="8" borderId="9" xfId="1" applyNumberFormat="1" applyFont="1" applyFill="1" applyBorder="1" applyAlignment="1">
      <alignment horizontal="center" vertical="center"/>
    </xf>
    <xf numFmtId="2" fontId="10" fillId="3" borderId="9" xfId="1" applyNumberFormat="1" applyFont="1" applyFill="1" applyBorder="1" applyAlignment="1">
      <alignment horizontal="center" vertical="center"/>
    </xf>
    <xf numFmtId="2" fontId="10" fillId="3" borderId="11" xfId="1" applyNumberFormat="1" applyFont="1" applyFill="1" applyBorder="1" applyAlignment="1">
      <alignment horizontal="center" vertical="center"/>
    </xf>
    <xf numFmtId="0" fontId="18" fillId="6" borderId="0" xfId="1" applyFont="1" applyFill="1"/>
    <xf numFmtId="0" fontId="0" fillId="0" borderId="18" xfId="0" applyBorder="1"/>
    <xf numFmtId="0" fontId="0" fillId="0" borderId="19" xfId="0" applyBorder="1"/>
    <xf numFmtId="0" fontId="3" fillId="0" borderId="2" xfId="1" applyFont="1" applyBorder="1"/>
    <xf numFmtId="0" fontId="10" fillId="0" borderId="2" xfId="0" applyFont="1" applyBorder="1"/>
    <xf numFmtId="0" fontId="13" fillId="2" borderId="9" xfId="1" applyFont="1" applyFill="1" applyBorder="1" applyAlignment="1">
      <alignment horizontal="center" vertical="center" wrapText="1"/>
    </xf>
    <xf numFmtId="2" fontId="3" fillId="2" borderId="9" xfId="1" applyNumberFormat="1" applyFont="1" applyFill="1" applyBorder="1" applyAlignment="1">
      <alignment horizontal="center" vertical="center"/>
    </xf>
    <xf numFmtId="2" fontId="10" fillId="2" borderId="9" xfId="0" applyNumberFormat="1" applyFont="1" applyFill="1" applyBorder="1" applyAlignment="1">
      <alignment horizontal="center" vertical="center"/>
    </xf>
    <xf numFmtId="2" fontId="10" fillId="2" borderId="11" xfId="0" applyNumberFormat="1" applyFont="1" applyFill="1" applyBorder="1" applyAlignment="1">
      <alignment horizontal="center" vertical="center"/>
    </xf>
    <xf numFmtId="0" fontId="17" fillId="0" borderId="0" xfId="0" applyFont="1" applyAlignment="1">
      <alignment vertical="center"/>
    </xf>
    <xf numFmtId="0" fontId="20" fillId="0" borderId="0" xfId="0" applyFont="1" applyAlignment="1">
      <alignment vertical="center"/>
    </xf>
    <xf numFmtId="0" fontId="13" fillId="8" borderId="9" xfId="1" applyFont="1" applyFill="1" applyBorder="1" applyAlignment="1">
      <alignment horizontal="center" vertical="center" wrapText="1"/>
    </xf>
    <xf numFmtId="0" fontId="14" fillId="0" borderId="2" xfId="0" applyFont="1" applyBorder="1" applyAlignment="1">
      <alignment vertical="center"/>
    </xf>
    <xf numFmtId="0" fontId="13" fillId="8" borderId="9" xfId="1" applyFont="1" applyFill="1" applyBorder="1" applyAlignment="1">
      <alignment horizontal="center" vertical="center"/>
    </xf>
    <xf numFmtId="0" fontId="9" fillId="0" borderId="0" xfId="0" applyFont="1" applyAlignment="1">
      <alignment vertical="center" wrapText="1"/>
    </xf>
    <xf numFmtId="0" fontId="9" fillId="0" borderId="0" xfId="0" applyFont="1" applyAlignment="1">
      <alignment horizontal="left" vertical="center" wrapText="1"/>
    </xf>
    <xf numFmtId="0" fontId="11" fillId="0" borderId="0" xfId="0" applyFont="1" applyAlignment="1">
      <alignment horizontal="center" vertical="center" wrapText="1"/>
    </xf>
    <xf numFmtId="0" fontId="3" fillId="0" borderId="0" xfId="1" applyFont="1" applyAlignment="1">
      <alignment horizontal="center" vertical="center" wrapText="1"/>
    </xf>
    <xf numFmtId="0" fontId="0" fillId="0" borderId="0" xfId="0" applyAlignment="1">
      <alignment horizontal="left"/>
    </xf>
    <xf numFmtId="0" fontId="11" fillId="0" borderId="0" xfId="0" applyFont="1" applyAlignment="1">
      <alignment horizontal="left" vertical="center" wrapText="1"/>
    </xf>
    <xf numFmtId="0" fontId="11" fillId="0" borderId="0" xfId="0" applyFont="1" applyAlignment="1">
      <alignment horizontal="left" vertical="center"/>
    </xf>
    <xf numFmtId="0" fontId="13" fillId="0" borderId="6" xfId="0" applyFont="1" applyBorder="1" applyAlignment="1">
      <alignment vertical="center"/>
    </xf>
    <xf numFmtId="2" fontId="13" fillId="2" borderId="10" xfId="0" applyNumberFormat="1" applyFont="1" applyFill="1" applyBorder="1" applyAlignment="1">
      <alignment horizontal="center" vertical="center"/>
    </xf>
    <xf numFmtId="0" fontId="0" fillId="0" borderId="0" xfId="0" applyAlignment="1">
      <alignment horizontal="left" vertical="center"/>
    </xf>
    <xf numFmtId="0" fontId="22" fillId="0" borderId="0" xfId="0" applyFont="1" applyAlignment="1">
      <alignment vertical="center"/>
    </xf>
    <xf numFmtId="0" fontId="22" fillId="0" borderId="0" xfId="0" applyFont="1" applyAlignment="1">
      <alignment vertical="center" wrapText="1"/>
    </xf>
    <xf numFmtId="0" fontId="22" fillId="0" borderId="0" xfId="0" applyFont="1" applyAlignment="1">
      <alignment horizontal="center" vertical="center" wrapText="1"/>
    </xf>
    <xf numFmtId="0" fontId="11" fillId="0" borderId="9" xfId="0" applyFont="1" applyBorder="1"/>
    <xf numFmtId="0" fontId="13" fillId="0" borderId="10" xfId="0" applyFont="1" applyBorder="1" applyAlignment="1">
      <alignment vertical="center"/>
    </xf>
    <xf numFmtId="0" fontId="10" fillId="0" borderId="9" xfId="0" applyFont="1" applyBorder="1"/>
    <xf numFmtId="0" fontId="10" fillId="0" borderId="11" xfId="0" applyFont="1" applyBorder="1"/>
    <xf numFmtId="0" fontId="13" fillId="0" borderId="7" xfId="0" applyFont="1" applyBorder="1" applyAlignment="1">
      <alignment vertical="center"/>
    </xf>
    <xf numFmtId="0" fontId="14" fillId="0" borderId="9" xfId="0" applyFont="1" applyBorder="1" applyAlignment="1">
      <alignment vertical="center"/>
    </xf>
    <xf numFmtId="0" fontId="10" fillId="0" borderId="0" xfId="0" applyFont="1"/>
    <xf numFmtId="0" fontId="13" fillId="0" borderId="6" xfId="0" applyFont="1" applyBorder="1" applyAlignment="1">
      <alignment horizontal="center" vertical="center"/>
    </xf>
    <xf numFmtId="0" fontId="0" fillId="0" borderId="0" xfId="0" applyAlignment="1">
      <alignment horizontal="center" vertical="center" wrapText="1"/>
    </xf>
    <xf numFmtId="0" fontId="14" fillId="0" borderId="0" xfId="0" applyFont="1" applyAlignment="1">
      <alignment vertical="center" wrapText="1"/>
    </xf>
    <xf numFmtId="0" fontId="5" fillId="9" borderId="0" xfId="0" applyFont="1" applyFill="1"/>
    <xf numFmtId="0" fontId="27" fillId="0" borderId="0" xfId="1" applyFont="1"/>
    <xf numFmtId="0" fontId="25" fillId="0" borderId="0" xfId="1" applyFont="1"/>
    <xf numFmtId="0" fontId="25" fillId="4" borderId="4" xfId="1" applyFont="1" applyFill="1" applyBorder="1" applyAlignment="1">
      <alignment horizontal="center" vertical="center" wrapText="1"/>
    </xf>
    <xf numFmtId="0" fontId="25" fillId="4" borderId="3" xfId="1" applyFont="1" applyFill="1" applyBorder="1" applyAlignment="1">
      <alignment horizontal="center" vertical="center" wrapText="1"/>
    </xf>
    <xf numFmtId="0" fontId="22" fillId="0" borderId="0" xfId="0" applyFont="1" applyAlignment="1">
      <alignment horizontal="center" vertical="center"/>
    </xf>
    <xf numFmtId="0" fontId="3" fillId="0" borderId="0" xfId="1" applyFont="1" applyAlignment="1">
      <alignment horizontal="center"/>
    </xf>
    <xf numFmtId="0" fontId="0" fillId="0" borderId="0" xfId="0" applyAlignment="1">
      <alignment horizontal="center"/>
    </xf>
    <xf numFmtId="0" fontId="18" fillId="0" borderId="0" xfId="1" applyFont="1" applyAlignment="1">
      <alignment horizontal="center"/>
    </xf>
    <xf numFmtId="0" fontId="14" fillId="0" borderId="0" xfId="0" applyFont="1" applyAlignment="1">
      <alignment horizontal="center" vertical="center"/>
    </xf>
    <xf numFmtId="0" fontId="25" fillId="0" borderId="0" xfId="1" applyFont="1" applyAlignment="1">
      <alignment horizontal="center" vertical="center"/>
    </xf>
    <xf numFmtId="0" fontId="0" fillId="0" borderId="9" xfId="0" applyBorder="1" applyAlignment="1">
      <alignment horizontal="center" vertical="center"/>
    </xf>
    <xf numFmtId="0" fontId="0" fillId="0" borderId="9" xfId="0" applyBorder="1" applyAlignment="1">
      <alignment vertical="center"/>
    </xf>
    <xf numFmtId="0" fontId="11" fillId="0" borderId="9" xfId="0" applyFont="1" applyBorder="1" applyAlignment="1">
      <alignment horizontal="center" vertical="center"/>
    </xf>
    <xf numFmtId="0" fontId="3" fillId="0" borderId="9" xfId="1" applyFont="1" applyBorder="1" applyAlignment="1">
      <alignment horizontal="center"/>
    </xf>
    <xf numFmtId="0" fontId="3" fillId="0" borderId="11" xfId="1" applyFont="1" applyBorder="1" applyAlignment="1">
      <alignment horizontal="center"/>
    </xf>
    <xf numFmtId="0" fontId="3" fillId="0" borderId="9" xfId="1" applyFont="1" applyBorder="1"/>
    <xf numFmtId="0" fontId="3" fillId="0" borderId="11" xfId="1" applyFont="1" applyBorder="1"/>
    <xf numFmtId="0" fontId="25" fillId="4" borderId="5" xfId="1" applyFont="1" applyFill="1" applyBorder="1" applyAlignment="1">
      <alignment horizontal="center" vertical="center" wrapText="1"/>
    </xf>
    <xf numFmtId="0" fontId="3" fillId="4" borderId="1" xfId="1" applyFont="1" applyFill="1" applyBorder="1" applyAlignment="1">
      <alignment horizontal="center" vertical="center" wrapText="1"/>
    </xf>
    <xf numFmtId="2" fontId="3" fillId="4" borderId="1" xfId="1" applyNumberFormat="1" applyFont="1" applyFill="1" applyBorder="1" applyAlignment="1">
      <alignment horizontal="center" vertical="center"/>
    </xf>
    <xf numFmtId="2" fontId="3" fillId="7" borderId="1" xfId="1" applyNumberFormat="1" applyFont="1" applyFill="1" applyBorder="1" applyAlignment="1">
      <alignment horizontal="center" vertical="center"/>
    </xf>
    <xf numFmtId="2" fontId="10" fillId="4" borderId="1" xfId="1" applyNumberFormat="1" applyFont="1" applyFill="1" applyBorder="1" applyAlignment="1">
      <alignment horizontal="center" vertical="center"/>
    </xf>
    <xf numFmtId="2" fontId="10" fillId="4" borderId="5" xfId="1" applyNumberFormat="1" applyFont="1" applyFill="1" applyBorder="1" applyAlignment="1">
      <alignment horizontal="center" vertical="center"/>
    </xf>
    <xf numFmtId="0" fontId="3" fillId="0" borderId="10" xfId="1" applyFont="1" applyBorder="1"/>
    <xf numFmtId="0" fontId="3" fillId="0" borderId="10" xfId="1" applyFont="1" applyBorder="1" applyAlignment="1">
      <alignment horizontal="center"/>
    </xf>
    <xf numFmtId="2" fontId="13" fillId="4" borderId="6" xfId="1" applyNumberFormat="1" applyFont="1" applyFill="1" applyBorder="1" applyAlignment="1">
      <alignment horizontal="center" vertical="center"/>
    </xf>
    <xf numFmtId="2" fontId="13" fillId="4" borderId="8" xfId="1" applyNumberFormat="1" applyFont="1" applyFill="1" applyBorder="1" applyAlignment="1">
      <alignment horizontal="center" vertical="center"/>
    </xf>
    <xf numFmtId="0" fontId="23" fillId="0" borderId="0" xfId="1" applyFont="1"/>
    <xf numFmtId="0" fontId="29" fillId="0" borderId="0" xfId="1" applyFont="1"/>
    <xf numFmtId="0" fontId="25" fillId="4" borderId="27" xfId="1" applyFont="1" applyFill="1" applyBorder="1" applyAlignment="1">
      <alignment horizontal="center" vertical="center" wrapText="1"/>
    </xf>
    <xf numFmtId="0" fontId="3" fillId="4" borderId="25" xfId="1" applyFont="1" applyFill="1" applyBorder="1" applyAlignment="1">
      <alignment horizontal="center" vertical="center"/>
    </xf>
    <xf numFmtId="2" fontId="3" fillId="4" borderId="25" xfId="1" applyNumberFormat="1" applyFont="1" applyFill="1" applyBorder="1" applyAlignment="1">
      <alignment horizontal="center" vertical="center"/>
    </xf>
    <xf numFmtId="2" fontId="3" fillId="7" borderId="25" xfId="1" applyNumberFormat="1" applyFont="1" applyFill="1" applyBorder="1" applyAlignment="1">
      <alignment horizontal="center" vertical="center"/>
    </xf>
    <xf numFmtId="2" fontId="13" fillId="4" borderId="28" xfId="1" applyNumberFormat="1" applyFont="1" applyFill="1" applyBorder="1" applyAlignment="1">
      <alignment horizontal="center" vertical="center"/>
    </xf>
    <xf numFmtId="2" fontId="10" fillId="4" borderId="25" xfId="1" applyNumberFormat="1" applyFont="1" applyFill="1" applyBorder="1" applyAlignment="1">
      <alignment horizontal="center" vertical="center"/>
    </xf>
    <xf numFmtId="2" fontId="10" fillId="4" borderId="27" xfId="1" applyNumberFormat="1" applyFont="1" applyFill="1" applyBorder="1" applyAlignment="1">
      <alignment horizontal="center" vertical="center"/>
    </xf>
    <xf numFmtId="0" fontId="25" fillId="4" borderId="29" xfId="1" applyFont="1" applyFill="1" applyBorder="1" applyAlignment="1">
      <alignment horizontal="center" vertical="center" wrapText="1"/>
    </xf>
    <xf numFmtId="0" fontId="3" fillId="4" borderId="26" xfId="1" applyFont="1" applyFill="1" applyBorder="1" applyAlignment="1">
      <alignment horizontal="center" vertical="center"/>
    </xf>
    <xf numFmtId="2" fontId="3" fillId="4" borderId="26" xfId="1" applyNumberFormat="1" applyFont="1" applyFill="1" applyBorder="1" applyAlignment="1">
      <alignment horizontal="center" vertical="center"/>
    </xf>
    <xf numFmtId="2" fontId="3" fillId="7" borderId="26" xfId="1" applyNumberFormat="1" applyFont="1" applyFill="1" applyBorder="1" applyAlignment="1">
      <alignment horizontal="center" vertical="center"/>
    </xf>
    <xf numFmtId="0" fontId="3" fillId="4" borderId="25" xfId="1" applyFont="1" applyFill="1" applyBorder="1" applyAlignment="1">
      <alignment horizontal="center" vertical="center" wrapText="1"/>
    </xf>
    <xf numFmtId="2" fontId="13" fillId="4" borderId="30" xfId="1" applyNumberFormat="1" applyFont="1" applyFill="1" applyBorder="1" applyAlignment="1">
      <alignment horizontal="center" vertical="center"/>
    </xf>
    <xf numFmtId="2" fontId="10" fillId="4" borderId="26" xfId="1" applyNumberFormat="1" applyFont="1" applyFill="1" applyBorder="1" applyAlignment="1">
      <alignment horizontal="center" vertical="center"/>
    </xf>
    <xf numFmtId="2" fontId="10" fillId="4" borderId="29" xfId="1" applyNumberFormat="1" applyFont="1" applyFill="1" applyBorder="1" applyAlignment="1">
      <alignment horizontal="center" vertical="center"/>
    </xf>
    <xf numFmtId="2" fontId="25" fillId="3" borderId="11" xfId="1" applyNumberFormat="1" applyFont="1" applyFill="1" applyBorder="1" applyAlignment="1">
      <alignment horizontal="center" vertical="center"/>
    </xf>
    <xf numFmtId="0" fontId="3" fillId="3" borderId="9" xfId="1" applyFont="1" applyFill="1" applyBorder="1" applyAlignment="1">
      <alignment horizontal="center" vertical="center"/>
    </xf>
    <xf numFmtId="2" fontId="13" fillId="3" borderId="10" xfId="1" applyNumberFormat="1" applyFont="1" applyFill="1" applyBorder="1" applyAlignment="1">
      <alignment horizontal="center" vertical="center"/>
    </xf>
    <xf numFmtId="0" fontId="13" fillId="2" borderId="2" xfId="1" applyFont="1" applyFill="1" applyBorder="1" applyAlignment="1">
      <alignment horizontal="center" vertical="center"/>
    </xf>
    <xf numFmtId="2" fontId="3" fillId="2" borderId="2" xfId="0" applyNumberFormat="1" applyFont="1" applyFill="1" applyBorder="1" applyAlignment="1">
      <alignment horizontal="center" vertical="center"/>
    </xf>
    <xf numFmtId="2" fontId="13" fillId="2" borderId="7" xfId="0" applyNumberFormat="1" applyFont="1" applyFill="1" applyBorder="1" applyAlignment="1">
      <alignment horizontal="center" vertical="center"/>
    </xf>
    <xf numFmtId="2" fontId="10" fillId="2" borderId="2" xfId="0" applyNumberFormat="1" applyFont="1" applyFill="1" applyBorder="1" applyAlignment="1">
      <alignment horizontal="center" vertical="center"/>
    </xf>
    <xf numFmtId="2" fontId="10" fillId="2" borderId="4" xfId="0" applyNumberFormat="1" applyFont="1" applyFill="1" applyBorder="1" applyAlignment="1">
      <alignment horizontal="center" vertical="center"/>
    </xf>
    <xf numFmtId="2" fontId="25" fillId="3" borderId="5" xfId="1" applyNumberFormat="1" applyFont="1" applyFill="1" applyBorder="1" applyAlignment="1">
      <alignment horizontal="center" vertical="center"/>
    </xf>
    <xf numFmtId="0" fontId="3" fillId="3" borderId="1" xfId="1" applyFont="1" applyFill="1" applyBorder="1" applyAlignment="1">
      <alignment horizontal="center" vertical="center" wrapText="1"/>
    </xf>
    <xf numFmtId="2" fontId="3" fillId="3" borderId="1" xfId="1" applyNumberFormat="1" applyFont="1" applyFill="1" applyBorder="1" applyAlignment="1">
      <alignment horizontal="center" vertical="center"/>
    </xf>
    <xf numFmtId="2" fontId="3" fillId="8" borderId="1" xfId="1" applyNumberFormat="1" applyFont="1" applyFill="1" applyBorder="1" applyAlignment="1">
      <alignment horizontal="center" vertical="center"/>
    </xf>
    <xf numFmtId="2" fontId="13" fillId="3" borderId="8" xfId="1" applyNumberFormat="1" applyFont="1" applyFill="1" applyBorder="1" applyAlignment="1">
      <alignment horizontal="center" vertical="center"/>
    </xf>
    <xf numFmtId="2" fontId="10" fillId="3" borderId="1" xfId="1" applyNumberFormat="1" applyFont="1" applyFill="1" applyBorder="1" applyAlignment="1">
      <alignment horizontal="center" vertical="center"/>
    </xf>
    <xf numFmtId="2" fontId="10" fillId="3" borderId="5" xfId="1" applyNumberFormat="1" applyFont="1" applyFill="1" applyBorder="1" applyAlignment="1">
      <alignment horizontal="center" vertical="center"/>
    </xf>
    <xf numFmtId="2" fontId="25" fillId="3" borderId="4" xfId="1" applyNumberFormat="1" applyFont="1" applyFill="1" applyBorder="1" applyAlignment="1">
      <alignment horizontal="center" vertical="center"/>
    </xf>
    <xf numFmtId="0" fontId="3" fillId="3" borderId="2" xfId="1" applyFont="1" applyFill="1" applyBorder="1" applyAlignment="1">
      <alignment horizontal="center" vertical="center" wrapText="1"/>
    </xf>
    <xf numFmtId="0" fontId="3" fillId="4" borderId="1" xfId="1" applyFont="1" applyFill="1" applyBorder="1" applyAlignment="1">
      <alignment horizontal="center" vertical="center"/>
    </xf>
    <xf numFmtId="2" fontId="3" fillId="3" borderId="2" xfId="1" applyNumberFormat="1" applyFont="1" applyFill="1" applyBorder="1" applyAlignment="1">
      <alignment horizontal="center" vertical="center"/>
    </xf>
    <xf numFmtId="2" fontId="3" fillId="8" borderId="2" xfId="1" applyNumberFormat="1" applyFont="1" applyFill="1" applyBorder="1" applyAlignment="1">
      <alignment horizontal="center" vertical="center"/>
    </xf>
    <xf numFmtId="2" fontId="13" fillId="3" borderId="7" xfId="1" applyNumberFormat="1" applyFont="1" applyFill="1" applyBorder="1" applyAlignment="1">
      <alignment horizontal="center" vertical="center"/>
    </xf>
    <xf numFmtId="2" fontId="10" fillId="3" borderId="2" xfId="1" applyNumberFormat="1" applyFont="1" applyFill="1" applyBorder="1" applyAlignment="1">
      <alignment horizontal="center" vertical="center"/>
    </xf>
    <xf numFmtId="2" fontId="10" fillId="3" borderId="4" xfId="1" applyNumberFormat="1" applyFont="1" applyFill="1" applyBorder="1" applyAlignment="1">
      <alignment horizontal="center" vertical="center"/>
    </xf>
    <xf numFmtId="0" fontId="10" fillId="0" borderId="0" xfId="0" applyFont="1" applyAlignment="1">
      <alignment horizontal="center"/>
    </xf>
    <xf numFmtId="0" fontId="11" fillId="0" borderId="0" xfId="0" applyFont="1" applyAlignment="1">
      <alignment horizontal="center" vertical="center"/>
    </xf>
    <xf numFmtId="0" fontId="3" fillId="0" borderId="0" xfId="0" quotePrefix="1" applyFont="1" applyAlignment="1">
      <alignment horizontal="center" vertical="center"/>
    </xf>
    <xf numFmtId="0" fontId="11" fillId="0" borderId="0" xfId="0" applyFont="1" applyAlignment="1">
      <alignment horizontal="center"/>
    </xf>
    <xf numFmtId="0" fontId="10" fillId="0" borderId="11" xfId="0" applyFont="1" applyBorder="1" applyAlignment="1">
      <alignment horizontal="center"/>
    </xf>
    <xf numFmtId="15" fontId="0" fillId="0" borderId="0" xfId="0" applyNumberFormat="1" applyAlignment="1">
      <alignment horizontal="center" vertical="center"/>
    </xf>
    <xf numFmtId="0" fontId="10" fillId="0" borderId="3" xfId="0" applyFont="1" applyBorder="1" applyAlignment="1">
      <alignment horizontal="center"/>
    </xf>
    <xf numFmtId="0" fontId="25" fillId="2" borderId="4" xfId="1" applyFont="1" applyFill="1" applyBorder="1" applyAlignment="1">
      <alignment horizontal="center" vertical="center" wrapText="1"/>
    </xf>
    <xf numFmtId="0" fontId="11" fillId="0" borderId="9" xfId="0" applyFont="1" applyBorder="1" applyAlignment="1">
      <alignment vertical="center"/>
    </xf>
    <xf numFmtId="0" fontId="10" fillId="0" borderId="4" xfId="0" applyFont="1" applyBorder="1" applyAlignment="1">
      <alignment horizontal="center"/>
    </xf>
    <xf numFmtId="2" fontId="10" fillId="2" borderId="11" xfId="1" applyNumberFormat="1" applyFont="1" applyFill="1" applyBorder="1" applyAlignment="1">
      <alignment horizontal="center" vertical="center"/>
    </xf>
    <xf numFmtId="0" fontId="13" fillId="0" borderId="7" xfId="0" applyFont="1" applyBorder="1" applyAlignment="1">
      <alignment vertical="center" wrapText="1"/>
    </xf>
    <xf numFmtId="0" fontId="10" fillId="0" borderId="2" xfId="0" applyFont="1" applyBorder="1" applyAlignment="1">
      <alignment wrapText="1"/>
    </xf>
    <xf numFmtId="0" fontId="10" fillId="0" borderId="11" xfId="0" applyFont="1" applyBorder="1" applyAlignment="1">
      <alignment wrapText="1"/>
    </xf>
    <xf numFmtId="0" fontId="3" fillId="9" borderId="0" xfId="0" quotePrefix="1" applyFont="1" applyFill="1" applyAlignment="1">
      <alignment vertical="center"/>
    </xf>
    <xf numFmtId="0" fontId="0" fillId="9" borderId="0" xfId="0" applyFill="1" applyAlignment="1">
      <alignment vertical="center"/>
    </xf>
    <xf numFmtId="0" fontId="27" fillId="2" borderId="7" xfId="1" applyFont="1" applyFill="1" applyBorder="1" applyAlignment="1">
      <alignment horizontal="center" vertical="center"/>
    </xf>
    <xf numFmtId="0" fontId="3" fillId="0" borderId="7" xfId="1" applyFont="1" applyBorder="1" applyAlignment="1">
      <alignment horizontal="center" vertical="center"/>
    </xf>
    <xf numFmtId="2" fontId="13" fillId="2" borderId="10" xfId="1" applyNumberFormat="1" applyFont="1" applyFill="1" applyBorder="1" applyAlignment="1">
      <alignment horizontal="center" vertical="center"/>
    </xf>
    <xf numFmtId="0" fontId="3" fillId="0" borderId="2" xfId="1" applyFont="1" applyBorder="1" applyAlignment="1">
      <alignment horizontal="center" vertical="center"/>
    </xf>
    <xf numFmtId="2" fontId="10" fillId="2" borderId="9" xfId="1" applyNumberFormat="1" applyFont="1" applyFill="1" applyBorder="1" applyAlignment="1">
      <alignment horizontal="center" vertical="center"/>
    </xf>
    <xf numFmtId="0" fontId="3" fillId="0" borderId="4" xfId="1" applyFont="1" applyBorder="1" applyAlignment="1">
      <alignment horizontal="center" vertical="center"/>
    </xf>
    <xf numFmtId="0" fontId="10" fillId="0" borderId="4" xfId="0" applyFont="1" applyBorder="1"/>
    <xf numFmtId="0" fontId="31" fillId="0" borderId="0" xfId="1" applyFont="1"/>
    <xf numFmtId="0" fontId="31" fillId="0" borderId="0" xfId="1" applyFont="1" applyAlignment="1">
      <alignment horizontal="center" vertical="center"/>
    </xf>
    <xf numFmtId="0" fontId="14" fillId="0" borderId="4" xfId="0" applyFont="1" applyBorder="1" applyAlignment="1">
      <alignment vertical="center"/>
    </xf>
    <xf numFmtId="0" fontId="13" fillId="8" borderId="1" xfId="1"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11" fillId="0" borderId="2" xfId="0" applyFont="1" applyBorder="1" applyAlignment="1">
      <alignment horizontal="center" vertical="center" wrapText="1"/>
    </xf>
    <xf numFmtId="15" fontId="0" fillId="0" borderId="2" xfId="0" applyNumberFormat="1" applyBorder="1" applyAlignment="1">
      <alignment horizontal="center" vertical="center"/>
    </xf>
    <xf numFmtId="0" fontId="11" fillId="0" borderId="2" xfId="0" applyFont="1" applyBorder="1" applyAlignment="1">
      <alignment horizontal="center" vertical="center"/>
    </xf>
    <xf numFmtId="0" fontId="13" fillId="8" borderId="0" xfId="1" applyFont="1" applyFill="1" applyAlignment="1">
      <alignment horizontal="center" vertical="center"/>
    </xf>
    <xf numFmtId="2" fontId="3" fillId="3" borderId="0" xfId="1" applyNumberFormat="1" applyFont="1" applyFill="1" applyAlignment="1">
      <alignment horizontal="center" vertical="center"/>
    </xf>
    <xf numFmtId="2" fontId="3" fillId="8" borderId="0" xfId="1" applyNumberFormat="1" applyFont="1" applyFill="1" applyAlignment="1">
      <alignment horizontal="center" vertical="center"/>
    </xf>
    <xf numFmtId="2" fontId="10" fillId="3" borderId="0" xfId="1" applyNumberFormat="1" applyFont="1" applyFill="1" applyAlignment="1">
      <alignment horizontal="center" vertical="center"/>
    </xf>
    <xf numFmtId="2" fontId="10" fillId="2" borderId="0" xfId="0" applyNumberFormat="1" applyFont="1" applyFill="1" applyAlignment="1">
      <alignment horizontal="center" vertical="center"/>
    </xf>
    <xf numFmtId="0" fontId="13" fillId="2" borderId="1" xfId="1" applyFont="1" applyFill="1" applyBorder="1" applyAlignment="1">
      <alignment horizontal="center" vertical="center"/>
    </xf>
    <xf numFmtId="2" fontId="3" fillId="2" borderId="2" xfId="1" applyNumberFormat="1" applyFont="1" applyFill="1" applyBorder="1" applyAlignment="1">
      <alignment horizontal="center" vertical="center"/>
    </xf>
    <xf numFmtId="2" fontId="3" fillId="2" borderId="1" xfId="1" applyNumberFormat="1" applyFont="1" applyFill="1" applyBorder="1" applyAlignment="1">
      <alignment horizontal="center" vertical="center"/>
    </xf>
    <xf numFmtId="2" fontId="10" fillId="2" borderId="1" xfId="1" applyNumberFormat="1" applyFont="1" applyFill="1" applyBorder="1" applyAlignment="1">
      <alignment horizontal="center" vertical="center"/>
    </xf>
    <xf numFmtId="2" fontId="10" fillId="3" borderId="3" xfId="1" applyNumberFormat="1" applyFont="1" applyFill="1" applyBorder="1" applyAlignment="1">
      <alignment horizontal="center" vertical="center"/>
    </xf>
    <xf numFmtId="2" fontId="10" fillId="2" borderId="5" xfId="1" applyNumberFormat="1" applyFont="1" applyFill="1" applyBorder="1" applyAlignment="1">
      <alignment horizontal="center" vertical="center"/>
    </xf>
    <xf numFmtId="0" fontId="13" fillId="8" borderId="1" xfId="1" applyFont="1" applyFill="1" applyBorder="1" applyAlignment="1">
      <alignment horizontal="center" vertical="center"/>
    </xf>
    <xf numFmtId="0" fontId="3" fillId="0" borderId="6" xfId="1" applyFont="1" applyBorder="1"/>
    <xf numFmtId="2" fontId="13" fillId="2" borderId="6" xfId="0" applyNumberFormat="1" applyFont="1" applyFill="1" applyBorder="1" applyAlignment="1">
      <alignment horizontal="center" vertical="center"/>
    </xf>
    <xf numFmtId="2" fontId="13" fillId="3" borderId="6" xfId="1" applyNumberFormat="1" applyFont="1" applyFill="1" applyBorder="1" applyAlignment="1">
      <alignment horizontal="center" vertical="center"/>
    </xf>
    <xf numFmtId="2" fontId="13" fillId="2" borderId="8" xfId="1" applyNumberFormat="1" applyFont="1" applyFill="1" applyBorder="1" applyAlignment="1">
      <alignment horizontal="center" vertical="center"/>
    </xf>
    <xf numFmtId="0" fontId="10" fillId="0" borderId="3" xfId="0" applyFont="1" applyBorder="1"/>
    <xf numFmtId="0" fontId="3" fillId="0" borderId="3" xfId="1" applyFont="1" applyBorder="1"/>
    <xf numFmtId="2" fontId="10" fillId="2" borderId="3" xfId="0" applyNumberFormat="1" applyFont="1" applyFill="1" applyBorder="1" applyAlignment="1">
      <alignment horizontal="center" vertical="center"/>
    </xf>
    <xf numFmtId="0" fontId="0" fillId="0" borderId="0" xfId="0" applyAlignment="1">
      <alignment horizontal="left" vertical="center" wrapText="1"/>
    </xf>
    <xf numFmtId="0" fontId="23" fillId="4" borderId="13" xfId="0" applyFont="1" applyFill="1" applyBorder="1" applyAlignment="1">
      <alignment horizontal="center" vertical="center" wrapText="1"/>
    </xf>
    <xf numFmtId="0" fontId="27" fillId="4" borderId="13" xfId="0" applyFont="1" applyFill="1" applyBorder="1" applyAlignment="1">
      <alignment horizontal="center" vertical="center" wrapText="1"/>
    </xf>
    <xf numFmtId="0" fontId="13" fillId="0" borderId="0" xfId="0" applyFont="1" applyAlignment="1">
      <alignment horizontal="center" vertical="center"/>
    </xf>
    <xf numFmtId="0" fontId="10" fillId="0" borderId="0" xfId="0" applyFont="1" applyAlignment="1">
      <alignment horizontal="center" vertical="center"/>
    </xf>
    <xf numFmtId="0" fontId="0" fillId="0" borderId="2" xfId="0" applyBorder="1"/>
    <xf numFmtId="0" fontId="23" fillId="4" borderId="10" xfId="0" applyFont="1" applyFill="1" applyBorder="1" applyAlignment="1">
      <alignment horizontal="center" vertical="center" wrapText="1"/>
    </xf>
    <xf numFmtId="0" fontId="27" fillId="4" borderId="10" xfId="0" applyFont="1" applyFill="1" applyBorder="1" applyAlignment="1">
      <alignment horizontal="center" vertical="center" wrapText="1"/>
    </xf>
    <xf numFmtId="0" fontId="27" fillId="4" borderId="23" xfId="0" applyFont="1" applyFill="1" applyBorder="1" applyAlignment="1">
      <alignment horizontal="center" vertical="center" wrapText="1"/>
    </xf>
    <xf numFmtId="0" fontId="21" fillId="8" borderId="0" xfId="1" applyFont="1" applyFill="1" applyAlignment="1">
      <alignment horizontal="center"/>
    </xf>
    <xf numFmtId="2" fontId="0" fillId="4" borderId="0" xfId="0" applyNumberFormat="1" applyFill="1"/>
    <xf numFmtId="2" fontId="0" fillId="8" borderId="0" xfId="0" applyNumberFormat="1" applyFill="1" applyAlignment="1">
      <alignment horizontal="center"/>
    </xf>
    <xf numFmtId="2" fontId="0" fillId="4" borderId="0" xfId="0" applyNumberFormat="1" applyFill="1" applyAlignment="1">
      <alignment horizontal="center"/>
    </xf>
    <xf numFmtId="2" fontId="10" fillId="8" borderId="0" xfId="0" applyNumberFormat="1" applyFont="1" applyFill="1" applyAlignment="1">
      <alignment horizontal="center"/>
    </xf>
    <xf numFmtId="2" fontId="10" fillId="4" borderId="0" xfId="0" applyNumberFormat="1" applyFont="1" applyFill="1" applyAlignment="1">
      <alignment horizontal="center"/>
    </xf>
    <xf numFmtId="0" fontId="0" fillId="0" borderId="7" xfId="0" applyBorder="1"/>
    <xf numFmtId="0" fontId="11" fillId="0" borderId="6" xfId="0" applyFont="1" applyBorder="1" applyAlignment="1">
      <alignment horizontal="center" vertical="center" wrapText="1"/>
    </xf>
    <xf numFmtId="0" fontId="13" fillId="8" borderId="6" xfId="0" applyFont="1" applyFill="1" applyBorder="1" applyAlignment="1">
      <alignment horizontal="center"/>
    </xf>
    <xf numFmtId="0" fontId="0" fillId="4" borderId="6" xfId="0"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8" xfId="0" applyFont="1" applyFill="1" applyBorder="1" applyAlignment="1">
      <alignment horizontal="center" vertical="center" wrapText="1"/>
    </xf>
    <xf numFmtId="2" fontId="0" fillId="4" borderId="1" xfId="0" applyNumberFormat="1" applyFill="1" applyBorder="1"/>
    <xf numFmtId="0" fontId="0" fillId="0" borderId="2" xfId="0" applyBorder="1" applyAlignment="1">
      <alignment vertical="center"/>
    </xf>
    <xf numFmtId="2" fontId="0" fillId="4" borderId="1" xfId="0" applyNumberFormat="1" applyFill="1" applyBorder="1" applyAlignment="1">
      <alignment horizontal="center"/>
    </xf>
    <xf numFmtId="2" fontId="10" fillId="4" borderId="1" xfId="0" applyNumberFormat="1" applyFont="1" applyFill="1" applyBorder="1" applyAlignment="1">
      <alignment horizontal="center"/>
    </xf>
    <xf numFmtId="0" fontId="10" fillId="0" borderId="3" xfId="0" applyFont="1" applyBorder="1" applyAlignment="1">
      <alignment horizontal="center" vertical="center"/>
    </xf>
    <xf numFmtId="2" fontId="10" fillId="8" borderId="3" xfId="0" applyNumberFormat="1" applyFont="1" applyFill="1" applyBorder="1" applyAlignment="1">
      <alignment horizontal="center"/>
    </xf>
    <xf numFmtId="2" fontId="10" fillId="4" borderId="3" xfId="0" applyNumberFormat="1" applyFont="1" applyFill="1" applyBorder="1" applyAlignment="1">
      <alignment horizontal="center"/>
    </xf>
    <xf numFmtId="2" fontId="10" fillId="4" borderId="5" xfId="0" applyNumberFormat="1" applyFont="1" applyFill="1" applyBorder="1" applyAlignment="1">
      <alignment horizontal="center"/>
    </xf>
    <xf numFmtId="2" fontId="13" fillId="8" borderId="6" xfId="0" applyNumberFormat="1" applyFont="1" applyFill="1" applyBorder="1" applyAlignment="1">
      <alignment horizontal="center" vertical="center"/>
    </xf>
    <xf numFmtId="2" fontId="13" fillId="4" borderId="6" xfId="0" applyNumberFormat="1" applyFont="1" applyFill="1" applyBorder="1" applyAlignment="1">
      <alignment horizontal="center"/>
    </xf>
    <xf numFmtId="2" fontId="13" fillId="4" borderId="8" xfId="0" applyNumberFormat="1" applyFont="1" applyFill="1" applyBorder="1" applyAlignment="1">
      <alignment horizontal="center"/>
    </xf>
    <xf numFmtId="0" fontId="27" fillId="4" borderId="14" xfId="0" applyFont="1" applyFill="1" applyBorder="1" applyAlignment="1">
      <alignment horizontal="center" vertical="center" wrapText="1"/>
    </xf>
    <xf numFmtId="0" fontId="0" fillId="0" borderId="3" xfId="0" applyBorder="1" applyAlignment="1">
      <alignment horizontal="center" vertical="center"/>
    </xf>
    <xf numFmtId="0" fontId="13" fillId="0" borderId="9" xfId="0" applyFont="1" applyBorder="1"/>
    <xf numFmtId="0" fontId="13" fillId="0" borderId="9" xfId="1" applyFont="1" applyBorder="1"/>
    <xf numFmtId="0" fontId="13" fillId="0" borderId="2" xfId="0" applyFont="1" applyBorder="1"/>
    <xf numFmtId="0" fontId="13" fillId="0" borderId="7" xfId="0" applyFont="1" applyBorder="1"/>
    <xf numFmtId="0" fontId="29" fillId="8" borderId="8" xfId="0" applyFont="1" applyFill="1" applyBorder="1" applyAlignment="1">
      <alignment horizontal="center" vertical="center"/>
    </xf>
    <xf numFmtId="0" fontId="1" fillId="0" borderId="0" xfId="0" applyFont="1" applyAlignment="1">
      <alignment vertical="center"/>
    </xf>
    <xf numFmtId="0" fontId="3" fillId="6" borderId="0" xfId="1" applyFont="1" applyFill="1"/>
    <xf numFmtId="0" fontId="3" fillId="6" borderId="0" xfId="1" applyFont="1" applyFill="1" applyAlignment="1">
      <alignment horizontal="center" vertical="center"/>
    </xf>
    <xf numFmtId="2" fontId="3" fillId="2" borderId="11" xfId="1" applyNumberFormat="1" applyFont="1" applyFill="1" applyBorder="1" applyAlignment="1">
      <alignment horizontal="center" vertical="center"/>
    </xf>
    <xf numFmtId="15" fontId="9" fillId="0" borderId="2" xfId="0" applyNumberFormat="1" applyFont="1" applyBorder="1" applyAlignment="1">
      <alignment horizontal="center" vertical="center"/>
    </xf>
    <xf numFmtId="0" fontId="10" fillId="0" borderId="0" xfId="0" applyFont="1" applyAlignment="1">
      <alignment vertical="center"/>
    </xf>
    <xf numFmtId="2" fontId="10" fillId="0" borderId="0" xfId="0" applyNumberFormat="1" applyFont="1" applyAlignment="1">
      <alignment horizontal="center" vertical="center"/>
    </xf>
    <xf numFmtId="2" fontId="10" fillId="0" borderId="0" xfId="1" applyNumberFormat="1" applyFont="1" applyAlignment="1">
      <alignment horizontal="center" vertical="center"/>
    </xf>
    <xf numFmtId="0" fontId="10" fillId="0" borderId="0" xfId="1" applyFont="1"/>
    <xf numFmtId="164" fontId="9" fillId="0" borderId="0" xfId="0" applyNumberFormat="1" applyFont="1" applyAlignment="1">
      <alignment horizontal="center" vertical="center"/>
    </xf>
    <xf numFmtId="0" fontId="16" fillId="0" borderId="0" xfId="0" quotePrefix="1" applyFont="1" applyAlignment="1">
      <alignment vertical="center"/>
    </xf>
    <xf numFmtId="0" fontId="3" fillId="0" borderId="0" xfId="1" applyFont="1" applyAlignment="1">
      <alignment horizontal="left" vertical="center"/>
    </xf>
    <xf numFmtId="0" fontId="35" fillId="0" borderId="0" xfId="0" applyFont="1" applyAlignment="1">
      <alignment horizontal="left" vertical="center" readingOrder="1"/>
    </xf>
    <xf numFmtId="0" fontId="36" fillId="0" borderId="0" xfId="0" applyFont="1" applyAlignment="1">
      <alignment horizontal="left" vertical="center" readingOrder="1"/>
    </xf>
    <xf numFmtId="0" fontId="3" fillId="0" borderId="0" xfId="0" applyFont="1"/>
    <xf numFmtId="0" fontId="14" fillId="0" borderId="11" xfId="0" applyFont="1" applyBorder="1" applyAlignment="1">
      <alignment vertical="center"/>
    </xf>
    <xf numFmtId="15" fontId="9" fillId="0" borderId="10" xfId="0" applyNumberFormat="1" applyFont="1" applyBorder="1" applyAlignment="1">
      <alignment horizontal="center" vertical="center"/>
    </xf>
    <xf numFmtId="164" fontId="10" fillId="0" borderId="0" xfId="0" applyNumberFormat="1" applyFont="1" applyAlignment="1">
      <alignment horizontal="center" vertical="center"/>
    </xf>
    <xf numFmtId="0" fontId="3" fillId="0" borderId="9" xfId="1" applyFont="1" applyBorder="1" applyAlignment="1">
      <alignment horizontal="center" vertical="center"/>
    </xf>
    <xf numFmtId="0" fontId="13" fillId="0" borderId="10" xfId="0" applyFont="1" applyBorder="1"/>
    <xf numFmtId="0" fontId="5" fillId="9" borderId="0" xfId="0" applyFont="1" applyFill="1" applyAlignment="1">
      <alignment horizontal="left" vertical="center"/>
    </xf>
    <xf numFmtId="0" fontId="25" fillId="4" borderId="11" xfId="1" applyFont="1" applyFill="1" applyBorder="1" applyAlignment="1">
      <alignment horizontal="center" vertical="center" wrapText="1"/>
    </xf>
    <xf numFmtId="15" fontId="0" fillId="0" borderId="4" xfId="0" applyNumberFormat="1" applyBorder="1" applyAlignment="1">
      <alignment horizontal="center" vertical="center"/>
    </xf>
    <xf numFmtId="15" fontId="14" fillId="0" borderId="2" xfId="0" applyNumberFormat="1" applyFont="1" applyBorder="1" applyAlignment="1">
      <alignment horizontal="center" vertical="center"/>
    </xf>
    <xf numFmtId="15" fontId="14" fillId="0" borderId="11" xfId="0" applyNumberFormat="1" applyFont="1" applyBorder="1" applyAlignment="1">
      <alignment horizontal="center" vertical="center"/>
    </xf>
    <xf numFmtId="2" fontId="3" fillId="2" borderId="9" xfId="0" applyNumberFormat="1" applyFont="1" applyFill="1" applyBorder="1" applyAlignment="1">
      <alignment horizontal="center" vertical="center"/>
    </xf>
    <xf numFmtId="2" fontId="3" fillId="2" borderId="11" xfId="0" applyNumberFormat="1" applyFont="1" applyFill="1" applyBorder="1" applyAlignment="1">
      <alignment horizontal="center" vertical="center"/>
    </xf>
    <xf numFmtId="2" fontId="3" fillId="3" borderId="11" xfId="1" applyNumberFormat="1" applyFont="1" applyFill="1" applyBorder="1" applyAlignment="1">
      <alignment horizontal="center" vertical="center"/>
    </xf>
    <xf numFmtId="2" fontId="3" fillId="4" borderId="2" xfId="1" applyNumberFormat="1" applyFont="1" applyFill="1" applyBorder="1" applyAlignment="1">
      <alignment horizontal="center" vertical="center"/>
    </xf>
    <xf numFmtId="2" fontId="3" fillId="4" borderId="9" xfId="1" applyNumberFormat="1" applyFont="1" applyFill="1" applyBorder="1" applyAlignment="1">
      <alignment horizontal="center" vertical="center"/>
    </xf>
    <xf numFmtId="2" fontId="3" fillId="4" borderId="11" xfId="1" applyNumberFormat="1" applyFont="1" applyFill="1" applyBorder="1" applyAlignment="1">
      <alignment horizontal="center" vertical="center"/>
    </xf>
    <xf numFmtId="0" fontId="12" fillId="3" borderId="31" xfId="1" applyFont="1" applyFill="1" applyBorder="1" applyAlignment="1">
      <alignment horizontal="center" vertical="center" wrapText="1"/>
    </xf>
    <xf numFmtId="0" fontId="12" fillId="3" borderId="13" xfId="1" applyFont="1" applyFill="1" applyBorder="1" applyAlignment="1">
      <alignment horizontal="center" vertical="center" wrapText="1"/>
    </xf>
    <xf numFmtId="0" fontId="12" fillId="3" borderId="14" xfId="1" applyFont="1" applyFill="1" applyBorder="1" applyAlignment="1">
      <alignment horizontal="center" vertical="center" wrapText="1"/>
    </xf>
    <xf numFmtId="2" fontId="10" fillId="0" borderId="0" xfId="0" applyNumberFormat="1" applyFont="1" applyAlignment="1">
      <alignment horizontal="center"/>
    </xf>
    <xf numFmtId="0" fontId="0" fillId="0" borderId="6" xfId="0" applyBorder="1" applyAlignment="1">
      <alignment horizontal="center" vertical="center"/>
    </xf>
    <xf numFmtId="0" fontId="29" fillId="3" borderId="14" xfId="0" applyFont="1" applyFill="1" applyBorder="1" applyAlignment="1">
      <alignment horizontal="center" vertical="center"/>
    </xf>
    <xf numFmtId="0" fontId="13" fillId="3" borderId="6" xfId="0" applyFont="1" applyFill="1" applyBorder="1" applyAlignment="1">
      <alignment horizontal="center"/>
    </xf>
    <xf numFmtId="2" fontId="0" fillId="3" borderId="0" xfId="0" applyNumberFormat="1" applyFill="1"/>
    <xf numFmtId="2" fontId="0" fillId="3" borderId="0" xfId="0" applyNumberFormat="1" applyFill="1" applyAlignment="1">
      <alignment horizontal="center"/>
    </xf>
    <xf numFmtId="2" fontId="0" fillId="3" borderId="2" xfId="0" applyNumberFormat="1" applyFill="1" applyBorder="1" applyAlignment="1">
      <alignment horizontal="center"/>
    </xf>
    <xf numFmtId="0" fontId="0" fillId="4" borderId="0" xfId="0" applyFill="1"/>
    <xf numFmtId="2" fontId="13" fillId="3" borderId="7" xfId="0" applyNumberFormat="1" applyFont="1" applyFill="1" applyBorder="1" applyAlignment="1">
      <alignment horizontal="center"/>
    </xf>
    <xf numFmtId="2" fontId="10" fillId="3" borderId="2" xfId="0" applyNumberFormat="1" applyFont="1" applyFill="1" applyBorder="1" applyAlignment="1">
      <alignment horizontal="center"/>
    </xf>
    <xf numFmtId="2" fontId="10" fillId="3" borderId="4" xfId="0" applyNumberFormat="1" applyFont="1" applyFill="1" applyBorder="1" applyAlignment="1">
      <alignment horizontal="center"/>
    </xf>
    <xf numFmtId="0" fontId="3" fillId="4" borderId="0" xfId="0" applyFont="1" applyFill="1" applyAlignment="1">
      <alignment horizontal="center" vertical="center" wrapText="1"/>
    </xf>
    <xf numFmtId="0" fontId="37" fillId="0" borderId="0" xfId="0" applyFont="1" applyAlignment="1">
      <alignment vertical="center"/>
    </xf>
    <xf numFmtId="0" fontId="37" fillId="0" borderId="0" xfId="0" applyFont="1" applyAlignment="1">
      <alignment horizontal="left" vertical="center" wrapText="1"/>
    </xf>
    <xf numFmtId="0" fontId="39" fillId="6" borderId="0" xfId="3" applyFill="1"/>
    <xf numFmtId="15" fontId="14" fillId="0" borderId="0" xfId="0" applyNumberFormat="1" applyFont="1" applyAlignment="1">
      <alignment horizontal="center" vertical="center"/>
    </xf>
    <xf numFmtId="2" fontId="3" fillId="2" borderId="0" xfId="0" applyNumberFormat="1" applyFont="1" applyFill="1" applyAlignment="1">
      <alignment horizontal="center" vertical="center"/>
    </xf>
    <xf numFmtId="15" fontId="10" fillId="0" borderId="0" xfId="0" applyNumberFormat="1" applyFont="1" applyAlignment="1">
      <alignment horizontal="left" vertical="center"/>
    </xf>
    <xf numFmtId="15" fontId="10" fillId="0" borderId="0" xfId="0" applyNumberFormat="1" applyFont="1" applyAlignment="1">
      <alignment horizontal="center" vertical="center"/>
    </xf>
    <xf numFmtId="0" fontId="10" fillId="0" borderId="0" xfId="1" applyFont="1" applyAlignment="1">
      <alignment horizontal="center"/>
    </xf>
    <xf numFmtId="15" fontId="13" fillId="0" borderId="0" xfId="0" applyNumberFormat="1" applyFont="1" applyAlignment="1">
      <alignment horizontal="center" vertical="center"/>
    </xf>
    <xf numFmtId="15" fontId="13" fillId="0" borderId="0" xfId="0" applyNumberFormat="1" applyFont="1" applyAlignment="1">
      <alignment horizontal="left" vertical="center"/>
    </xf>
    <xf numFmtId="0" fontId="13" fillId="0" borderId="0" xfId="1" applyFont="1" applyAlignment="1">
      <alignment horizontal="center"/>
    </xf>
    <xf numFmtId="0" fontId="13" fillId="0" borderId="0" xfId="1" applyFont="1"/>
    <xf numFmtId="2" fontId="13" fillId="2" borderId="0" xfId="0" applyNumberFormat="1" applyFont="1" applyFill="1" applyAlignment="1">
      <alignment horizontal="center" vertical="center"/>
    </xf>
    <xf numFmtId="2" fontId="13" fillId="3" borderId="0" xfId="1" applyNumberFormat="1" applyFont="1" applyFill="1" applyAlignment="1">
      <alignment horizontal="center" vertical="center"/>
    </xf>
    <xf numFmtId="2" fontId="13" fillId="4" borderId="0" xfId="1" applyNumberFormat="1" applyFont="1" applyFill="1" applyAlignment="1">
      <alignment horizontal="center" vertical="center"/>
    </xf>
    <xf numFmtId="0" fontId="13" fillId="0" borderId="0" xfId="0" applyFont="1"/>
    <xf numFmtId="2" fontId="13" fillId="7" borderId="0" xfId="1" applyNumberFormat="1" applyFont="1" applyFill="1" applyAlignment="1">
      <alignment horizontal="center" vertical="center"/>
    </xf>
    <xf numFmtId="2" fontId="10" fillId="7" borderId="0" xfId="1" applyNumberFormat="1" applyFont="1" applyFill="1" applyAlignment="1">
      <alignment horizontal="center" vertical="center"/>
    </xf>
    <xf numFmtId="2" fontId="13" fillId="8" borderId="0" xfId="1" applyNumberFormat="1" applyFont="1" applyFill="1" applyAlignment="1">
      <alignment horizontal="center" vertical="center"/>
    </xf>
    <xf numFmtId="2" fontId="10" fillId="8" borderId="0" xfId="1" applyNumberFormat="1" applyFont="1" applyFill="1" applyAlignment="1">
      <alignment horizontal="center" vertical="center"/>
    </xf>
    <xf numFmtId="2" fontId="3" fillId="2" borderId="0" xfId="1" applyNumberFormat="1" applyFont="1" applyFill="1" applyAlignment="1">
      <alignment horizontal="center" vertical="center"/>
    </xf>
    <xf numFmtId="2" fontId="10" fillId="2" borderId="0" xfId="1" applyNumberFormat="1" applyFont="1" applyFill="1" applyAlignment="1">
      <alignment horizontal="center" vertical="center"/>
    </xf>
    <xf numFmtId="2" fontId="13" fillId="2" borderId="0" xfId="1" applyNumberFormat="1" applyFont="1" applyFill="1" applyAlignment="1">
      <alignment horizontal="center" vertical="center"/>
    </xf>
    <xf numFmtId="15" fontId="11" fillId="0" borderId="0" xfId="0" applyNumberFormat="1" applyFont="1" applyAlignment="1">
      <alignment horizontal="center" vertical="center"/>
    </xf>
    <xf numFmtId="0" fontId="12" fillId="0" borderId="0" xfId="1" applyFont="1" applyAlignment="1">
      <alignment horizontal="center"/>
    </xf>
    <xf numFmtId="15" fontId="16" fillId="0" borderId="0" xfId="0" applyNumberFormat="1" applyFont="1" applyAlignment="1">
      <alignment horizontal="center" vertical="center"/>
    </xf>
    <xf numFmtId="0" fontId="12" fillId="0" borderId="0" xfId="1" applyFont="1" applyAlignment="1">
      <alignment horizontal="center" vertical="center"/>
    </xf>
    <xf numFmtId="165" fontId="12" fillId="0" borderId="0" xfId="1" applyNumberFormat="1" applyFont="1" applyAlignment="1">
      <alignment horizontal="center" vertical="center"/>
    </xf>
    <xf numFmtId="0" fontId="12" fillId="0" borderId="0" xfId="1" applyFont="1"/>
    <xf numFmtId="0" fontId="12" fillId="6" borderId="0" xfId="1" applyFont="1" applyFill="1" applyAlignment="1">
      <alignment horizontal="center" vertical="center"/>
    </xf>
    <xf numFmtId="0" fontId="3" fillId="0" borderId="1" xfId="1" applyFont="1" applyBorder="1" applyAlignment="1">
      <alignment horizontal="center"/>
    </xf>
    <xf numFmtId="0" fontId="24" fillId="0" borderId="5" xfId="0" applyFont="1" applyBorder="1" applyAlignment="1">
      <alignment vertical="center" wrapText="1"/>
    </xf>
    <xf numFmtId="0" fontId="25" fillId="2" borderId="4" xfId="1" applyFont="1" applyFill="1" applyBorder="1" applyAlignment="1">
      <alignment vertical="center" wrapText="1"/>
    </xf>
    <xf numFmtId="0" fontId="11" fillId="0" borderId="1" xfId="0" applyFont="1" applyBorder="1" applyAlignment="1">
      <alignment horizontal="center" vertical="center"/>
    </xf>
    <xf numFmtId="0" fontId="14" fillId="0" borderId="0" xfId="4" applyFont="1" applyAlignment="1">
      <alignment vertical="center"/>
    </xf>
    <xf numFmtId="0" fontId="0" fillId="0" borderId="0" xfId="0" applyAlignment="1">
      <alignment horizontal="left" vertical="center" wrapText="1"/>
    </xf>
    <xf numFmtId="0" fontId="37" fillId="0" borderId="0" xfId="0" applyFont="1" applyAlignment="1">
      <alignment horizontal="left" vertical="center" wrapText="1"/>
    </xf>
    <xf numFmtId="0" fontId="7" fillId="0" borderId="15" xfId="2" applyFont="1" applyBorder="1" applyAlignment="1">
      <alignment horizontal="left" vertical="center" wrapText="1"/>
    </xf>
    <xf numFmtId="0" fontId="7" fillId="0" borderId="16" xfId="2" applyFont="1" applyBorder="1" applyAlignment="1">
      <alignment horizontal="left" vertical="center" wrapText="1"/>
    </xf>
    <xf numFmtId="0" fontId="7" fillId="0" borderId="17" xfId="2" applyFont="1" applyBorder="1" applyAlignment="1">
      <alignment horizontal="left" vertical="center" wrapText="1"/>
    </xf>
    <xf numFmtId="0" fontId="7" fillId="6" borderId="18" xfId="0" applyFont="1" applyFill="1" applyBorder="1" applyAlignment="1">
      <alignment horizontal="left" vertical="center" wrapText="1"/>
    </xf>
    <xf numFmtId="0" fontId="7" fillId="6" borderId="0" xfId="0" applyFont="1" applyFill="1" applyAlignment="1">
      <alignment horizontal="left" vertical="center" wrapText="1"/>
    </xf>
    <xf numFmtId="0" fontId="7" fillId="6" borderId="19" xfId="0" applyFont="1" applyFill="1" applyBorder="1" applyAlignment="1">
      <alignment horizontal="left" vertical="center" wrapText="1"/>
    </xf>
    <xf numFmtId="0" fontId="7" fillId="6" borderId="20" xfId="0" applyFont="1" applyFill="1" applyBorder="1" applyAlignment="1">
      <alignment horizontal="left" vertical="center" wrapText="1" readingOrder="1"/>
    </xf>
    <xf numFmtId="0" fontId="7" fillId="6" borderId="21" xfId="0" applyFont="1" applyFill="1" applyBorder="1" applyAlignment="1">
      <alignment horizontal="left" vertical="center" wrapText="1" readingOrder="1"/>
    </xf>
    <xf numFmtId="0" fontId="7" fillId="6" borderId="22" xfId="0" applyFont="1" applyFill="1" applyBorder="1" applyAlignment="1">
      <alignment horizontal="left" vertical="center" wrapText="1" readingOrder="1"/>
    </xf>
    <xf numFmtId="0" fontId="6" fillId="6" borderId="0" xfId="0" applyFont="1" applyFill="1" applyAlignment="1">
      <alignment horizontal="left" vertical="center" wrapText="1" readingOrder="1"/>
    </xf>
    <xf numFmtId="0" fontId="6" fillId="0" borderId="0" xfId="0" applyFont="1" applyAlignment="1">
      <alignment horizontal="left" vertical="center" wrapText="1" readingOrder="1"/>
    </xf>
    <xf numFmtId="0" fontId="6" fillId="6" borderId="20" xfId="0" applyFont="1" applyFill="1" applyBorder="1" applyAlignment="1">
      <alignment horizontal="left" vertical="center" wrapText="1" readingOrder="1"/>
    </xf>
    <xf numFmtId="0" fontId="6" fillId="6" borderId="21" xfId="0" applyFont="1" applyFill="1" applyBorder="1" applyAlignment="1">
      <alignment horizontal="left" vertical="center" wrapText="1" readingOrder="1"/>
    </xf>
    <xf numFmtId="0" fontId="6" fillId="6" borderId="22" xfId="0" applyFont="1" applyFill="1" applyBorder="1" applyAlignment="1">
      <alignment horizontal="left" vertical="center" wrapText="1" readingOrder="1"/>
    </xf>
    <xf numFmtId="0" fontId="5" fillId="6" borderId="0" xfId="0" applyFont="1" applyFill="1" applyAlignment="1">
      <alignment horizontal="center"/>
    </xf>
    <xf numFmtId="0" fontId="4" fillId="6" borderId="0" xfId="0" applyFont="1" applyFill="1" applyAlignment="1">
      <alignment horizontal="center" vertical="center" wrapText="1"/>
    </xf>
    <xf numFmtId="0" fontId="6" fillId="6" borderId="15" xfId="0" applyFont="1" applyFill="1" applyBorder="1" applyAlignment="1">
      <alignment horizontal="left" vertical="center" wrapText="1" readingOrder="1"/>
    </xf>
    <xf numFmtId="0" fontId="6" fillId="6" borderId="16" xfId="0" applyFont="1" applyFill="1" applyBorder="1" applyAlignment="1">
      <alignment horizontal="left" vertical="center" wrapText="1" readingOrder="1"/>
    </xf>
    <xf numFmtId="0" fontId="6" fillId="6" borderId="17" xfId="0" applyFont="1" applyFill="1" applyBorder="1" applyAlignment="1">
      <alignment horizontal="left" vertical="center" wrapText="1" readingOrder="1"/>
    </xf>
    <xf numFmtId="0" fontId="6" fillId="6" borderId="18" xfId="0" applyFont="1" applyFill="1" applyBorder="1" applyAlignment="1">
      <alignment horizontal="left" vertical="center" wrapText="1" readingOrder="1"/>
    </xf>
    <xf numFmtId="0" fontId="6" fillId="6" borderId="19" xfId="0" applyFont="1" applyFill="1" applyBorder="1" applyAlignment="1">
      <alignment horizontal="left" vertical="center" wrapText="1" readingOrder="1"/>
    </xf>
    <xf numFmtId="0" fontId="24" fillId="0" borderId="10" xfId="0" applyFont="1" applyBorder="1" applyAlignment="1">
      <alignment horizontal="center" vertical="center"/>
    </xf>
    <xf numFmtId="0" fontId="24" fillId="0" borderId="11" xfId="0" applyFont="1" applyBorder="1" applyAlignment="1">
      <alignment horizontal="center" vertical="center"/>
    </xf>
    <xf numFmtId="0" fontId="24" fillId="0" borderId="8" xfId="0" applyFont="1" applyBorder="1" applyAlignment="1">
      <alignment horizontal="center" vertical="center" wrapText="1"/>
    </xf>
    <xf numFmtId="0" fontId="24" fillId="0" borderId="5" xfId="0" applyFont="1" applyBorder="1" applyAlignment="1">
      <alignment horizontal="center" vertical="center" wrapText="1"/>
    </xf>
    <xf numFmtId="0" fontId="29" fillId="5" borderId="7" xfId="1" applyFont="1" applyFill="1" applyBorder="1" applyAlignment="1">
      <alignment horizontal="center" vertical="center"/>
    </xf>
    <xf numFmtId="0" fontId="29" fillId="5" borderId="6" xfId="1" applyFont="1" applyFill="1" applyBorder="1" applyAlignment="1">
      <alignment horizontal="center" vertical="center"/>
    </xf>
    <xf numFmtId="0" fontId="29" fillId="5" borderId="8" xfId="1" applyFont="1" applyFill="1" applyBorder="1" applyAlignment="1">
      <alignment horizontal="center" vertical="center"/>
    </xf>
    <xf numFmtId="0" fontId="29" fillId="5" borderId="7" xfId="1" applyFont="1" applyFill="1" applyBorder="1" applyAlignment="1">
      <alignment horizontal="center" vertical="center" wrapText="1"/>
    </xf>
    <xf numFmtId="0" fontId="29" fillId="5" borderId="6" xfId="1" applyFont="1" applyFill="1" applyBorder="1" applyAlignment="1">
      <alignment horizontal="center" vertical="center" wrapText="1"/>
    </xf>
    <xf numFmtId="0" fontId="29" fillId="5" borderId="8" xfId="1" applyFont="1" applyFill="1" applyBorder="1" applyAlignment="1">
      <alignment horizontal="center" vertical="center" wrapText="1"/>
    </xf>
    <xf numFmtId="0" fontId="25" fillId="2" borderId="7" xfId="1" applyFont="1" applyFill="1" applyBorder="1" applyAlignment="1">
      <alignment horizontal="center" vertical="center" wrapText="1"/>
    </xf>
    <xf numFmtId="0" fontId="25" fillId="2" borderId="4" xfId="1" applyFont="1" applyFill="1" applyBorder="1" applyAlignment="1">
      <alignment horizontal="center" vertical="center" wrapText="1"/>
    </xf>
    <xf numFmtId="0" fontId="24" fillId="0" borderId="7" xfId="0" applyFont="1" applyBorder="1" applyAlignment="1">
      <alignment horizontal="center" vertical="center"/>
    </xf>
    <xf numFmtId="0" fontId="24" fillId="0" borderId="4" xfId="0" applyFont="1" applyBorder="1" applyAlignment="1">
      <alignment horizontal="center" vertical="center"/>
    </xf>
    <xf numFmtId="0" fontId="24" fillId="0" borderId="9" xfId="0" applyFont="1" applyBorder="1" applyAlignment="1">
      <alignment horizontal="center" vertical="center"/>
    </xf>
    <xf numFmtId="0" fontId="24" fillId="2" borderId="10" xfId="1" applyFont="1" applyFill="1" applyBorder="1" applyAlignment="1">
      <alignment horizontal="center" vertical="center" wrapText="1"/>
    </xf>
    <xf numFmtId="0" fontId="24" fillId="2" borderId="11" xfId="1" applyFont="1" applyFill="1" applyBorder="1" applyAlignment="1">
      <alignment horizontal="center" vertical="center" wrapText="1"/>
    </xf>
    <xf numFmtId="0" fontId="24" fillId="3" borderId="8" xfId="0" applyFont="1" applyFill="1" applyBorder="1" applyAlignment="1">
      <alignment horizontal="center" vertical="center" wrapText="1"/>
    </xf>
    <xf numFmtId="0" fontId="24" fillId="3" borderId="5" xfId="0" applyFont="1" applyFill="1" applyBorder="1" applyAlignment="1">
      <alignment horizontal="center" vertical="center" wrapText="1"/>
    </xf>
    <xf numFmtId="0" fontId="24" fillId="3" borderId="10" xfId="0" applyFont="1" applyFill="1" applyBorder="1" applyAlignment="1">
      <alignment horizontal="center" vertical="center" wrapText="1"/>
    </xf>
    <xf numFmtId="0" fontId="24" fillId="3" borderId="11" xfId="0" applyFont="1" applyFill="1" applyBorder="1" applyAlignment="1">
      <alignment horizontal="center" vertical="center" wrapText="1"/>
    </xf>
    <xf numFmtId="0" fontId="24" fillId="3" borderId="31" xfId="1" applyFont="1" applyFill="1" applyBorder="1" applyAlignment="1">
      <alignment horizontal="center"/>
    </xf>
    <xf numFmtId="0" fontId="0" fillId="0" borderId="12" xfId="0" applyBorder="1"/>
    <xf numFmtId="0" fontId="0" fillId="0" borderId="14" xfId="0" applyBorder="1"/>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4" xfId="0" applyFont="1" applyBorder="1" applyAlignment="1">
      <alignment horizontal="center" vertical="center" wrapText="1"/>
    </xf>
    <xf numFmtId="0" fontId="25" fillId="3" borderId="6" xfId="1" applyFont="1" applyFill="1" applyBorder="1" applyAlignment="1">
      <alignment horizontal="center" vertical="center" wrapText="1"/>
    </xf>
    <xf numFmtId="0" fontId="25" fillId="3" borderId="3" xfId="1" applyFont="1" applyFill="1" applyBorder="1" applyAlignment="1">
      <alignment horizontal="center" vertical="center" wrapText="1"/>
    </xf>
    <xf numFmtId="0" fontId="25" fillId="3" borderId="10" xfId="1" applyFont="1" applyFill="1" applyBorder="1" applyAlignment="1">
      <alignment horizontal="center" vertical="center" wrapText="1"/>
    </xf>
    <xf numFmtId="0" fontId="25" fillId="3" borderId="11" xfId="1" applyFont="1" applyFill="1" applyBorder="1" applyAlignment="1">
      <alignment horizontal="center" vertical="center" wrapText="1"/>
    </xf>
    <xf numFmtId="0" fontId="25" fillId="3" borderId="31" xfId="1" applyFont="1" applyFill="1" applyBorder="1" applyAlignment="1">
      <alignment horizontal="center" vertic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25" fillId="3" borderId="8" xfId="1" applyFont="1" applyFill="1" applyBorder="1" applyAlignment="1">
      <alignment horizontal="center" vertical="center" wrapText="1"/>
    </xf>
    <xf numFmtId="0" fontId="25" fillId="3" borderId="5" xfId="1" applyFont="1" applyFill="1" applyBorder="1" applyAlignment="1">
      <alignment horizontal="center" vertical="center" wrapText="1"/>
    </xf>
    <xf numFmtId="0" fontId="25" fillId="2" borderId="16" xfId="0" applyFont="1" applyFill="1" applyBorder="1" applyAlignment="1">
      <alignment horizontal="center" vertical="center"/>
    </xf>
    <xf numFmtId="0" fontId="25" fillId="2" borderId="17" xfId="0" applyFont="1" applyFill="1" applyBorder="1" applyAlignment="1">
      <alignment horizontal="center" vertical="center"/>
    </xf>
    <xf numFmtId="0" fontId="25" fillId="2" borderId="3" xfId="0" applyFont="1" applyFill="1" applyBorder="1" applyAlignment="1">
      <alignment horizontal="center" vertical="center"/>
    </xf>
    <xf numFmtId="0" fontId="25" fillId="2" borderId="24" xfId="0" applyFont="1" applyFill="1" applyBorder="1" applyAlignment="1">
      <alignment horizontal="center" vertical="center"/>
    </xf>
    <xf numFmtId="0" fontId="24" fillId="0" borderId="9" xfId="0" applyFont="1" applyBorder="1" applyAlignment="1">
      <alignment horizontal="center" vertical="center" wrapText="1"/>
    </xf>
    <xf numFmtId="0" fontId="34" fillId="10" borderId="0" xfId="0" applyFont="1" applyFill="1" applyAlignment="1">
      <alignment horizontal="center"/>
    </xf>
    <xf numFmtId="0" fontId="0" fillId="0" borderId="0" xfId="0" applyAlignment="1">
      <alignment horizontal="center"/>
    </xf>
    <xf numFmtId="0" fontId="25" fillId="0" borderId="10" xfId="1" applyFont="1" applyBorder="1" applyAlignment="1">
      <alignment horizontal="center" vertical="center"/>
    </xf>
    <xf numFmtId="0" fontId="25" fillId="0" borderId="11" xfId="1" applyFont="1" applyBorder="1" applyAlignment="1">
      <alignment horizontal="center" vertical="center"/>
    </xf>
    <xf numFmtId="0" fontId="12" fillId="2" borderId="10" xfId="1" applyFont="1" applyFill="1" applyBorder="1" applyAlignment="1">
      <alignment horizontal="center" vertical="center" wrapText="1"/>
    </xf>
    <xf numFmtId="0" fontId="12" fillId="2" borderId="11" xfId="1" applyFont="1" applyFill="1" applyBorder="1" applyAlignment="1">
      <alignment horizontal="center" vertical="center" wrapText="1"/>
    </xf>
    <xf numFmtId="0" fontId="12" fillId="2" borderId="7" xfId="1" applyFont="1" applyFill="1" applyBorder="1" applyAlignment="1">
      <alignment horizontal="center" vertical="center"/>
    </xf>
    <xf numFmtId="0" fontId="12" fillId="2" borderId="6" xfId="1" applyFont="1" applyFill="1" applyBorder="1" applyAlignment="1">
      <alignment horizontal="center" vertical="center"/>
    </xf>
    <xf numFmtId="0" fontId="12" fillId="2" borderId="8" xfId="1" applyFont="1" applyFill="1" applyBorder="1" applyAlignment="1">
      <alignment horizontal="center" vertical="center"/>
    </xf>
    <xf numFmtId="0" fontId="25" fillId="0" borderId="10" xfId="1" applyFont="1" applyBorder="1" applyAlignment="1">
      <alignment horizontal="center" vertical="center" wrapText="1"/>
    </xf>
    <xf numFmtId="0" fontId="25" fillId="0" borderId="11" xfId="1" applyFont="1" applyBorder="1" applyAlignment="1">
      <alignment horizontal="center" vertical="center" wrapText="1"/>
    </xf>
    <xf numFmtId="2" fontId="0" fillId="0" borderId="0" xfId="0" applyNumberFormat="1" applyAlignment="1">
      <alignment horizontal="center" vertical="center"/>
    </xf>
  </cellXfs>
  <cellStyles count="5">
    <cellStyle name="Hyperlink" xfId="3" builtinId="8"/>
    <cellStyle name="Normal" xfId="0" builtinId="0"/>
    <cellStyle name="Normal 2" xfId="1" xr:uid="{00000000-0005-0000-0000-000001000000}"/>
    <cellStyle name="Normal 2 2" xfId="2" xr:uid="{00000000-0005-0000-0000-000002000000}"/>
    <cellStyle name="Normal 3" xfId="4" xr:uid="{344F9034-FF2D-4722-9683-705DA83BCE93}"/>
  </cellStyles>
  <dxfs count="9">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
      <font>
        <b/>
        <i val="0"/>
        <strike val="0"/>
      </font>
    </dxf>
  </dxfs>
  <tableStyles count="0" defaultTableStyle="TableStyleMedium2" defaultPivotStyle="PivotStyleLight16"/>
  <colors>
    <mruColors>
      <color rgb="FF8EA9DB"/>
      <color rgb="FFD9E1F2"/>
      <color rgb="FFB8E08C"/>
      <color rgb="FFECF0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314325</xdr:colOff>
      <xdr:row>21</xdr:row>
      <xdr:rowOff>804545</xdr:rowOff>
    </xdr:from>
    <xdr:to>
      <xdr:col>8</xdr:col>
      <xdr:colOff>57150</xdr:colOff>
      <xdr:row>42</xdr:row>
      <xdr:rowOff>147320</xdr:rowOff>
    </xdr:to>
    <xdr:pic>
      <xdr:nvPicPr>
        <xdr:cNvPr id="10" name="Picture 9">
          <a:extLst>
            <a:ext uri="{FF2B5EF4-FFF2-40B4-BE49-F238E27FC236}">
              <a16:creationId xmlns:a16="http://schemas.microsoft.com/office/drawing/2014/main" id="{10B92F7C-DAB8-4864-81D5-367E20CEB0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3125" y="10348595"/>
          <a:ext cx="2790825" cy="3429000"/>
        </a:xfrm>
        <a:prstGeom prst="rect">
          <a:avLst/>
        </a:prstGeom>
      </xdr:spPr>
    </xdr:pic>
    <xdr:clientData/>
  </xdr:twoCellAnchor>
  <xdr:twoCellAnchor editAs="oneCell">
    <xdr:from>
      <xdr:col>8</xdr:col>
      <xdr:colOff>423545</xdr:colOff>
      <xdr:row>21</xdr:row>
      <xdr:rowOff>800100</xdr:rowOff>
    </xdr:from>
    <xdr:to>
      <xdr:col>12</xdr:col>
      <xdr:colOff>223520</xdr:colOff>
      <xdr:row>41</xdr:row>
      <xdr:rowOff>123825</xdr:rowOff>
    </xdr:to>
    <xdr:pic>
      <xdr:nvPicPr>
        <xdr:cNvPr id="11" name="Picture 10">
          <a:extLst>
            <a:ext uri="{FF2B5EF4-FFF2-40B4-BE49-F238E27FC236}">
              <a16:creationId xmlns:a16="http://schemas.microsoft.com/office/drawing/2014/main" id="{5A1F1221-D5A9-4DC5-907E-1793F42335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0345" y="10344150"/>
          <a:ext cx="2238375" cy="3248025"/>
        </a:xfrm>
        <a:prstGeom prst="rect">
          <a:avLst/>
        </a:prstGeom>
      </xdr:spPr>
    </xdr:pic>
    <xdr:clientData/>
  </xdr:twoCellAnchor>
  <xdr:twoCellAnchor>
    <xdr:from>
      <xdr:col>3</xdr:col>
      <xdr:colOff>0</xdr:colOff>
      <xdr:row>18</xdr:row>
      <xdr:rowOff>939859</xdr:rowOff>
    </xdr:from>
    <xdr:to>
      <xdr:col>4</xdr:col>
      <xdr:colOff>362507</xdr:colOff>
      <xdr:row>19</xdr:row>
      <xdr:rowOff>345737</xdr:rowOff>
    </xdr:to>
    <xdr:sp macro="" textlink="">
      <xdr:nvSpPr>
        <xdr:cNvPr id="26" name="AutoShape 4">
          <a:extLst>
            <a:ext uri="{FF2B5EF4-FFF2-40B4-BE49-F238E27FC236}">
              <a16:creationId xmlns:a16="http://schemas.microsoft.com/office/drawing/2014/main" id="{F81DC71A-FC32-778A-A6C5-5553C8E4A4E0}"/>
            </a:ext>
          </a:extLst>
        </xdr:cNvPr>
        <xdr:cNvSpPr>
          <a:spLocks noChangeArrowheads="1"/>
        </xdr:cNvSpPr>
      </xdr:nvSpPr>
      <xdr:spPr bwMode="auto">
        <a:xfrm>
          <a:off x="2438400" y="7740709"/>
          <a:ext cx="972107" cy="377428"/>
        </a:xfrm>
        <a:prstGeom prst="flowChartAlternateProcess">
          <a:avLst/>
        </a:prstGeom>
        <a:solidFill>
          <a:srgbClr val="0E387C"/>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40500" rIns="40500" anchor="ctr"/>
        <a:lstStyle>
          <a:defPPr>
            <a:defRPr lang="en-US"/>
          </a:defPPr>
          <a:lvl1pPr algn="l" rtl="0" fontAlgn="base">
            <a:spcBef>
              <a:spcPct val="0"/>
            </a:spcBef>
            <a:spcAft>
              <a:spcPct val="0"/>
            </a:spcAft>
            <a:defRPr sz="2000" kern="1200">
              <a:solidFill>
                <a:schemeClr val="dk1"/>
              </a:solidFill>
              <a:latin typeface="+mn-lt"/>
              <a:ea typeface="+mn-ea"/>
              <a:cs typeface="+mn-cs"/>
            </a:defRPr>
          </a:lvl1pPr>
          <a:lvl2pPr marL="457200" algn="l" rtl="0" fontAlgn="base">
            <a:spcBef>
              <a:spcPct val="0"/>
            </a:spcBef>
            <a:spcAft>
              <a:spcPct val="0"/>
            </a:spcAft>
            <a:defRPr sz="2000" kern="1200">
              <a:solidFill>
                <a:schemeClr val="dk1"/>
              </a:solidFill>
              <a:latin typeface="+mn-lt"/>
              <a:ea typeface="+mn-ea"/>
              <a:cs typeface="+mn-cs"/>
            </a:defRPr>
          </a:lvl2pPr>
          <a:lvl3pPr marL="914400" algn="l" rtl="0" fontAlgn="base">
            <a:spcBef>
              <a:spcPct val="0"/>
            </a:spcBef>
            <a:spcAft>
              <a:spcPct val="0"/>
            </a:spcAft>
            <a:defRPr sz="2000" kern="1200">
              <a:solidFill>
                <a:schemeClr val="dk1"/>
              </a:solidFill>
              <a:latin typeface="+mn-lt"/>
              <a:ea typeface="+mn-ea"/>
              <a:cs typeface="+mn-cs"/>
            </a:defRPr>
          </a:lvl3pPr>
          <a:lvl4pPr marL="1371600" algn="l" rtl="0" fontAlgn="base">
            <a:spcBef>
              <a:spcPct val="0"/>
            </a:spcBef>
            <a:spcAft>
              <a:spcPct val="0"/>
            </a:spcAft>
            <a:defRPr sz="2000" kern="1200">
              <a:solidFill>
                <a:schemeClr val="dk1"/>
              </a:solidFill>
              <a:latin typeface="+mn-lt"/>
              <a:ea typeface="+mn-ea"/>
              <a:cs typeface="+mn-cs"/>
            </a:defRPr>
          </a:lvl4pPr>
          <a:lvl5pPr marL="1828800" algn="l" rtl="0" fontAlgn="base">
            <a:spcBef>
              <a:spcPct val="0"/>
            </a:spcBef>
            <a:spcAft>
              <a:spcPct val="0"/>
            </a:spcAft>
            <a:defRPr sz="2000" kern="1200">
              <a:solidFill>
                <a:schemeClr val="dk1"/>
              </a:solidFill>
              <a:latin typeface="+mn-lt"/>
              <a:ea typeface="+mn-ea"/>
              <a:cs typeface="+mn-cs"/>
            </a:defRPr>
          </a:lvl5pPr>
          <a:lvl6pPr marL="2286000" algn="l" defTabSz="914400" rtl="0" eaLnBrk="1" latinLnBrk="0" hangingPunct="1">
            <a:defRPr sz="2000" kern="1200">
              <a:solidFill>
                <a:schemeClr val="dk1"/>
              </a:solidFill>
              <a:latin typeface="+mn-lt"/>
              <a:ea typeface="+mn-ea"/>
              <a:cs typeface="+mn-cs"/>
            </a:defRPr>
          </a:lvl6pPr>
          <a:lvl7pPr marL="2743200" algn="l" defTabSz="914400" rtl="0" eaLnBrk="1" latinLnBrk="0" hangingPunct="1">
            <a:defRPr sz="2000" kern="1200">
              <a:solidFill>
                <a:schemeClr val="dk1"/>
              </a:solidFill>
              <a:latin typeface="+mn-lt"/>
              <a:ea typeface="+mn-ea"/>
              <a:cs typeface="+mn-cs"/>
            </a:defRPr>
          </a:lvl7pPr>
          <a:lvl8pPr marL="3200400" algn="l" defTabSz="914400" rtl="0" eaLnBrk="1" latinLnBrk="0" hangingPunct="1">
            <a:defRPr sz="2000" kern="1200">
              <a:solidFill>
                <a:schemeClr val="dk1"/>
              </a:solidFill>
              <a:latin typeface="+mn-lt"/>
              <a:ea typeface="+mn-ea"/>
              <a:cs typeface="+mn-cs"/>
            </a:defRPr>
          </a:lvl8pPr>
          <a:lvl9pPr marL="3657600" algn="l" defTabSz="914400" rtl="0" eaLnBrk="1" latinLnBrk="0" hangingPunct="1">
            <a:defRPr sz="2000" kern="1200">
              <a:solidFill>
                <a:schemeClr val="dk1"/>
              </a:solidFill>
              <a:latin typeface="+mn-lt"/>
              <a:ea typeface="+mn-ea"/>
              <a:cs typeface="+mn-cs"/>
            </a:defRPr>
          </a:lvl9pPr>
        </a:lstStyle>
        <a:p>
          <a:pPr algn="ctr"/>
          <a:r>
            <a:rPr lang="en-US" altLang="zh-CN" sz="1050">
              <a:solidFill>
                <a:schemeClr val="bg1"/>
              </a:solidFill>
              <a:latin typeface="Calibri" pitchFamily="34" charset="0"/>
            </a:rPr>
            <a:t>Lawyers</a:t>
          </a:r>
        </a:p>
      </xdr:txBody>
    </xdr:sp>
    <xdr:clientData/>
  </xdr:twoCellAnchor>
  <xdr:twoCellAnchor>
    <xdr:from>
      <xdr:col>6</xdr:col>
      <xdr:colOff>327270</xdr:colOff>
      <xdr:row>18</xdr:row>
      <xdr:rowOff>939857</xdr:rowOff>
    </xdr:from>
    <xdr:to>
      <xdr:col>8</xdr:col>
      <xdr:colOff>60547</xdr:colOff>
      <xdr:row>19</xdr:row>
      <xdr:rowOff>345735</xdr:rowOff>
    </xdr:to>
    <xdr:sp macro="" textlink="">
      <xdr:nvSpPr>
        <xdr:cNvPr id="27" name="AutoShape 4">
          <a:extLst>
            <a:ext uri="{FF2B5EF4-FFF2-40B4-BE49-F238E27FC236}">
              <a16:creationId xmlns:a16="http://schemas.microsoft.com/office/drawing/2014/main" id="{142ABE07-670D-E284-D149-5F742C67F3D1}"/>
            </a:ext>
          </a:extLst>
        </xdr:cNvPr>
        <xdr:cNvSpPr>
          <a:spLocks noChangeArrowheads="1"/>
        </xdr:cNvSpPr>
      </xdr:nvSpPr>
      <xdr:spPr bwMode="auto">
        <a:xfrm>
          <a:off x="4594470" y="7740707"/>
          <a:ext cx="952477" cy="377428"/>
        </a:xfrm>
        <a:prstGeom prst="flowChartAlternateProcess">
          <a:avLst/>
        </a:prstGeom>
        <a:solidFill>
          <a:srgbClr val="0E387C"/>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40500" rIns="40500" anchor="ctr"/>
        <a:lstStyle>
          <a:defPPr>
            <a:defRPr lang="en-US"/>
          </a:defPPr>
          <a:lvl1pPr algn="l" rtl="0" fontAlgn="base">
            <a:spcBef>
              <a:spcPct val="0"/>
            </a:spcBef>
            <a:spcAft>
              <a:spcPct val="0"/>
            </a:spcAft>
            <a:defRPr sz="2000" kern="1200">
              <a:solidFill>
                <a:schemeClr val="dk1"/>
              </a:solidFill>
              <a:latin typeface="+mn-lt"/>
              <a:ea typeface="+mn-ea"/>
              <a:cs typeface="+mn-cs"/>
            </a:defRPr>
          </a:lvl1pPr>
          <a:lvl2pPr marL="457200" algn="l" rtl="0" fontAlgn="base">
            <a:spcBef>
              <a:spcPct val="0"/>
            </a:spcBef>
            <a:spcAft>
              <a:spcPct val="0"/>
            </a:spcAft>
            <a:defRPr sz="2000" kern="1200">
              <a:solidFill>
                <a:schemeClr val="dk1"/>
              </a:solidFill>
              <a:latin typeface="+mn-lt"/>
              <a:ea typeface="+mn-ea"/>
              <a:cs typeface="+mn-cs"/>
            </a:defRPr>
          </a:lvl2pPr>
          <a:lvl3pPr marL="914400" algn="l" rtl="0" fontAlgn="base">
            <a:spcBef>
              <a:spcPct val="0"/>
            </a:spcBef>
            <a:spcAft>
              <a:spcPct val="0"/>
            </a:spcAft>
            <a:defRPr sz="2000" kern="1200">
              <a:solidFill>
                <a:schemeClr val="dk1"/>
              </a:solidFill>
              <a:latin typeface="+mn-lt"/>
              <a:ea typeface="+mn-ea"/>
              <a:cs typeface="+mn-cs"/>
            </a:defRPr>
          </a:lvl3pPr>
          <a:lvl4pPr marL="1371600" algn="l" rtl="0" fontAlgn="base">
            <a:spcBef>
              <a:spcPct val="0"/>
            </a:spcBef>
            <a:spcAft>
              <a:spcPct val="0"/>
            </a:spcAft>
            <a:defRPr sz="2000" kern="1200">
              <a:solidFill>
                <a:schemeClr val="dk1"/>
              </a:solidFill>
              <a:latin typeface="+mn-lt"/>
              <a:ea typeface="+mn-ea"/>
              <a:cs typeface="+mn-cs"/>
            </a:defRPr>
          </a:lvl4pPr>
          <a:lvl5pPr marL="1828800" algn="l" rtl="0" fontAlgn="base">
            <a:spcBef>
              <a:spcPct val="0"/>
            </a:spcBef>
            <a:spcAft>
              <a:spcPct val="0"/>
            </a:spcAft>
            <a:defRPr sz="2000" kern="1200">
              <a:solidFill>
                <a:schemeClr val="dk1"/>
              </a:solidFill>
              <a:latin typeface="+mn-lt"/>
              <a:ea typeface="+mn-ea"/>
              <a:cs typeface="+mn-cs"/>
            </a:defRPr>
          </a:lvl5pPr>
          <a:lvl6pPr marL="2286000" algn="l" defTabSz="914400" rtl="0" eaLnBrk="1" latinLnBrk="0" hangingPunct="1">
            <a:defRPr sz="2000" kern="1200">
              <a:solidFill>
                <a:schemeClr val="dk1"/>
              </a:solidFill>
              <a:latin typeface="+mn-lt"/>
              <a:ea typeface="+mn-ea"/>
              <a:cs typeface="+mn-cs"/>
            </a:defRPr>
          </a:lvl6pPr>
          <a:lvl7pPr marL="2743200" algn="l" defTabSz="914400" rtl="0" eaLnBrk="1" latinLnBrk="0" hangingPunct="1">
            <a:defRPr sz="2000" kern="1200">
              <a:solidFill>
                <a:schemeClr val="dk1"/>
              </a:solidFill>
              <a:latin typeface="+mn-lt"/>
              <a:ea typeface="+mn-ea"/>
              <a:cs typeface="+mn-cs"/>
            </a:defRPr>
          </a:lvl7pPr>
          <a:lvl8pPr marL="3200400" algn="l" defTabSz="914400" rtl="0" eaLnBrk="1" latinLnBrk="0" hangingPunct="1">
            <a:defRPr sz="2000" kern="1200">
              <a:solidFill>
                <a:schemeClr val="dk1"/>
              </a:solidFill>
              <a:latin typeface="+mn-lt"/>
              <a:ea typeface="+mn-ea"/>
              <a:cs typeface="+mn-cs"/>
            </a:defRPr>
          </a:lvl8pPr>
          <a:lvl9pPr marL="3657600" algn="l" defTabSz="914400" rtl="0" eaLnBrk="1" latinLnBrk="0" hangingPunct="1">
            <a:defRPr sz="2000" kern="1200">
              <a:solidFill>
                <a:schemeClr val="dk1"/>
              </a:solidFill>
              <a:latin typeface="+mn-lt"/>
              <a:ea typeface="+mn-ea"/>
              <a:cs typeface="+mn-cs"/>
            </a:defRPr>
          </a:lvl9pPr>
        </a:lstStyle>
        <a:p>
          <a:pPr algn="ctr"/>
          <a:r>
            <a:rPr lang="en-US" altLang="zh-CN" sz="1050">
              <a:solidFill>
                <a:schemeClr val="bg1"/>
              </a:solidFill>
              <a:latin typeface="Calibri" pitchFamily="34" charset="0"/>
            </a:rPr>
            <a:t>Accountants</a:t>
          </a:r>
        </a:p>
      </xdr:txBody>
    </xdr:sp>
    <xdr:clientData/>
  </xdr:twoCellAnchor>
  <xdr:twoCellAnchor>
    <xdr:from>
      <xdr:col>9</xdr:col>
      <xdr:colOff>529715</xdr:colOff>
      <xdr:row>18</xdr:row>
      <xdr:rowOff>939858</xdr:rowOff>
    </xdr:from>
    <xdr:to>
      <xdr:col>11</xdr:col>
      <xdr:colOff>259470</xdr:colOff>
      <xdr:row>19</xdr:row>
      <xdr:rowOff>345736</xdr:rowOff>
    </xdr:to>
    <xdr:sp macro="" textlink="">
      <xdr:nvSpPr>
        <xdr:cNvPr id="28" name="AutoShape 4">
          <a:extLst>
            <a:ext uri="{FF2B5EF4-FFF2-40B4-BE49-F238E27FC236}">
              <a16:creationId xmlns:a16="http://schemas.microsoft.com/office/drawing/2014/main" id="{7E7494DD-03E2-D751-14C4-543FDBA894B3}"/>
            </a:ext>
          </a:extLst>
        </xdr:cNvPr>
        <xdr:cNvSpPr>
          <a:spLocks noChangeArrowheads="1"/>
        </xdr:cNvSpPr>
      </xdr:nvSpPr>
      <xdr:spPr bwMode="auto">
        <a:xfrm>
          <a:off x="6625715" y="7740708"/>
          <a:ext cx="948955" cy="377428"/>
        </a:xfrm>
        <a:prstGeom prst="flowChartAlternateProcess">
          <a:avLst/>
        </a:prstGeom>
        <a:solidFill>
          <a:srgbClr val="0E387C"/>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40500" rIns="40500" anchor="ctr"/>
        <a:lstStyle>
          <a:defPPr>
            <a:defRPr lang="en-US"/>
          </a:defPPr>
          <a:lvl1pPr algn="l" rtl="0" fontAlgn="base">
            <a:spcBef>
              <a:spcPct val="0"/>
            </a:spcBef>
            <a:spcAft>
              <a:spcPct val="0"/>
            </a:spcAft>
            <a:defRPr sz="2000" kern="1200">
              <a:solidFill>
                <a:schemeClr val="dk1"/>
              </a:solidFill>
              <a:latin typeface="+mn-lt"/>
              <a:ea typeface="+mn-ea"/>
              <a:cs typeface="+mn-cs"/>
            </a:defRPr>
          </a:lvl1pPr>
          <a:lvl2pPr marL="457200" algn="l" rtl="0" fontAlgn="base">
            <a:spcBef>
              <a:spcPct val="0"/>
            </a:spcBef>
            <a:spcAft>
              <a:spcPct val="0"/>
            </a:spcAft>
            <a:defRPr sz="2000" kern="1200">
              <a:solidFill>
                <a:schemeClr val="dk1"/>
              </a:solidFill>
              <a:latin typeface="+mn-lt"/>
              <a:ea typeface="+mn-ea"/>
              <a:cs typeface="+mn-cs"/>
            </a:defRPr>
          </a:lvl2pPr>
          <a:lvl3pPr marL="914400" algn="l" rtl="0" fontAlgn="base">
            <a:spcBef>
              <a:spcPct val="0"/>
            </a:spcBef>
            <a:spcAft>
              <a:spcPct val="0"/>
            </a:spcAft>
            <a:defRPr sz="2000" kern="1200">
              <a:solidFill>
                <a:schemeClr val="dk1"/>
              </a:solidFill>
              <a:latin typeface="+mn-lt"/>
              <a:ea typeface="+mn-ea"/>
              <a:cs typeface="+mn-cs"/>
            </a:defRPr>
          </a:lvl3pPr>
          <a:lvl4pPr marL="1371600" algn="l" rtl="0" fontAlgn="base">
            <a:spcBef>
              <a:spcPct val="0"/>
            </a:spcBef>
            <a:spcAft>
              <a:spcPct val="0"/>
            </a:spcAft>
            <a:defRPr sz="2000" kern="1200">
              <a:solidFill>
                <a:schemeClr val="dk1"/>
              </a:solidFill>
              <a:latin typeface="+mn-lt"/>
              <a:ea typeface="+mn-ea"/>
              <a:cs typeface="+mn-cs"/>
            </a:defRPr>
          </a:lvl4pPr>
          <a:lvl5pPr marL="1828800" algn="l" rtl="0" fontAlgn="base">
            <a:spcBef>
              <a:spcPct val="0"/>
            </a:spcBef>
            <a:spcAft>
              <a:spcPct val="0"/>
            </a:spcAft>
            <a:defRPr sz="2000" kern="1200">
              <a:solidFill>
                <a:schemeClr val="dk1"/>
              </a:solidFill>
              <a:latin typeface="+mn-lt"/>
              <a:ea typeface="+mn-ea"/>
              <a:cs typeface="+mn-cs"/>
            </a:defRPr>
          </a:lvl5pPr>
          <a:lvl6pPr marL="2286000" algn="l" defTabSz="914400" rtl="0" eaLnBrk="1" latinLnBrk="0" hangingPunct="1">
            <a:defRPr sz="2000" kern="1200">
              <a:solidFill>
                <a:schemeClr val="dk1"/>
              </a:solidFill>
              <a:latin typeface="+mn-lt"/>
              <a:ea typeface="+mn-ea"/>
              <a:cs typeface="+mn-cs"/>
            </a:defRPr>
          </a:lvl6pPr>
          <a:lvl7pPr marL="2743200" algn="l" defTabSz="914400" rtl="0" eaLnBrk="1" latinLnBrk="0" hangingPunct="1">
            <a:defRPr sz="2000" kern="1200">
              <a:solidFill>
                <a:schemeClr val="dk1"/>
              </a:solidFill>
              <a:latin typeface="+mn-lt"/>
              <a:ea typeface="+mn-ea"/>
              <a:cs typeface="+mn-cs"/>
            </a:defRPr>
          </a:lvl7pPr>
          <a:lvl8pPr marL="3200400" algn="l" defTabSz="914400" rtl="0" eaLnBrk="1" latinLnBrk="0" hangingPunct="1">
            <a:defRPr sz="2000" kern="1200">
              <a:solidFill>
                <a:schemeClr val="dk1"/>
              </a:solidFill>
              <a:latin typeface="+mn-lt"/>
              <a:ea typeface="+mn-ea"/>
              <a:cs typeface="+mn-cs"/>
            </a:defRPr>
          </a:lvl8pPr>
          <a:lvl9pPr marL="3657600" algn="l" defTabSz="914400" rtl="0" eaLnBrk="1" latinLnBrk="0" hangingPunct="1">
            <a:defRPr sz="2000" kern="1200">
              <a:solidFill>
                <a:schemeClr val="dk1"/>
              </a:solidFill>
              <a:latin typeface="+mn-lt"/>
              <a:ea typeface="+mn-ea"/>
              <a:cs typeface="+mn-cs"/>
            </a:defRPr>
          </a:lvl9pPr>
        </a:lstStyle>
        <a:p>
          <a:pPr algn="ctr">
            <a:defRPr/>
          </a:pPr>
          <a:r>
            <a:rPr lang="en-US" altLang="zh-CN" sz="1050">
              <a:solidFill>
                <a:schemeClr val="bg1"/>
              </a:solidFill>
              <a:latin typeface="Calibri" pitchFamily="34" charset="0"/>
            </a:rPr>
            <a:t>Civil Engineers</a:t>
          </a:r>
        </a:p>
      </xdr:txBody>
    </xdr:sp>
    <xdr:clientData/>
  </xdr:twoCellAnchor>
  <xdr:twoCellAnchor>
    <xdr:from>
      <xdr:col>5</xdr:col>
      <xdr:colOff>476250</xdr:colOff>
      <xdr:row>18</xdr:row>
      <xdr:rowOff>0</xdr:rowOff>
    </xdr:from>
    <xdr:to>
      <xdr:col>9</xdr:col>
      <xdr:colOff>419100</xdr:colOff>
      <xdr:row>18</xdr:row>
      <xdr:rowOff>270030</xdr:rowOff>
    </xdr:to>
    <xdr:sp macro="" textlink="">
      <xdr:nvSpPr>
        <xdr:cNvPr id="29" name="AutoShape 2">
          <a:extLst>
            <a:ext uri="{FF2B5EF4-FFF2-40B4-BE49-F238E27FC236}">
              <a16:creationId xmlns:a16="http://schemas.microsoft.com/office/drawing/2014/main" id="{65890A87-32AB-2109-9190-40D1A3040A01}"/>
            </a:ext>
          </a:extLst>
        </xdr:cNvPr>
        <xdr:cNvSpPr>
          <a:spLocks noChangeArrowheads="1"/>
        </xdr:cNvSpPr>
      </xdr:nvSpPr>
      <xdr:spPr bwMode="auto">
        <a:xfrm>
          <a:off x="3524250" y="5876925"/>
          <a:ext cx="2381250" cy="270030"/>
        </a:xfrm>
        <a:prstGeom prst="flowChartAlternateProcess">
          <a:avLst/>
        </a:prstGeom>
        <a:solidFill>
          <a:srgbClr val="92D050"/>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40500" rIns="40500" anchor="ctr"/>
        <a:lstStyle>
          <a:defPPr>
            <a:defRPr lang="en-US"/>
          </a:defPPr>
          <a:lvl1pPr algn="l" rtl="0" fontAlgn="base">
            <a:spcBef>
              <a:spcPct val="0"/>
            </a:spcBef>
            <a:spcAft>
              <a:spcPct val="0"/>
            </a:spcAft>
            <a:defRPr sz="2000" kern="1200">
              <a:solidFill>
                <a:schemeClr val="dk1"/>
              </a:solidFill>
              <a:latin typeface="+mn-lt"/>
              <a:ea typeface="+mn-ea"/>
              <a:cs typeface="+mn-cs"/>
            </a:defRPr>
          </a:lvl1pPr>
          <a:lvl2pPr marL="457200" algn="l" rtl="0" fontAlgn="base">
            <a:spcBef>
              <a:spcPct val="0"/>
            </a:spcBef>
            <a:spcAft>
              <a:spcPct val="0"/>
            </a:spcAft>
            <a:defRPr sz="2000" kern="1200">
              <a:solidFill>
                <a:schemeClr val="dk1"/>
              </a:solidFill>
              <a:latin typeface="+mn-lt"/>
              <a:ea typeface="+mn-ea"/>
              <a:cs typeface="+mn-cs"/>
            </a:defRPr>
          </a:lvl2pPr>
          <a:lvl3pPr marL="914400" algn="l" rtl="0" fontAlgn="base">
            <a:spcBef>
              <a:spcPct val="0"/>
            </a:spcBef>
            <a:spcAft>
              <a:spcPct val="0"/>
            </a:spcAft>
            <a:defRPr sz="2000" kern="1200">
              <a:solidFill>
                <a:schemeClr val="dk1"/>
              </a:solidFill>
              <a:latin typeface="+mn-lt"/>
              <a:ea typeface="+mn-ea"/>
              <a:cs typeface="+mn-cs"/>
            </a:defRPr>
          </a:lvl3pPr>
          <a:lvl4pPr marL="1371600" algn="l" rtl="0" fontAlgn="base">
            <a:spcBef>
              <a:spcPct val="0"/>
            </a:spcBef>
            <a:spcAft>
              <a:spcPct val="0"/>
            </a:spcAft>
            <a:defRPr sz="2000" kern="1200">
              <a:solidFill>
                <a:schemeClr val="dk1"/>
              </a:solidFill>
              <a:latin typeface="+mn-lt"/>
              <a:ea typeface="+mn-ea"/>
              <a:cs typeface="+mn-cs"/>
            </a:defRPr>
          </a:lvl4pPr>
          <a:lvl5pPr marL="1828800" algn="l" rtl="0" fontAlgn="base">
            <a:spcBef>
              <a:spcPct val="0"/>
            </a:spcBef>
            <a:spcAft>
              <a:spcPct val="0"/>
            </a:spcAft>
            <a:defRPr sz="2000" kern="1200">
              <a:solidFill>
                <a:schemeClr val="dk1"/>
              </a:solidFill>
              <a:latin typeface="+mn-lt"/>
              <a:ea typeface="+mn-ea"/>
              <a:cs typeface="+mn-cs"/>
            </a:defRPr>
          </a:lvl5pPr>
          <a:lvl6pPr marL="2286000" algn="l" defTabSz="914400" rtl="0" eaLnBrk="1" latinLnBrk="0" hangingPunct="1">
            <a:defRPr sz="2000" kern="1200">
              <a:solidFill>
                <a:schemeClr val="dk1"/>
              </a:solidFill>
              <a:latin typeface="+mn-lt"/>
              <a:ea typeface="+mn-ea"/>
              <a:cs typeface="+mn-cs"/>
            </a:defRPr>
          </a:lvl6pPr>
          <a:lvl7pPr marL="2743200" algn="l" defTabSz="914400" rtl="0" eaLnBrk="1" latinLnBrk="0" hangingPunct="1">
            <a:defRPr sz="2000" kern="1200">
              <a:solidFill>
                <a:schemeClr val="dk1"/>
              </a:solidFill>
              <a:latin typeface="+mn-lt"/>
              <a:ea typeface="+mn-ea"/>
              <a:cs typeface="+mn-cs"/>
            </a:defRPr>
          </a:lvl7pPr>
          <a:lvl8pPr marL="3200400" algn="l" defTabSz="914400" rtl="0" eaLnBrk="1" latinLnBrk="0" hangingPunct="1">
            <a:defRPr sz="2000" kern="1200">
              <a:solidFill>
                <a:schemeClr val="dk1"/>
              </a:solidFill>
              <a:latin typeface="+mn-lt"/>
              <a:ea typeface="+mn-ea"/>
              <a:cs typeface="+mn-cs"/>
            </a:defRPr>
          </a:lvl8pPr>
          <a:lvl9pPr marL="3657600" algn="l" defTabSz="914400" rtl="0" eaLnBrk="1" latinLnBrk="0" hangingPunct="1">
            <a:defRPr sz="2000" kern="1200">
              <a:solidFill>
                <a:schemeClr val="dk1"/>
              </a:solidFill>
              <a:latin typeface="+mn-lt"/>
              <a:ea typeface="+mn-ea"/>
              <a:cs typeface="+mn-cs"/>
            </a:defRPr>
          </a:lvl9pPr>
        </a:lstStyle>
        <a:p>
          <a:pPr algn="ctr"/>
          <a:r>
            <a:rPr lang="en-GB" altLang="en-US" sz="1400" b="1">
              <a:solidFill>
                <a:srgbClr val="002060"/>
              </a:solidFill>
              <a:latin typeface="Calibri" pitchFamily="34" charset="0"/>
            </a:rPr>
            <a:t>Professional services</a:t>
          </a:r>
          <a:endParaRPr lang="en-US" altLang="en-US" sz="1400" b="1">
            <a:solidFill>
              <a:srgbClr val="002060"/>
            </a:solidFill>
            <a:latin typeface="Calibri" pitchFamily="34" charset="0"/>
          </a:endParaRPr>
        </a:p>
      </xdr:txBody>
    </xdr:sp>
    <xdr:clientData/>
  </xdr:twoCellAnchor>
  <xdr:twoCellAnchor>
    <xdr:from>
      <xdr:col>3</xdr:col>
      <xdr:colOff>486055</xdr:colOff>
      <xdr:row>18</xdr:row>
      <xdr:rowOff>270030</xdr:rowOff>
    </xdr:from>
    <xdr:to>
      <xdr:col>7</xdr:col>
      <xdr:colOff>447676</xdr:colOff>
      <xdr:row>18</xdr:row>
      <xdr:rowOff>939859</xdr:rowOff>
    </xdr:to>
    <xdr:cxnSp macro="">
      <xdr:nvCxnSpPr>
        <xdr:cNvPr id="30" name="Elbow Connector 49">
          <a:extLst>
            <a:ext uri="{FF2B5EF4-FFF2-40B4-BE49-F238E27FC236}">
              <a16:creationId xmlns:a16="http://schemas.microsoft.com/office/drawing/2014/main" id="{A15C8D7B-6A72-AFB3-062E-A6BF05BEF648}"/>
            </a:ext>
          </a:extLst>
        </xdr:cNvPr>
        <xdr:cNvCxnSpPr>
          <a:stCxn id="29" idx="2"/>
          <a:endCxn id="26" idx="0"/>
        </xdr:cNvCxnSpPr>
      </xdr:nvCxnSpPr>
      <xdr:spPr bwMode="auto">
        <a:xfrm rot="5400000">
          <a:off x="3179951" y="5281859"/>
          <a:ext cx="669829" cy="2400021"/>
        </a:xfrm>
        <a:prstGeom prst="bentConnector3">
          <a:avLst>
            <a:gd name="adj1" fmla="val 50000"/>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7</xdr:col>
      <xdr:colOff>447675</xdr:colOff>
      <xdr:row>18</xdr:row>
      <xdr:rowOff>270030</xdr:rowOff>
    </xdr:from>
    <xdr:to>
      <xdr:col>10</xdr:col>
      <xdr:colOff>394593</xdr:colOff>
      <xdr:row>18</xdr:row>
      <xdr:rowOff>939858</xdr:rowOff>
    </xdr:to>
    <xdr:cxnSp macro="">
      <xdr:nvCxnSpPr>
        <xdr:cNvPr id="31" name="Elbow Connector 50">
          <a:extLst>
            <a:ext uri="{FF2B5EF4-FFF2-40B4-BE49-F238E27FC236}">
              <a16:creationId xmlns:a16="http://schemas.microsoft.com/office/drawing/2014/main" id="{0B9EC446-F771-CDC0-3644-B99BC14E17E5}"/>
            </a:ext>
          </a:extLst>
        </xdr:cNvPr>
        <xdr:cNvCxnSpPr>
          <a:stCxn id="29" idx="2"/>
          <a:endCxn id="28" idx="0"/>
        </xdr:cNvCxnSpPr>
      </xdr:nvCxnSpPr>
      <xdr:spPr bwMode="auto">
        <a:xfrm rot="16200000" flipH="1">
          <a:off x="5267820" y="5594010"/>
          <a:ext cx="669828" cy="1775718"/>
        </a:xfrm>
        <a:prstGeom prst="bentConnector3">
          <a:avLst>
            <a:gd name="adj1" fmla="val 50000"/>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7</xdr:col>
      <xdr:colOff>193910</xdr:colOff>
      <xdr:row>18</xdr:row>
      <xdr:rowOff>270029</xdr:rowOff>
    </xdr:from>
    <xdr:to>
      <xdr:col>7</xdr:col>
      <xdr:colOff>447676</xdr:colOff>
      <xdr:row>18</xdr:row>
      <xdr:rowOff>939856</xdr:rowOff>
    </xdr:to>
    <xdr:cxnSp macro="">
      <xdr:nvCxnSpPr>
        <xdr:cNvPr id="32" name="Elbow Connector 51">
          <a:extLst>
            <a:ext uri="{FF2B5EF4-FFF2-40B4-BE49-F238E27FC236}">
              <a16:creationId xmlns:a16="http://schemas.microsoft.com/office/drawing/2014/main" id="{F6CE4252-FBD9-52A7-8EAA-F47A4A728CBE}"/>
            </a:ext>
          </a:extLst>
        </xdr:cNvPr>
        <xdr:cNvCxnSpPr>
          <a:stCxn id="29" idx="2"/>
          <a:endCxn id="27" idx="0"/>
        </xdr:cNvCxnSpPr>
      </xdr:nvCxnSpPr>
      <xdr:spPr bwMode="auto">
        <a:xfrm rot="5400000">
          <a:off x="4253079" y="6354985"/>
          <a:ext cx="669827" cy="253766"/>
        </a:xfrm>
        <a:prstGeom prst="bentConnector3">
          <a:avLst>
            <a:gd name="adj1" fmla="val 50000"/>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11</xdr:col>
      <xdr:colOff>368386</xdr:colOff>
      <xdr:row>18</xdr:row>
      <xdr:rowOff>939859</xdr:rowOff>
    </xdr:from>
    <xdr:to>
      <xdr:col>13</xdr:col>
      <xdr:colOff>121294</xdr:colOff>
      <xdr:row>19</xdr:row>
      <xdr:rowOff>345737</xdr:rowOff>
    </xdr:to>
    <xdr:sp macro="" textlink="">
      <xdr:nvSpPr>
        <xdr:cNvPr id="33" name="AutoShape 4">
          <a:extLst>
            <a:ext uri="{FF2B5EF4-FFF2-40B4-BE49-F238E27FC236}">
              <a16:creationId xmlns:a16="http://schemas.microsoft.com/office/drawing/2014/main" id="{1032DE61-AFE8-E56D-506D-8AE1CA22B4C9}"/>
            </a:ext>
          </a:extLst>
        </xdr:cNvPr>
        <xdr:cNvSpPr>
          <a:spLocks noChangeArrowheads="1"/>
        </xdr:cNvSpPr>
      </xdr:nvSpPr>
      <xdr:spPr bwMode="auto">
        <a:xfrm>
          <a:off x="7683586" y="7740709"/>
          <a:ext cx="972108" cy="377428"/>
        </a:xfrm>
        <a:prstGeom prst="flowChartAlternateProcess">
          <a:avLst/>
        </a:prstGeom>
        <a:solidFill>
          <a:srgbClr val="0E387C"/>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40500" rIns="40500" anchor="ctr"/>
        <a:lstStyle>
          <a:defPPr>
            <a:defRPr lang="en-US"/>
          </a:defPPr>
          <a:lvl1pPr algn="l" rtl="0" fontAlgn="base">
            <a:spcBef>
              <a:spcPct val="0"/>
            </a:spcBef>
            <a:spcAft>
              <a:spcPct val="0"/>
            </a:spcAft>
            <a:defRPr sz="2000" kern="1200">
              <a:solidFill>
                <a:schemeClr val="dk1"/>
              </a:solidFill>
              <a:latin typeface="+mn-lt"/>
              <a:ea typeface="+mn-ea"/>
              <a:cs typeface="+mn-cs"/>
            </a:defRPr>
          </a:lvl1pPr>
          <a:lvl2pPr marL="457200" algn="l" rtl="0" fontAlgn="base">
            <a:spcBef>
              <a:spcPct val="0"/>
            </a:spcBef>
            <a:spcAft>
              <a:spcPct val="0"/>
            </a:spcAft>
            <a:defRPr sz="2000" kern="1200">
              <a:solidFill>
                <a:schemeClr val="dk1"/>
              </a:solidFill>
              <a:latin typeface="+mn-lt"/>
              <a:ea typeface="+mn-ea"/>
              <a:cs typeface="+mn-cs"/>
            </a:defRPr>
          </a:lvl2pPr>
          <a:lvl3pPr marL="914400" algn="l" rtl="0" fontAlgn="base">
            <a:spcBef>
              <a:spcPct val="0"/>
            </a:spcBef>
            <a:spcAft>
              <a:spcPct val="0"/>
            </a:spcAft>
            <a:defRPr sz="2000" kern="1200">
              <a:solidFill>
                <a:schemeClr val="dk1"/>
              </a:solidFill>
              <a:latin typeface="+mn-lt"/>
              <a:ea typeface="+mn-ea"/>
              <a:cs typeface="+mn-cs"/>
            </a:defRPr>
          </a:lvl3pPr>
          <a:lvl4pPr marL="1371600" algn="l" rtl="0" fontAlgn="base">
            <a:spcBef>
              <a:spcPct val="0"/>
            </a:spcBef>
            <a:spcAft>
              <a:spcPct val="0"/>
            </a:spcAft>
            <a:defRPr sz="2000" kern="1200">
              <a:solidFill>
                <a:schemeClr val="dk1"/>
              </a:solidFill>
              <a:latin typeface="+mn-lt"/>
              <a:ea typeface="+mn-ea"/>
              <a:cs typeface="+mn-cs"/>
            </a:defRPr>
          </a:lvl4pPr>
          <a:lvl5pPr marL="1828800" algn="l" rtl="0" fontAlgn="base">
            <a:spcBef>
              <a:spcPct val="0"/>
            </a:spcBef>
            <a:spcAft>
              <a:spcPct val="0"/>
            </a:spcAft>
            <a:defRPr sz="2000" kern="1200">
              <a:solidFill>
                <a:schemeClr val="dk1"/>
              </a:solidFill>
              <a:latin typeface="+mn-lt"/>
              <a:ea typeface="+mn-ea"/>
              <a:cs typeface="+mn-cs"/>
            </a:defRPr>
          </a:lvl5pPr>
          <a:lvl6pPr marL="2286000" algn="l" defTabSz="914400" rtl="0" eaLnBrk="1" latinLnBrk="0" hangingPunct="1">
            <a:defRPr sz="2000" kern="1200">
              <a:solidFill>
                <a:schemeClr val="dk1"/>
              </a:solidFill>
              <a:latin typeface="+mn-lt"/>
              <a:ea typeface="+mn-ea"/>
              <a:cs typeface="+mn-cs"/>
            </a:defRPr>
          </a:lvl6pPr>
          <a:lvl7pPr marL="2743200" algn="l" defTabSz="914400" rtl="0" eaLnBrk="1" latinLnBrk="0" hangingPunct="1">
            <a:defRPr sz="2000" kern="1200">
              <a:solidFill>
                <a:schemeClr val="dk1"/>
              </a:solidFill>
              <a:latin typeface="+mn-lt"/>
              <a:ea typeface="+mn-ea"/>
              <a:cs typeface="+mn-cs"/>
            </a:defRPr>
          </a:lvl7pPr>
          <a:lvl8pPr marL="3200400" algn="l" defTabSz="914400" rtl="0" eaLnBrk="1" latinLnBrk="0" hangingPunct="1">
            <a:defRPr sz="2000" kern="1200">
              <a:solidFill>
                <a:schemeClr val="dk1"/>
              </a:solidFill>
              <a:latin typeface="+mn-lt"/>
              <a:ea typeface="+mn-ea"/>
              <a:cs typeface="+mn-cs"/>
            </a:defRPr>
          </a:lvl8pPr>
          <a:lvl9pPr marL="3657600" algn="l" defTabSz="914400" rtl="0" eaLnBrk="1" latinLnBrk="0" hangingPunct="1">
            <a:defRPr sz="2000" kern="1200">
              <a:solidFill>
                <a:schemeClr val="dk1"/>
              </a:solidFill>
              <a:latin typeface="+mn-lt"/>
              <a:ea typeface="+mn-ea"/>
              <a:cs typeface="+mn-cs"/>
            </a:defRPr>
          </a:lvl9pPr>
        </a:lstStyle>
        <a:p>
          <a:pPr algn="ctr">
            <a:defRPr/>
          </a:pPr>
          <a:r>
            <a:rPr lang="en-US" altLang="zh-CN" sz="1050">
              <a:solidFill>
                <a:schemeClr val="bg1"/>
              </a:solidFill>
              <a:latin typeface="Calibri" pitchFamily="34" charset="0"/>
            </a:rPr>
            <a:t>Real Estate</a:t>
          </a:r>
        </a:p>
        <a:p>
          <a:pPr algn="ctr">
            <a:defRPr/>
          </a:pPr>
          <a:r>
            <a:rPr lang="en-US" altLang="zh-CN" sz="1050">
              <a:solidFill>
                <a:schemeClr val="bg1"/>
              </a:solidFill>
              <a:latin typeface="Calibri" pitchFamily="34" charset="0"/>
            </a:rPr>
            <a:t>Agents</a:t>
          </a:r>
        </a:p>
      </xdr:txBody>
    </xdr:sp>
    <xdr:clientData/>
  </xdr:twoCellAnchor>
  <xdr:twoCellAnchor>
    <xdr:from>
      <xdr:col>7</xdr:col>
      <xdr:colOff>447675</xdr:colOff>
      <xdr:row>18</xdr:row>
      <xdr:rowOff>270029</xdr:rowOff>
    </xdr:from>
    <xdr:to>
      <xdr:col>12</xdr:col>
      <xdr:colOff>244840</xdr:colOff>
      <xdr:row>18</xdr:row>
      <xdr:rowOff>939858</xdr:rowOff>
    </xdr:to>
    <xdr:cxnSp macro="">
      <xdr:nvCxnSpPr>
        <xdr:cNvPr id="34" name="Elbow Connector 74">
          <a:extLst>
            <a:ext uri="{FF2B5EF4-FFF2-40B4-BE49-F238E27FC236}">
              <a16:creationId xmlns:a16="http://schemas.microsoft.com/office/drawing/2014/main" id="{141CAC6C-BD46-CC7A-1FCA-22F3B0EEF558}"/>
            </a:ext>
          </a:extLst>
        </xdr:cNvPr>
        <xdr:cNvCxnSpPr>
          <a:stCxn id="29" idx="2"/>
          <a:endCxn id="33" idx="0"/>
        </xdr:cNvCxnSpPr>
      </xdr:nvCxnSpPr>
      <xdr:spPr bwMode="auto">
        <a:xfrm rot="16200000" flipH="1">
          <a:off x="5802543" y="5059286"/>
          <a:ext cx="669829" cy="2845165"/>
        </a:xfrm>
        <a:prstGeom prst="bentConnector3">
          <a:avLst>
            <a:gd name="adj1" fmla="val 50000"/>
          </a:avLst>
        </a:prstGeom>
        <a:solidFill>
          <a:schemeClr val="accent1"/>
        </a:solidFill>
        <a:ln w="9525" cap="flat" cmpd="sng" algn="ctr">
          <a:solidFill>
            <a:schemeClr val="tx1"/>
          </a:solidFill>
          <a:prstDash val="solid"/>
          <a:round/>
          <a:headEnd type="none" w="med" len="med"/>
          <a:tailEnd type="none" w="med" len="med"/>
        </a:ln>
        <a:effectLst/>
      </xdr:spPr>
    </xdr:cxnSp>
    <xdr:clientData/>
  </xdr:twoCellAnchor>
  <xdr:twoCellAnchor>
    <xdr:from>
      <xdr:col>6</xdr:col>
      <xdr:colOff>314117</xdr:colOff>
      <xdr:row>19</xdr:row>
      <xdr:rowOff>471590</xdr:rowOff>
    </xdr:from>
    <xdr:to>
      <xdr:col>8</xdr:col>
      <xdr:colOff>47394</xdr:colOff>
      <xdr:row>21</xdr:row>
      <xdr:rowOff>186402</xdr:rowOff>
    </xdr:to>
    <xdr:sp macro="" textlink="">
      <xdr:nvSpPr>
        <xdr:cNvPr id="35" name="AutoShape 57">
          <a:extLst>
            <a:ext uri="{FF2B5EF4-FFF2-40B4-BE49-F238E27FC236}">
              <a16:creationId xmlns:a16="http://schemas.microsoft.com/office/drawing/2014/main" id="{3EBC8886-BBE1-1C09-95C2-E1595BA94156}"/>
            </a:ext>
          </a:extLst>
        </xdr:cNvPr>
        <xdr:cNvSpPr>
          <a:spLocks noChangeArrowheads="1"/>
        </xdr:cNvSpPr>
      </xdr:nvSpPr>
      <xdr:spPr bwMode="auto">
        <a:xfrm>
          <a:off x="4581317" y="8243990"/>
          <a:ext cx="952477" cy="1486462"/>
        </a:xfrm>
        <a:prstGeom prst="flowChartAlternateProcess">
          <a:avLst/>
        </a:prstGeom>
        <a:solidFill>
          <a:srgbClr val="558ED5"/>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40500" rIns="40500" anchor="ctr"/>
        <a:lstStyle>
          <a:defPPr>
            <a:defRPr lang="en-US"/>
          </a:defPPr>
          <a:lvl1pPr algn="l" rtl="0" fontAlgn="base">
            <a:spcBef>
              <a:spcPct val="0"/>
            </a:spcBef>
            <a:spcAft>
              <a:spcPct val="0"/>
            </a:spcAft>
            <a:defRPr sz="2000" kern="1200">
              <a:solidFill>
                <a:schemeClr val="dk1"/>
              </a:solidFill>
              <a:latin typeface="+mn-lt"/>
              <a:ea typeface="+mn-ea"/>
              <a:cs typeface="+mn-cs"/>
            </a:defRPr>
          </a:lvl1pPr>
          <a:lvl2pPr marL="457200" algn="l" rtl="0" fontAlgn="base">
            <a:spcBef>
              <a:spcPct val="0"/>
            </a:spcBef>
            <a:spcAft>
              <a:spcPct val="0"/>
            </a:spcAft>
            <a:defRPr sz="2000" kern="1200">
              <a:solidFill>
                <a:schemeClr val="dk1"/>
              </a:solidFill>
              <a:latin typeface="+mn-lt"/>
              <a:ea typeface="+mn-ea"/>
              <a:cs typeface="+mn-cs"/>
            </a:defRPr>
          </a:lvl2pPr>
          <a:lvl3pPr marL="914400" algn="l" rtl="0" fontAlgn="base">
            <a:spcBef>
              <a:spcPct val="0"/>
            </a:spcBef>
            <a:spcAft>
              <a:spcPct val="0"/>
            </a:spcAft>
            <a:defRPr sz="2000" kern="1200">
              <a:solidFill>
                <a:schemeClr val="dk1"/>
              </a:solidFill>
              <a:latin typeface="+mn-lt"/>
              <a:ea typeface="+mn-ea"/>
              <a:cs typeface="+mn-cs"/>
            </a:defRPr>
          </a:lvl3pPr>
          <a:lvl4pPr marL="1371600" algn="l" rtl="0" fontAlgn="base">
            <a:spcBef>
              <a:spcPct val="0"/>
            </a:spcBef>
            <a:spcAft>
              <a:spcPct val="0"/>
            </a:spcAft>
            <a:defRPr sz="2000" kern="1200">
              <a:solidFill>
                <a:schemeClr val="dk1"/>
              </a:solidFill>
              <a:latin typeface="+mn-lt"/>
              <a:ea typeface="+mn-ea"/>
              <a:cs typeface="+mn-cs"/>
            </a:defRPr>
          </a:lvl4pPr>
          <a:lvl5pPr marL="1828800" algn="l" rtl="0" fontAlgn="base">
            <a:spcBef>
              <a:spcPct val="0"/>
            </a:spcBef>
            <a:spcAft>
              <a:spcPct val="0"/>
            </a:spcAft>
            <a:defRPr sz="2000" kern="1200">
              <a:solidFill>
                <a:schemeClr val="dk1"/>
              </a:solidFill>
              <a:latin typeface="+mn-lt"/>
              <a:ea typeface="+mn-ea"/>
              <a:cs typeface="+mn-cs"/>
            </a:defRPr>
          </a:lvl5pPr>
          <a:lvl6pPr marL="2286000" algn="l" defTabSz="914400" rtl="0" eaLnBrk="1" latinLnBrk="0" hangingPunct="1">
            <a:defRPr sz="2000" kern="1200">
              <a:solidFill>
                <a:schemeClr val="dk1"/>
              </a:solidFill>
              <a:latin typeface="+mn-lt"/>
              <a:ea typeface="+mn-ea"/>
              <a:cs typeface="+mn-cs"/>
            </a:defRPr>
          </a:lvl6pPr>
          <a:lvl7pPr marL="2743200" algn="l" defTabSz="914400" rtl="0" eaLnBrk="1" latinLnBrk="0" hangingPunct="1">
            <a:defRPr sz="2000" kern="1200">
              <a:solidFill>
                <a:schemeClr val="dk1"/>
              </a:solidFill>
              <a:latin typeface="+mn-lt"/>
              <a:ea typeface="+mn-ea"/>
              <a:cs typeface="+mn-cs"/>
            </a:defRPr>
          </a:lvl7pPr>
          <a:lvl8pPr marL="3200400" algn="l" defTabSz="914400" rtl="0" eaLnBrk="1" latinLnBrk="0" hangingPunct="1">
            <a:defRPr sz="2000" kern="1200">
              <a:solidFill>
                <a:schemeClr val="dk1"/>
              </a:solidFill>
              <a:latin typeface="+mn-lt"/>
              <a:ea typeface="+mn-ea"/>
              <a:cs typeface="+mn-cs"/>
            </a:defRPr>
          </a:lvl8pPr>
          <a:lvl9pPr marL="3657600" algn="l" defTabSz="914400" rtl="0" eaLnBrk="1" latinLnBrk="0" hangingPunct="1">
            <a:defRPr sz="2000" kern="1200">
              <a:solidFill>
                <a:schemeClr val="dk1"/>
              </a:solidFill>
              <a:latin typeface="+mn-lt"/>
              <a:ea typeface="+mn-ea"/>
              <a:cs typeface="+mn-cs"/>
            </a:defRPr>
          </a:lvl9pPr>
        </a:lstStyle>
        <a:p>
          <a:pPr algn="ctr"/>
          <a:r>
            <a:rPr lang="en-US" altLang="zh-CN" sz="1050">
              <a:solidFill>
                <a:schemeClr val="bg1"/>
              </a:solidFill>
              <a:latin typeface="Calibri" pitchFamily="34" charset="0"/>
            </a:rPr>
            <a:t>Entry regulation</a:t>
          </a:r>
        </a:p>
        <a:p>
          <a:pPr algn="ctr"/>
          <a:endParaRPr lang="en-US" altLang="zh-CN" sz="1050">
            <a:solidFill>
              <a:schemeClr val="bg1"/>
            </a:solidFill>
            <a:latin typeface="Calibri" pitchFamily="34" charset="0"/>
          </a:endParaRPr>
        </a:p>
        <a:p>
          <a:pPr algn="ctr"/>
          <a:r>
            <a:rPr lang="en-US" altLang="zh-CN" sz="1050">
              <a:solidFill>
                <a:schemeClr val="bg1"/>
              </a:solidFill>
              <a:latin typeface="Calibri" pitchFamily="34" charset="0"/>
            </a:rPr>
            <a:t>Conduct regulation</a:t>
          </a:r>
        </a:p>
        <a:p>
          <a:pPr algn="ctr"/>
          <a:endParaRPr lang="en-US" altLang="zh-CN" sz="1050">
            <a:solidFill>
              <a:schemeClr val="bg1"/>
            </a:solidFill>
            <a:latin typeface="Calibri" pitchFamily="34" charset="0"/>
          </a:endParaRPr>
        </a:p>
      </xdr:txBody>
    </xdr:sp>
    <xdr:clientData/>
  </xdr:twoCellAnchor>
  <xdr:twoCellAnchor>
    <xdr:from>
      <xdr:col>4</xdr:col>
      <xdr:colOff>476807</xdr:colOff>
      <xdr:row>19</xdr:row>
      <xdr:rowOff>483581</xdr:rowOff>
    </xdr:from>
    <xdr:to>
      <xdr:col>6</xdr:col>
      <xdr:colOff>229714</xdr:colOff>
      <xdr:row>21</xdr:row>
      <xdr:rowOff>186402</xdr:rowOff>
    </xdr:to>
    <xdr:sp macro="" textlink="">
      <xdr:nvSpPr>
        <xdr:cNvPr id="36" name="AutoShape 57">
          <a:extLst>
            <a:ext uri="{FF2B5EF4-FFF2-40B4-BE49-F238E27FC236}">
              <a16:creationId xmlns:a16="http://schemas.microsoft.com/office/drawing/2014/main" id="{90E7FD87-77C1-2500-2F42-E81F641AC8BC}"/>
            </a:ext>
          </a:extLst>
        </xdr:cNvPr>
        <xdr:cNvSpPr>
          <a:spLocks noChangeArrowheads="1"/>
        </xdr:cNvSpPr>
      </xdr:nvSpPr>
      <xdr:spPr bwMode="auto">
        <a:xfrm>
          <a:off x="3524807" y="8255981"/>
          <a:ext cx="972107" cy="1474471"/>
        </a:xfrm>
        <a:prstGeom prst="flowChartAlternateProcess">
          <a:avLst/>
        </a:prstGeom>
        <a:solidFill>
          <a:srgbClr val="558ED5"/>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40500" rIns="40500" anchor="ctr"/>
        <a:lstStyle>
          <a:defPPr>
            <a:defRPr lang="en-US"/>
          </a:defPPr>
          <a:lvl1pPr algn="l" rtl="0" fontAlgn="base">
            <a:spcBef>
              <a:spcPct val="0"/>
            </a:spcBef>
            <a:spcAft>
              <a:spcPct val="0"/>
            </a:spcAft>
            <a:defRPr sz="2000" kern="1200">
              <a:solidFill>
                <a:schemeClr val="dk1"/>
              </a:solidFill>
              <a:latin typeface="+mn-lt"/>
              <a:ea typeface="+mn-ea"/>
              <a:cs typeface="+mn-cs"/>
            </a:defRPr>
          </a:lvl1pPr>
          <a:lvl2pPr marL="457200" algn="l" rtl="0" fontAlgn="base">
            <a:spcBef>
              <a:spcPct val="0"/>
            </a:spcBef>
            <a:spcAft>
              <a:spcPct val="0"/>
            </a:spcAft>
            <a:defRPr sz="2000" kern="1200">
              <a:solidFill>
                <a:schemeClr val="dk1"/>
              </a:solidFill>
              <a:latin typeface="+mn-lt"/>
              <a:ea typeface="+mn-ea"/>
              <a:cs typeface="+mn-cs"/>
            </a:defRPr>
          </a:lvl2pPr>
          <a:lvl3pPr marL="914400" algn="l" rtl="0" fontAlgn="base">
            <a:spcBef>
              <a:spcPct val="0"/>
            </a:spcBef>
            <a:spcAft>
              <a:spcPct val="0"/>
            </a:spcAft>
            <a:defRPr sz="2000" kern="1200">
              <a:solidFill>
                <a:schemeClr val="dk1"/>
              </a:solidFill>
              <a:latin typeface="+mn-lt"/>
              <a:ea typeface="+mn-ea"/>
              <a:cs typeface="+mn-cs"/>
            </a:defRPr>
          </a:lvl3pPr>
          <a:lvl4pPr marL="1371600" algn="l" rtl="0" fontAlgn="base">
            <a:spcBef>
              <a:spcPct val="0"/>
            </a:spcBef>
            <a:spcAft>
              <a:spcPct val="0"/>
            </a:spcAft>
            <a:defRPr sz="2000" kern="1200">
              <a:solidFill>
                <a:schemeClr val="dk1"/>
              </a:solidFill>
              <a:latin typeface="+mn-lt"/>
              <a:ea typeface="+mn-ea"/>
              <a:cs typeface="+mn-cs"/>
            </a:defRPr>
          </a:lvl4pPr>
          <a:lvl5pPr marL="1828800" algn="l" rtl="0" fontAlgn="base">
            <a:spcBef>
              <a:spcPct val="0"/>
            </a:spcBef>
            <a:spcAft>
              <a:spcPct val="0"/>
            </a:spcAft>
            <a:defRPr sz="2000" kern="1200">
              <a:solidFill>
                <a:schemeClr val="dk1"/>
              </a:solidFill>
              <a:latin typeface="+mn-lt"/>
              <a:ea typeface="+mn-ea"/>
              <a:cs typeface="+mn-cs"/>
            </a:defRPr>
          </a:lvl5pPr>
          <a:lvl6pPr marL="2286000" algn="l" defTabSz="914400" rtl="0" eaLnBrk="1" latinLnBrk="0" hangingPunct="1">
            <a:defRPr sz="2000" kern="1200">
              <a:solidFill>
                <a:schemeClr val="dk1"/>
              </a:solidFill>
              <a:latin typeface="+mn-lt"/>
              <a:ea typeface="+mn-ea"/>
              <a:cs typeface="+mn-cs"/>
            </a:defRPr>
          </a:lvl6pPr>
          <a:lvl7pPr marL="2743200" algn="l" defTabSz="914400" rtl="0" eaLnBrk="1" latinLnBrk="0" hangingPunct="1">
            <a:defRPr sz="2000" kern="1200">
              <a:solidFill>
                <a:schemeClr val="dk1"/>
              </a:solidFill>
              <a:latin typeface="+mn-lt"/>
              <a:ea typeface="+mn-ea"/>
              <a:cs typeface="+mn-cs"/>
            </a:defRPr>
          </a:lvl7pPr>
          <a:lvl8pPr marL="3200400" algn="l" defTabSz="914400" rtl="0" eaLnBrk="1" latinLnBrk="0" hangingPunct="1">
            <a:defRPr sz="2000" kern="1200">
              <a:solidFill>
                <a:schemeClr val="dk1"/>
              </a:solidFill>
              <a:latin typeface="+mn-lt"/>
              <a:ea typeface="+mn-ea"/>
              <a:cs typeface="+mn-cs"/>
            </a:defRPr>
          </a:lvl8pPr>
          <a:lvl9pPr marL="3657600" algn="l" defTabSz="914400" rtl="0" eaLnBrk="1" latinLnBrk="0" hangingPunct="1">
            <a:defRPr sz="2000" kern="1200">
              <a:solidFill>
                <a:schemeClr val="dk1"/>
              </a:solidFill>
              <a:latin typeface="+mn-lt"/>
              <a:ea typeface="+mn-ea"/>
              <a:cs typeface="+mn-cs"/>
            </a:defRPr>
          </a:lvl9pPr>
        </a:lstStyle>
        <a:p>
          <a:pPr algn="ctr"/>
          <a:r>
            <a:rPr lang="en-US" altLang="zh-CN" sz="1050">
              <a:solidFill>
                <a:schemeClr val="bg1"/>
              </a:solidFill>
              <a:latin typeface="Calibri" pitchFamily="34" charset="0"/>
            </a:rPr>
            <a:t>Entry regulation</a:t>
          </a:r>
        </a:p>
        <a:p>
          <a:pPr algn="ctr"/>
          <a:endParaRPr lang="en-US" altLang="zh-CN" sz="1050">
            <a:solidFill>
              <a:schemeClr val="bg1"/>
            </a:solidFill>
            <a:latin typeface="Calibri" pitchFamily="34" charset="0"/>
          </a:endParaRPr>
        </a:p>
        <a:p>
          <a:pPr algn="ctr"/>
          <a:r>
            <a:rPr lang="en-US" altLang="zh-CN" sz="1050">
              <a:solidFill>
                <a:schemeClr val="bg1"/>
              </a:solidFill>
              <a:latin typeface="Calibri" pitchFamily="34" charset="0"/>
            </a:rPr>
            <a:t>Conduct regulation</a:t>
          </a:r>
        </a:p>
        <a:p>
          <a:pPr algn="ctr"/>
          <a:endParaRPr lang="en-US" altLang="zh-CN" sz="1050">
            <a:solidFill>
              <a:schemeClr val="bg1"/>
            </a:solidFill>
            <a:latin typeface="Calibri" pitchFamily="34" charset="0"/>
          </a:endParaRPr>
        </a:p>
      </xdr:txBody>
    </xdr:sp>
    <xdr:clientData/>
  </xdr:twoCellAnchor>
  <xdr:twoCellAnchor>
    <xdr:from>
      <xdr:col>8</xdr:col>
      <xdr:colOff>145776</xdr:colOff>
      <xdr:row>18</xdr:row>
      <xdr:rowOff>939859</xdr:rowOff>
    </xdr:from>
    <xdr:to>
      <xdr:col>9</xdr:col>
      <xdr:colOff>420122</xdr:colOff>
      <xdr:row>19</xdr:row>
      <xdr:rowOff>345737</xdr:rowOff>
    </xdr:to>
    <xdr:sp macro="" textlink="">
      <xdr:nvSpPr>
        <xdr:cNvPr id="37" name="AutoShape 4">
          <a:extLst>
            <a:ext uri="{FF2B5EF4-FFF2-40B4-BE49-F238E27FC236}">
              <a16:creationId xmlns:a16="http://schemas.microsoft.com/office/drawing/2014/main" id="{17930455-4E7E-314B-7C9A-F9623186C212}"/>
            </a:ext>
          </a:extLst>
        </xdr:cNvPr>
        <xdr:cNvSpPr>
          <a:spLocks noChangeArrowheads="1"/>
        </xdr:cNvSpPr>
      </xdr:nvSpPr>
      <xdr:spPr bwMode="auto">
        <a:xfrm>
          <a:off x="5632176" y="7740709"/>
          <a:ext cx="883946" cy="377428"/>
        </a:xfrm>
        <a:prstGeom prst="flowChartAlternateProcess">
          <a:avLst/>
        </a:prstGeom>
        <a:solidFill>
          <a:srgbClr val="0E387C"/>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40500" rIns="40500" anchor="ctr"/>
        <a:lstStyle>
          <a:defPPr>
            <a:defRPr lang="en-US"/>
          </a:defPPr>
          <a:lvl1pPr algn="l" rtl="0" fontAlgn="base">
            <a:spcBef>
              <a:spcPct val="0"/>
            </a:spcBef>
            <a:spcAft>
              <a:spcPct val="0"/>
            </a:spcAft>
            <a:defRPr sz="2000" kern="1200">
              <a:solidFill>
                <a:schemeClr val="dk1"/>
              </a:solidFill>
              <a:latin typeface="+mn-lt"/>
              <a:ea typeface="+mn-ea"/>
              <a:cs typeface="+mn-cs"/>
            </a:defRPr>
          </a:lvl1pPr>
          <a:lvl2pPr marL="457200" algn="l" rtl="0" fontAlgn="base">
            <a:spcBef>
              <a:spcPct val="0"/>
            </a:spcBef>
            <a:spcAft>
              <a:spcPct val="0"/>
            </a:spcAft>
            <a:defRPr sz="2000" kern="1200">
              <a:solidFill>
                <a:schemeClr val="dk1"/>
              </a:solidFill>
              <a:latin typeface="+mn-lt"/>
              <a:ea typeface="+mn-ea"/>
              <a:cs typeface="+mn-cs"/>
            </a:defRPr>
          </a:lvl2pPr>
          <a:lvl3pPr marL="914400" algn="l" rtl="0" fontAlgn="base">
            <a:spcBef>
              <a:spcPct val="0"/>
            </a:spcBef>
            <a:spcAft>
              <a:spcPct val="0"/>
            </a:spcAft>
            <a:defRPr sz="2000" kern="1200">
              <a:solidFill>
                <a:schemeClr val="dk1"/>
              </a:solidFill>
              <a:latin typeface="+mn-lt"/>
              <a:ea typeface="+mn-ea"/>
              <a:cs typeface="+mn-cs"/>
            </a:defRPr>
          </a:lvl3pPr>
          <a:lvl4pPr marL="1371600" algn="l" rtl="0" fontAlgn="base">
            <a:spcBef>
              <a:spcPct val="0"/>
            </a:spcBef>
            <a:spcAft>
              <a:spcPct val="0"/>
            </a:spcAft>
            <a:defRPr sz="2000" kern="1200">
              <a:solidFill>
                <a:schemeClr val="dk1"/>
              </a:solidFill>
              <a:latin typeface="+mn-lt"/>
              <a:ea typeface="+mn-ea"/>
              <a:cs typeface="+mn-cs"/>
            </a:defRPr>
          </a:lvl4pPr>
          <a:lvl5pPr marL="1828800" algn="l" rtl="0" fontAlgn="base">
            <a:spcBef>
              <a:spcPct val="0"/>
            </a:spcBef>
            <a:spcAft>
              <a:spcPct val="0"/>
            </a:spcAft>
            <a:defRPr sz="2000" kern="1200">
              <a:solidFill>
                <a:schemeClr val="dk1"/>
              </a:solidFill>
              <a:latin typeface="+mn-lt"/>
              <a:ea typeface="+mn-ea"/>
              <a:cs typeface="+mn-cs"/>
            </a:defRPr>
          </a:lvl5pPr>
          <a:lvl6pPr marL="2286000" algn="l" defTabSz="914400" rtl="0" eaLnBrk="1" latinLnBrk="0" hangingPunct="1">
            <a:defRPr sz="2000" kern="1200">
              <a:solidFill>
                <a:schemeClr val="dk1"/>
              </a:solidFill>
              <a:latin typeface="+mn-lt"/>
              <a:ea typeface="+mn-ea"/>
              <a:cs typeface="+mn-cs"/>
            </a:defRPr>
          </a:lvl6pPr>
          <a:lvl7pPr marL="2743200" algn="l" defTabSz="914400" rtl="0" eaLnBrk="1" latinLnBrk="0" hangingPunct="1">
            <a:defRPr sz="2000" kern="1200">
              <a:solidFill>
                <a:schemeClr val="dk1"/>
              </a:solidFill>
              <a:latin typeface="+mn-lt"/>
              <a:ea typeface="+mn-ea"/>
              <a:cs typeface="+mn-cs"/>
            </a:defRPr>
          </a:lvl7pPr>
          <a:lvl8pPr marL="3200400" algn="l" defTabSz="914400" rtl="0" eaLnBrk="1" latinLnBrk="0" hangingPunct="1">
            <a:defRPr sz="2000" kern="1200">
              <a:solidFill>
                <a:schemeClr val="dk1"/>
              </a:solidFill>
              <a:latin typeface="+mn-lt"/>
              <a:ea typeface="+mn-ea"/>
              <a:cs typeface="+mn-cs"/>
            </a:defRPr>
          </a:lvl8pPr>
          <a:lvl9pPr marL="3657600" algn="l" defTabSz="914400" rtl="0" eaLnBrk="1" latinLnBrk="0" hangingPunct="1">
            <a:defRPr sz="2000" kern="1200">
              <a:solidFill>
                <a:schemeClr val="dk1"/>
              </a:solidFill>
              <a:latin typeface="+mn-lt"/>
              <a:ea typeface="+mn-ea"/>
              <a:cs typeface="+mn-cs"/>
            </a:defRPr>
          </a:lvl9pPr>
        </a:lstStyle>
        <a:p>
          <a:pPr algn="ctr">
            <a:defRPr/>
          </a:pPr>
          <a:r>
            <a:rPr lang="en-US" altLang="zh-CN" sz="1050">
              <a:solidFill>
                <a:schemeClr val="bg1"/>
              </a:solidFill>
              <a:latin typeface="Calibri" pitchFamily="34" charset="0"/>
            </a:rPr>
            <a:t>Architects</a:t>
          </a:r>
        </a:p>
      </xdr:txBody>
    </xdr:sp>
    <xdr:clientData/>
  </xdr:twoCellAnchor>
  <xdr:twoCellAnchor>
    <xdr:from>
      <xdr:col>3</xdr:col>
      <xdr:colOff>0</xdr:colOff>
      <xdr:row>19</xdr:row>
      <xdr:rowOff>514558</xdr:rowOff>
    </xdr:from>
    <xdr:to>
      <xdr:col>4</xdr:col>
      <xdr:colOff>362507</xdr:colOff>
      <xdr:row>21</xdr:row>
      <xdr:rowOff>182745</xdr:rowOff>
    </xdr:to>
    <xdr:sp macro="" textlink="">
      <xdr:nvSpPr>
        <xdr:cNvPr id="38" name="AutoShape 57">
          <a:extLst>
            <a:ext uri="{FF2B5EF4-FFF2-40B4-BE49-F238E27FC236}">
              <a16:creationId xmlns:a16="http://schemas.microsoft.com/office/drawing/2014/main" id="{0CF4EDBF-4E7E-5845-DC72-11A798487292}"/>
            </a:ext>
          </a:extLst>
        </xdr:cNvPr>
        <xdr:cNvSpPr>
          <a:spLocks noChangeArrowheads="1"/>
        </xdr:cNvSpPr>
      </xdr:nvSpPr>
      <xdr:spPr bwMode="auto">
        <a:xfrm>
          <a:off x="2438400" y="8286958"/>
          <a:ext cx="972107" cy="1439837"/>
        </a:xfrm>
        <a:prstGeom prst="flowChartAlternateProcess">
          <a:avLst/>
        </a:prstGeom>
        <a:solidFill>
          <a:srgbClr val="558ED5"/>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40500" rIns="40500" anchor="ctr"/>
        <a:lstStyle>
          <a:defPPr>
            <a:defRPr lang="en-US"/>
          </a:defPPr>
          <a:lvl1pPr algn="l" rtl="0" fontAlgn="base">
            <a:spcBef>
              <a:spcPct val="0"/>
            </a:spcBef>
            <a:spcAft>
              <a:spcPct val="0"/>
            </a:spcAft>
            <a:defRPr sz="2000" kern="1200">
              <a:solidFill>
                <a:schemeClr val="dk1"/>
              </a:solidFill>
              <a:latin typeface="+mn-lt"/>
              <a:ea typeface="+mn-ea"/>
              <a:cs typeface="+mn-cs"/>
            </a:defRPr>
          </a:lvl1pPr>
          <a:lvl2pPr marL="457200" algn="l" rtl="0" fontAlgn="base">
            <a:spcBef>
              <a:spcPct val="0"/>
            </a:spcBef>
            <a:spcAft>
              <a:spcPct val="0"/>
            </a:spcAft>
            <a:defRPr sz="2000" kern="1200">
              <a:solidFill>
                <a:schemeClr val="dk1"/>
              </a:solidFill>
              <a:latin typeface="+mn-lt"/>
              <a:ea typeface="+mn-ea"/>
              <a:cs typeface="+mn-cs"/>
            </a:defRPr>
          </a:lvl2pPr>
          <a:lvl3pPr marL="914400" algn="l" rtl="0" fontAlgn="base">
            <a:spcBef>
              <a:spcPct val="0"/>
            </a:spcBef>
            <a:spcAft>
              <a:spcPct val="0"/>
            </a:spcAft>
            <a:defRPr sz="2000" kern="1200">
              <a:solidFill>
                <a:schemeClr val="dk1"/>
              </a:solidFill>
              <a:latin typeface="+mn-lt"/>
              <a:ea typeface="+mn-ea"/>
              <a:cs typeface="+mn-cs"/>
            </a:defRPr>
          </a:lvl3pPr>
          <a:lvl4pPr marL="1371600" algn="l" rtl="0" fontAlgn="base">
            <a:spcBef>
              <a:spcPct val="0"/>
            </a:spcBef>
            <a:spcAft>
              <a:spcPct val="0"/>
            </a:spcAft>
            <a:defRPr sz="2000" kern="1200">
              <a:solidFill>
                <a:schemeClr val="dk1"/>
              </a:solidFill>
              <a:latin typeface="+mn-lt"/>
              <a:ea typeface="+mn-ea"/>
              <a:cs typeface="+mn-cs"/>
            </a:defRPr>
          </a:lvl4pPr>
          <a:lvl5pPr marL="1828800" algn="l" rtl="0" fontAlgn="base">
            <a:spcBef>
              <a:spcPct val="0"/>
            </a:spcBef>
            <a:spcAft>
              <a:spcPct val="0"/>
            </a:spcAft>
            <a:defRPr sz="2000" kern="1200">
              <a:solidFill>
                <a:schemeClr val="dk1"/>
              </a:solidFill>
              <a:latin typeface="+mn-lt"/>
              <a:ea typeface="+mn-ea"/>
              <a:cs typeface="+mn-cs"/>
            </a:defRPr>
          </a:lvl5pPr>
          <a:lvl6pPr marL="2286000" algn="l" defTabSz="914400" rtl="0" eaLnBrk="1" latinLnBrk="0" hangingPunct="1">
            <a:defRPr sz="2000" kern="1200">
              <a:solidFill>
                <a:schemeClr val="dk1"/>
              </a:solidFill>
              <a:latin typeface="+mn-lt"/>
              <a:ea typeface="+mn-ea"/>
              <a:cs typeface="+mn-cs"/>
            </a:defRPr>
          </a:lvl6pPr>
          <a:lvl7pPr marL="2743200" algn="l" defTabSz="914400" rtl="0" eaLnBrk="1" latinLnBrk="0" hangingPunct="1">
            <a:defRPr sz="2000" kern="1200">
              <a:solidFill>
                <a:schemeClr val="dk1"/>
              </a:solidFill>
              <a:latin typeface="+mn-lt"/>
              <a:ea typeface="+mn-ea"/>
              <a:cs typeface="+mn-cs"/>
            </a:defRPr>
          </a:lvl7pPr>
          <a:lvl8pPr marL="3200400" algn="l" defTabSz="914400" rtl="0" eaLnBrk="1" latinLnBrk="0" hangingPunct="1">
            <a:defRPr sz="2000" kern="1200">
              <a:solidFill>
                <a:schemeClr val="dk1"/>
              </a:solidFill>
              <a:latin typeface="+mn-lt"/>
              <a:ea typeface="+mn-ea"/>
              <a:cs typeface="+mn-cs"/>
            </a:defRPr>
          </a:lvl8pPr>
          <a:lvl9pPr marL="3657600" algn="l" defTabSz="914400" rtl="0" eaLnBrk="1" latinLnBrk="0" hangingPunct="1">
            <a:defRPr sz="2000" kern="1200">
              <a:solidFill>
                <a:schemeClr val="dk1"/>
              </a:solidFill>
              <a:latin typeface="+mn-lt"/>
              <a:ea typeface="+mn-ea"/>
              <a:cs typeface="+mn-cs"/>
            </a:defRPr>
          </a:lvl9pPr>
        </a:lstStyle>
        <a:p>
          <a:pPr algn="ctr"/>
          <a:r>
            <a:rPr lang="en-US" altLang="zh-CN" sz="1050">
              <a:solidFill>
                <a:schemeClr val="bg1"/>
              </a:solidFill>
              <a:latin typeface="Calibri" pitchFamily="34" charset="0"/>
            </a:rPr>
            <a:t>Entry regulation</a:t>
          </a:r>
        </a:p>
        <a:p>
          <a:pPr algn="ctr"/>
          <a:endParaRPr lang="en-US" altLang="zh-CN" sz="1050">
            <a:solidFill>
              <a:schemeClr val="bg1"/>
            </a:solidFill>
            <a:latin typeface="Calibri" pitchFamily="34" charset="0"/>
          </a:endParaRPr>
        </a:p>
        <a:p>
          <a:pPr algn="ctr"/>
          <a:r>
            <a:rPr lang="en-US" altLang="zh-CN" sz="1050">
              <a:solidFill>
                <a:schemeClr val="bg1"/>
              </a:solidFill>
              <a:latin typeface="Calibri" pitchFamily="34" charset="0"/>
            </a:rPr>
            <a:t>Conduct regulation</a:t>
          </a:r>
        </a:p>
        <a:p>
          <a:pPr algn="ctr"/>
          <a:endParaRPr lang="en-US" altLang="zh-CN" sz="1050">
            <a:solidFill>
              <a:schemeClr val="bg1"/>
            </a:solidFill>
            <a:latin typeface="Calibri" pitchFamily="34" charset="0"/>
          </a:endParaRPr>
        </a:p>
      </xdr:txBody>
    </xdr:sp>
    <xdr:clientData/>
  </xdr:twoCellAnchor>
  <xdr:twoCellAnchor>
    <xdr:from>
      <xdr:col>4</xdr:col>
      <xdr:colOff>476807</xdr:colOff>
      <xdr:row>18</xdr:row>
      <xdr:rowOff>939859</xdr:rowOff>
    </xdr:from>
    <xdr:to>
      <xdr:col>6</xdr:col>
      <xdr:colOff>229714</xdr:colOff>
      <xdr:row>19</xdr:row>
      <xdr:rowOff>345737</xdr:rowOff>
    </xdr:to>
    <xdr:sp macro="" textlink="">
      <xdr:nvSpPr>
        <xdr:cNvPr id="39" name="AutoShape 4">
          <a:extLst>
            <a:ext uri="{FF2B5EF4-FFF2-40B4-BE49-F238E27FC236}">
              <a16:creationId xmlns:a16="http://schemas.microsoft.com/office/drawing/2014/main" id="{C22203FE-B254-3475-C692-F889AE531E22}"/>
            </a:ext>
          </a:extLst>
        </xdr:cNvPr>
        <xdr:cNvSpPr>
          <a:spLocks noChangeArrowheads="1"/>
        </xdr:cNvSpPr>
      </xdr:nvSpPr>
      <xdr:spPr bwMode="auto">
        <a:xfrm>
          <a:off x="3524807" y="7740709"/>
          <a:ext cx="972107" cy="377428"/>
        </a:xfrm>
        <a:prstGeom prst="flowChartAlternateProcess">
          <a:avLst/>
        </a:prstGeom>
        <a:solidFill>
          <a:srgbClr val="0E387C"/>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40500" rIns="40500" anchor="ctr"/>
        <a:lstStyle>
          <a:defPPr>
            <a:defRPr lang="en-US"/>
          </a:defPPr>
          <a:lvl1pPr algn="l" rtl="0" fontAlgn="base">
            <a:spcBef>
              <a:spcPct val="0"/>
            </a:spcBef>
            <a:spcAft>
              <a:spcPct val="0"/>
            </a:spcAft>
            <a:defRPr sz="2000" kern="1200">
              <a:solidFill>
                <a:schemeClr val="dk1"/>
              </a:solidFill>
              <a:latin typeface="+mn-lt"/>
              <a:ea typeface="+mn-ea"/>
              <a:cs typeface="+mn-cs"/>
            </a:defRPr>
          </a:lvl1pPr>
          <a:lvl2pPr marL="457200" algn="l" rtl="0" fontAlgn="base">
            <a:spcBef>
              <a:spcPct val="0"/>
            </a:spcBef>
            <a:spcAft>
              <a:spcPct val="0"/>
            </a:spcAft>
            <a:defRPr sz="2000" kern="1200">
              <a:solidFill>
                <a:schemeClr val="dk1"/>
              </a:solidFill>
              <a:latin typeface="+mn-lt"/>
              <a:ea typeface="+mn-ea"/>
              <a:cs typeface="+mn-cs"/>
            </a:defRPr>
          </a:lvl2pPr>
          <a:lvl3pPr marL="914400" algn="l" rtl="0" fontAlgn="base">
            <a:spcBef>
              <a:spcPct val="0"/>
            </a:spcBef>
            <a:spcAft>
              <a:spcPct val="0"/>
            </a:spcAft>
            <a:defRPr sz="2000" kern="1200">
              <a:solidFill>
                <a:schemeClr val="dk1"/>
              </a:solidFill>
              <a:latin typeface="+mn-lt"/>
              <a:ea typeface="+mn-ea"/>
              <a:cs typeface="+mn-cs"/>
            </a:defRPr>
          </a:lvl3pPr>
          <a:lvl4pPr marL="1371600" algn="l" rtl="0" fontAlgn="base">
            <a:spcBef>
              <a:spcPct val="0"/>
            </a:spcBef>
            <a:spcAft>
              <a:spcPct val="0"/>
            </a:spcAft>
            <a:defRPr sz="2000" kern="1200">
              <a:solidFill>
                <a:schemeClr val="dk1"/>
              </a:solidFill>
              <a:latin typeface="+mn-lt"/>
              <a:ea typeface="+mn-ea"/>
              <a:cs typeface="+mn-cs"/>
            </a:defRPr>
          </a:lvl4pPr>
          <a:lvl5pPr marL="1828800" algn="l" rtl="0" fontAlgn="base">
            <a:spcBef>
              <a:spcPct val="0"/>
            </a:spcBef>
            <a:spcAft>
              <a:spcPct val="0"/>
            </a:spcAft>
            <a:defRPr sz="2000" kern="1200">
              <a:solidFill>
                <a:schemeClr val="dk1"/>
              </a:solidFill>
              <a:latin typeface="+mn-lt"/>
              <a:ea typeface="+mn-ea"/>
              <a:cs typeface="+mn-cs"/>
            </a:defRPr>
          </a:lvl5pPr>
          <a:lvl6pPr marL="2286000" algn="l" defTabSz="914400" rtl="0" eaLnBrk="1" latinLnBrk="0" hangingPunct="1">
            <a:defRPr sz="2000" kern="1200">
              <a:solidFill>
                <a:schemeClr val="dk1"/>
              </a:solidFill>
              <a:latin typeface="+mn-lt"/>
              <a:ea typeface="+mn-ea"/>
              <a:cs typeface="+mn-cs"/>
            </a:defRPr>
          </a:lvl6pPr>
          <a:lvl7pPr marL="2743200" algn="l" defTabSz="914400" rtl="0" eaLnBrk="1" latinLnBrk="0" hangingPunct="1">
            <a:defRPr sz="2000" kern="1200">
              <a:solidFill>
                <a:schemeClr val="dk1"/>
              </a:solidFill>
              <a:latin typeface="+mn-lt"/>
              <a:ea typeface="+mn-ea"/>
              <a:cs typeface="+mn-cs"/>
            </a:defRPr>
          </a:lvl7pPr>
          <a:lvl8pPr marL="3200400" algn="l" defTabSz="914400" rtl="0" eaLnBrk="1" latinLnBrk="0" hangingPunct="1">
            <a:defRPr sz="2000" kern="1200">
              <a:solidFill>
                <a:schemeClr val="dk1"/>
              </a:solidFill>
              <a:latin typeface="+mn-lt"/>
              <a:ea typeface="+mn-ea"/>
              <a:cs typeface="+mn-cs"/>
            </a:defRPr>
          </a:lvl8pPr>
          <a:lvl9pPr marL="3657600" algn="l" defTabSz="914400" rtl="0" eaLnBrk="1" latinLnBrk="0" hangingPunct="1">
            <a:defRPr sz="2000" kern="1200">
              <a:solidFill>
                <a:schemeClr val="dk1"/>
              </a:solidFill>
              <a:latin typeface="+mn-lt"/>
              <a:ea typeface="+mn-ea"/>
              <a:cs typeface="+mn-cs"/>
            </a:defRPr>
          </a:lvl9pPr>
        </a:lstStyle>
        <a:p>
          <a:pPr algn="ctr"/>
          <a:r>
            <a:rPr lang="en-US" altLang="zh-CN" sz="1050">
              <a:solidFill>
                <a:schemeClr val="bg1"/>
              </a:solidFill>
              <a:latin typeface="Calibri" pitchFamily="34" charset="0"/>
            </a:rPr>
            <a:t>Notaries</a:t>
          </a:r>
        </a:p>
      </xdr:txBody>
    </xdr:sp>
    <xdr:clientData/>
  </xdr:twoCellAnchor>
  <xdr:twoCellAnchor>
    <xdr:from>
      <xdr:col>8</xdr:col>
      <xdr:colOff>145776</xdr:colOff>
      <xdr:row>19</xdr:row>
      <xdr:rowOff>471590</xdr:rowOff>
    </xdr:from>
    <xdr:to>
      <xdr:col>9</xdr:col>
      <xdr:colOff>420122</xdr:colOff>
      <xdr:row>21</xdr:row>
      <xdr:rowOff>174411</xdr:rowOff>
    </xdr:to>
    <xdr:sp macro="" textlink="">
      <xdr:nvSpPr>
        <xdr:cNvPr id="40" name="AutoShape 57">
          <a:extLst>
            <a:ext uri="{FF2B5EF4-FFF2-40B4-BE49-F238E27FC236}">
              <a16:creationId xmlns:a16="http://schemas.microsoft.com/office/drawing/2014/main" id="{A341EFAC-8A43-9E17-7EEE-9AEAD6F3D9E9}"/>
            </a:ext>
          </a:extLst>
        </xdr:cNvPr>
        <xdr:cNvSpPr>
          <a:spLocks noChangeArrowheads="1"/>
        </xdr:cNvSpPr>
      </xdr:nvSpPr>
      <xdr:spPr bwMode="auto">
        <a:xfrm>
          <a:off x="5632176" y="8243990"/>
          <a:ext cx="883946" cy="1474471"/>
        </a:xfrm>
        <a:prstGeom prst="flowChartAlternateProcess">
          <a:avLst/>
        </a:prstGeom>
        <a:solidFill>
          <a:srgbClr val="558ED5"/>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40500" rIns="40500" anchor="ctr"/>
        <a:lstStyle>
          <a:defPPr>
            <a:defRPr lang="en-US"/>
          </a:defPPr>
          <a:lvl1pPr algn="l" rtl="0" fontAlgn="base">
            <a:spcBef>
              <a:spcPct val="0"/>
            </a:spcBef>
            <a:spcAft>
              <a:spcPct val="0"/>
            </a:spcAft>
            <a:defRPr sz="2000" kern="1200">
              <a:solidFill>
                <a:schemeClr val="dk1"/>
              </a:solidFill>
              <a:latin typeface="+mn-lt"/>
              <a:ea typeface="+mn-ea"/>
              <a:cs typeface="+mn-cs"/>
            </a:defRPr>
          </a:lvl1pPr>
          <a:lvl2pPr marL="457200" algn="l" rtl="0" fontAlgn="base">
            <a:spcBef>
              <a:spcPct val="0"/>
            </a:spcBef>
            <a:spcAft>
              <a:spcPct val="0"/>
            </a:spcAft>
            <a:defRPr sz="2000" kern="1200">
              <a:solidFill>
                <a:schemeClr val="dk1"/>
              </a:solidFill>
              <a:latin typeface="+mn-lt"/>
              <a:ea typeface="+mn-ea"/>
              <a:cs typeface="+mn-cs"/>
            </a:defRPr>
          </a:lvl2pPr>
          <a:lvl3pPr marL="914400" algn="l" rtl="0" fontAlgn="base">
            <a:spcBef>
              <a:spcPct val="0"/>
            </a:spcBef>
            <a:spcAft>
              <a:spcPct val="0"/>
            </a:spcAft>
            <a:defRPr sz="2000" kern="1200">
              <a:solidFill>
                <a:schemeClr val="dk1"/>
              </a:solidFill>
              <a:latin typeface="+mn-lt"/>
              <a:ea typeface="+mn-ea"/>
              <a:cs typeface="+mn-cs"/>
            </a:defRPr>
          </a:lvl3pPr>
          <a:lvl4pPr marL="1371600" algn="l" rtl="0" fontAlgn="base">
            <a:spcBef>
              <a:spcPct val="0"/>
            </a:spcBef>
            <a:spcAft>
              <a:spcPct val="0"/>
            </a:spcAft>
            <a:defRPr sz="2000" kern="1200">
              <a:solidFill>
                <a:schemeClr val="dk1"/>
              </a:solidFill>
              <a:latin typeface="+mn-lt"/>
              <a:ea typeface="+mn-ea"/>
              <a:cs typeface="+mn-cs"/>
            </a:defRPr>
          </a:lvl4pPr>
          <a:lvl5pPr marL="1828800" algn="l" rtl="0" fontAlgn="base">
            <a:spcBef>
              <a:spcPct val="0"/>
            </a:spcBef>
            <a:spcAft>
              <a:spcPct val="0"/>
            </a:spcAft>
            <a:defRPr sz="2000" kern="1200">
              <a:solidFill>
                <a:schemeClr val="dk1"/>
              </a:solidFill>
              <a:latin typeface="+mn-lt"/>
              <a:ea typeface="+mn-ea"/>
              <a:cs typeface="+mn-cs"/>
            </a:defRPr>
          </a:lvl5pPr>
          <a:lvl6pPr marL="2286000" algn="l" defTabSz="914400" rtl="0" eaLnBrk="1" latinLnBrk="0" hangingPunct="1">
            <a:defRPr sz="2000" kern="1200">
              <a:solidFill>
                <a:schemeClr val="dk1"/>
              </a:solidFill>
              <a:latin typeface="+mn-lt"/>
              <a:ea typeface="+mn-ea"/>
              <a:cs typeface="+mn-cs"/>
            </a:defRPr>
          </a:lvl6pPr>
          <a:lvl7pPr marL="2743200" algn="l" defTabSz="914400" rtl="0" eaLnBrk="1" latinLnBrk="0" hangingPunct="1">
            <a:defRPr sz="2000" kern="1200">
              <a:solidFill>
                <a:schemeClr val="dk1"/>
              </a:solidFill>
              <a:latin typeface="+mn-lt"/>
              <a:ea typeface="+mn-ea"/>
              <a:cs typeface="+mn-cs"/>
            </a:defRPr>
          </a:lvl7pPr>
          <a:lvl8pPr marL="3200400" algn="l" defTabSz="914400" rtl="0" eaLnBrk="1" latinLnBrk="0" hangingPunct="1">
            <a:defRPr sz="2000" kern="1200">
              <a:solidFill>
                <a:schemeClr val="dk1"/>
              </a:solidFill>
              <a:latin typeface="+mn-lt"/>
              <a:ea typeface="+mn-ea"/>
              <a:cs typeface="+mn-cs"/>
            </a:defRPr>
          </a:lvl8pPr>
          <a:lvl9pPr marL="3657600" algn="l" defTabSz="914400" rtl="0" eaLnBrk="1" latinLnBrk="0" hangingPunct="1">
            <a:defRPr sz="2000" kern="1200">
              <a:solidFill>
                <a:schemeClr val="dk1"/>
              </a:solidFill>
              <a:latin typeface="+mn-lt"/>
              <a:ea typeface="+mn-ea"/>
              <a:cs typeface="+mn-cs"/>
            </a:defRPr>
          </a:lvl9pPr>
        </a:lstStyle>
        <a:p>
          <a:pPr algn="ctr"/>
          <a:r>
            <a:rPr lang="en-US" altLang="zh-CN" sz="1050">
              <a:solidFill>
                <a:schemeClr val="bg1"/>
              </a:solidFill>
              <a:latin typeface="Calibri" pitchFamily="34" charset="0"/>
            </a:rPr>
            <a:t>Entry regulation</a:t>
          </a:r>
        </a:p>
        <a:p>
          <a:pPr algn="ctr"/>
          <a:endParaRPr lang="en-US" altLang="zh-CN" sz="1050">
            <a:solidFill>
              <a:schemeClr val="bg1"/>
            </a:solidFill>
            <a:latin typeface="Calibri" pitchFamily="34" charset="0"/>
          </a:endParaRPr>
        </a:p>
        <a:p>
          <a:pPr algn="ctr"/>
          <a:r>
            <a:rPr lang="en-US" altLang="zh-CN" sz="1050">
              <a:solidFill>
                <a:schemeClr val="bg1"/>
              </a:solidFill>
              <a:latin typeface="Calibri" pitchFamily="34" charset="0"/>
            </a:rPr>
            <a:t>Conduct regulation</a:t>
          </a:r>
        </a:p>
        <a:p>
          <a:pPr algn="ctr"/>
          <a:endParaRPr lang="en-US" altLang="zh-CN" sz="1050">
            <a:solidFill>
              <a:schemeClr val="bg1"/>
            </a:solidFill>
            <a:latin typeface="Calibri" pitchFamily="34" charset="0"/>
          </a:endParaRPr>
        </a:p>
      </xdr:txBody>
    </xdr:sp>
    <xdr:clientData/>
  </xdr:twoCellAnchor>
  <xdr:twoCellAnchor>
    <xdr:from>
      <xdr:col>9</xdr:col>
      <xdr:colOff>529714</xdr:colOff>
      <xdr:row>19</xdr:row>
      <xdr:rowOff>471590</xdr:rowOff>
    </xdr:from>
    <xdr:to>
      <xdr:col>11</xdr:col>
      <xdr:colOff>253768</xdr:colOff>
      <xdr:row>21</xdr:row>
      <xdr:rowOff>174411</xdr:rowOff>
    </xdr:to>
    <xdr:sp macro="" textlink="">
      <xdr:nvSpPr>
        <xdr:cNvPr id="41" name="AutoShape 57">
          <a:extLst>
            <a:ext uri="{FF2B5EF4-FFF2-40B4-BE49-F238E27FC236}">
              <a16:creationId xmlns:a16="http://schemas.microsoft.com/office/drawing/2014/main" id="{57836156-F8EB-AC64-2540-96C38145A260}"/>
            </a:ext>
          </a:extLst>
        </xdr:cNvPr>
        <xdr:cNvSpPr>
          <a:spLocks noChangeArrowheads="1"/>
        </xdr:cNvSpPr>
      </xdr:nvSpPr>
      <xdr:spPr bwMode="auto">
        <a:xfrm>
          <a:off x="6625714" y="8243990"/>
          <a:ext cx="943254" cy="1474471"/>
        </a:xfrm>
        <a:prstGeom prst="flowChartAlternateProcess">
          <a:avLst/>
        </a:prstGeom>
        <a:solidFill>
          <a:srgbClr val="558ED5"/>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40500" rIns="40500" anchor="ctr"/>
        <a:lstStyle>
          <a:defPPr>
            <a:defRPr lang="en-US"/>
          </a:defPPr>
          <a:lvl1pPr algn="l" rtl="0" fontAlgn="base">
            <a:spcBef>
              <a:spcPct val="0"/>
            </a:spcBef>
            <a:spcAft>
              <a:spcPct val="0"/>
            </a:spcAft>
            <a:defRPr sz="2000" kern="1200">
              <a:solidFill>
                <a:schemeClr val="dk1"/>
              </a:solidFill>
              <a:latin typeface="+mn-lt"/>
              <a:ea typeface="+mn-ea"/>
              <a:cs typeface="+mn-cs"/>
            </a:defRPr>
          </a:lvl1pPr>
          <a:lvl2pPr marL="457200" algn="l" rtl="0" fontAlgn="base">
            <a:spcBef>
              <a:spcPct val="0"/>
            </a:spcBef>
            <a:spcAft>
              <a:spcPct val="0"/>
            </a:spcAft>
            <a:defRPr sz="2000" kern="1200">
              <a:solidFill>
                <a:schemeClr val="dk1"/>
              </a:solidFill>
              <a:latin typeface="+mn-lt"/>
              <a:ea typeface="+mn-ea"/>
              <a:cs typeface="+mn-cs"/>
            </a:defRPr>
          </a:lvl2pPr>
          <a:lvl3pPr marL="914400" algn="l" rtl="0" fontAlgn="base">
            <a:spcBef>
              <a:spcPct val="0"/>
            </a:spcBef>
            <a:spcAft>
              <a:spcPct val="0"/>
            </a:spcAft>
            <a:defRPr sz="2000" kern="1200">
              <a:solidFill>
                <a:schemeClr val="dk1"/>
              </a:solidFill>
              <a:latin typeface="+mn-lt"/>
              <a:ea typeface="+mn-ea"/>
              <a:cs typeface="+mn-cs"/>
            </a:defRPr>
          </a:lvl3pPr>
          <a:lvl4pPr marL="1371600" algn="l" rtl="0" fontAlgn="base">
            <a:spcBef>
              <a:spcPct val="0"/>
            </a:spcBef>
            <a:spcAft>
              <a:spcPct val="0"/>
            </a:spcAft>
            <a:defRPr sz="2000" kern="1200">
              <a:solidFill>
                <a:schemeClr val="dk1"/>
              </a:solidFill>
              <a:latin typeface="+mn-lt"/>
              <a:ea typeface="+mn-ea"/>
              <a:cs typeface="+mn-cs"/>
            </a:defRPr>
          </a:lvl4pPr>
          <a:lvl5pPr marL="1828800" algn="l" rtl="0" fontAlgn="base">
            <a:spcBef>
              <a:spcPct val="0"/>
            </a:spcBef>
            <a:spcAft>
              <a:spcPct val="0"/>
            </a:spcAft>
            <a:defRPr sz="2000" kern="1200">
              <a:solidFill>
                <a:schemeClr val="dk1"/>
              </a:solidFill>
              <a:latin typeface="+mn-lt"/>
              <a:ea typeface="+mn-ea"/>
              <a:cs typeface="+mn-cs"/>
            </a:defRPr>
          </a:lvl5pPr>
          <a:lvl6pPr marL="2286000" algn="l" defTabSz="914400" rtl="0" eaLnBrk="1" latinLnBrk="0" hangingPunct="1">
            <a:defRPr sz="2000" kern="1200">
              <a:solidFill>
                <a:schemeClr val="dk1"/>
              </a:solidFill>
              <a:latin typeface="+mn-lt"/>
              <a:ea typeface="+mn-ea"/>
              <a:cs typeface="+mn-cs"/>
            </a:defRPr>
          </a:lvl6pPr>
          <a:lvl7pPr marL="2743200" algn="l" defTabSz="914400" rtl="0" eaLnBrk="1" latinLnBrk="0" hangingPunct="1">
            <a:defRPr sz="2000" kern="1200">
              <a:solidFill>
                <a:schemeClr val="dk1"/>
              </a:solidFill>
              <a:latin typeface="+mn-lt"/>
              <a:ea typeface="+mn-ea"/>
              <a:cs typeface="+mn-cs"/>
            </a:defRPr>
          </a:lvl7pPr>
          <a:lvl8pPr marL="3200400" algn="l" defTabSz="914400" rtl="0" eaLnBrk="1" latinLnBrk="0" hangingPunct="1">
            <a:defRPr sz="2000" kern="1200">
              <a:solidFill>
                <a:schemeClr val="dk1"/>
              </a:solidFill>
              <a:latin typeface="+mn-lt"/>
              <a:ea typeface="+mn-ea"/>
              <a:cs typeface="+mn-cs"/>
            </a:defRPr>
          </a:lvl8pPr>
          <a:lvl9pPr marL="3657600" algn="l" defTabSz="914400" rtl="0" eaLnBrk="1" latinLnBrk="0" hangingPunct="1">
            <a:defRPr sz="2000" kern="1200">
              <a:solidFill>
                <a:schemeClr val="dk1"/>
              </a:solidFill>
              <a:latin typeface="+mn-lt"/>
              <a:ea typeface="+mn-ea"/>
              <a:cs typeface="+mn-cs"/>
            </a:defRPr>
          </a:lvl9pPr>
        </a:lstStyle>
        <a:p>
          <a:pPr algn="ctr"/>
          <a:r>
            <a:rPr lang="en-US" altLang="zh-CN" sz="1050">
              <a:solidFill>
                <a:schemeClr val="bg1"/>
              </a:solidFill>
              <a:latin typeface="Calibri" pitchFamily="34" charset="0"/>
            </a:rPr>
            <a:t>Entry regulation</a:t>
          </a:r>
        </a:p>
        <a:p>
          <a:pPr algn="ctr"/>
          <a:endParaRPr lang="en-US" altLang="zh-CN" sz="1050">
            <a:solidFill>
              <a:schemeClr val="bg1"/>
            </a:solidFill>
            <a:latin typeface="Calibri" pitchFamily="34" charset="0"/>
          </a:endParaRPr>
        </a:p>
        <a:p>
          <a:pPr algn="ctr"/>
          <a:r>
            <a:rPr lang="en-US" altLang="zh-CN" sz="1050">
              <a:solidFill>
                <a:schemeClr val="bg1"/>
              </a:solidFill>
              <a:latin typeface="Calibri" pitchFamily="34" charset="0"/>
            </a:rPr>
            <a:t>Conduct regulation</a:t>
          </a:r>
        </a:p>
        <a:p>
          <a:pPr algn="ctr"/>
          <a:endParaRPr lang="en-US" altLang="zh-CN" sz="1050">
            <a:solidFill>
              <a:schemeClr val="bg1"/>
            </a:solidFill>
            <a:latin typeface="Calibri" pitchFamily="34" charset="0"/>
          </a:endParaRPr>
        </a:p>
      </xdr:txBody>
    </xdr:sp>
    <xdr:clientData/>
  </xdr:twoCellAnchor>
  <xdr:twoCellAnchor>
    <xdr:from>
      <xdr:col>11</xdr:col>
      <xdr:colOff>376425</xdr:colOff>
      <xdr:row>19</xdr:row>
      <xdr:rowOff>471590</xdr:rowOff>
    </xdr:from>
    <xdr:to>
      <xdr:col>13</xdr:col>
      <xdr:colOff>129332</xdr:colOff>
      <xdr:row>21</xdr:row>
      <xdr:rowOff>174411</xdr:rowOff>
    </xdr:to>
    <xdr:sp macro="" textlink="">
      <xdr:nvSpPr>
        <xdr:cNvPr id="42" name="AutoShape 57">
          <a:extLst>
            <a:ext uri="{FF2B5EF4-FFF2-40B4-BE49-F238E27FC236}">
              <a16:creationId xmlns:a16="http://schemas.microsoft.com/office/drawing/2014/main" id="{0559C741-60C7-4764-3FF9-314BBA34FFF1}"/>
            </a:ext>
          </a:extLst>
        </xdr:cNvPr>
        <xdr:cNvSpPr>
          <a:spLocks noChangeArrowheads="1"/>
        </xdr:cNvSpPr>
      </xdr:nvSpPr>
      <xdr:spPr bwMode="auto">
        <a:xfrm>
          <a:off x="7691625" y="8243990"/>
          <a:ext cx="972107" cy="1474471"/>
        </a:xfrm>
        <a:prstGeom prst="flowChartAlternateProcess">
          <a:avLst/>
        </a:prstGeom>
        <a:solidFill>
          <a:srgbClr val="558ED5"/>
        </a:solidFill>
        <a:ln>
          <a:noFill/>
          <a:headEnd/>
          <a:tailEnd/>
        </a:ln>
        <a:effectLst/>
      </xdr:spPr>
      <xdr:style>
        <a:lnRef idx="1">
          <a:schemeClr val="accent5"/>
        </a:lnRef>
        <a:fillRef idx="2">
          <a:schemeClr val="accent5"/>
        </a:fillRef>
        <a:effectRef idx="1">
          <a:schemeClr val="accent5"/>
        </a:effectRef>
        <a:fontRef idx="minor">
          <a:schemeClr val="dk1"/>
        </a:fontRef>
      </xdr:style>
      <xdr:txBody>
        <a:bodyPr wrap="square" lIns="40500" rIns="40500" anchor="ctr"/>
        <a:lstStyle>
          <a:defPPr>
            <a:defRPr lang="en-US"/>
          </a:defPPr>
          <a:lvl1pPr algn="l" rtl="0" fontAlgn="base">
            <a:spcBef>
              <a:spcPct val="0"/>
            </a:spcBef>
            <a:spcAft>
              <a:spcPct val="0"/>
            </a:spcAft>
            <a:defRPr sz="2000" kern="1200">
              <a:solidFill>
                <a:schemeClr val="dk1"/>
              </a:solidFill>
              <a:latin typeface="+mn-lt"/>
              <a:ea typeface="+mn-ea"/>
              <a:cs typeface="+mn-cs"/>
            </a:defRPr>
          </a:lvl1pPr>
          <a:lvl2pPr marL="457200" algn="l" rtl="0" fontAlgn="base">
            <a:spcBef>
              <a:spcPct val="0"/>
            </a:spcBef>
            <a:spcAft>
              <a:spcPct val="0"/>
            </a:spcAft>
            <a:defRPr sz="2000" kern="1200">
              <a:solidFill>
                <a:schemeClr val="dk1"/>
              </a:solidFill>
              <a:latin typeface="+mn-lt"/>
              <a:ea typeface="+mn-ea"/>
              <a:cs typeface="+mn-cs"/>
            </a:defRPr>
          </a:lvl2pPr>
          <a:lvl3pPr marL="914400" algn="l" rtl="0" fontAlgn="base">
            <a:spcBef>
              <a:spcPct val="0"/>
            </a:spcBef>
            <a:spcAft>
              <a:spcPct val="0"/>
            </a:spcAft>
            <a:defRPr sz="2000" kern="1200">
              <a:solidFill>
                <a:schemeClr val="dk1"/>
              </a:solidFill>
              <a:latin typeface="+mn-lt"/>
              <a:ea typeface="+mn-ea"/>
              <a:cs typeface="+mn-cs"/>
            </a:defRPr>
          </a:lvl3pPr>
          <a:lvl4pPr marL="1371600" algn="l" rtl="0" fontAlgn="base">
            <a:spcBef>
              <a:spcPct val="0"/>
            </a:spcBef>
            <a:spcAft>
              <a:spcPct val="0"/>
            </a:spcAft>
            <a:defRPr sz="2000" kern="1200">
              <a:solidFill>
                <a:schemeClr val="dk1"/>
              </a:solidFill>
              <a:latin typeface="+mn-lt"/>
              <a:ea typeface="+mn-ea"/>
              <a:cs typeface="+mn-cs"/>
            </a:defRPr>
          </a:lvl4pPr>
          <a:lvl5pPr marL="1828800" algn="l" rtl="0" fontAlgn="base">
            <a:spcBef>
              <a:spcPct val="0"/>
            </a:spcBef>
            <a:spcAft>
              <a:spcPct val="0"/>
            </a:spcAft>
            <a:defRPr sz="2000" kern="1200">
              <a:solidFill>
                <a:schemeClr val="dk1"/>
              </a:solidFill>
              <a:latin typeface="+mn-lt"/>
              <a:ea typeface="+mn-ea"/>
              <a:cs typeface="+mn-cs"/>
            </a:defRPr>
          </a:lvl5pPr>
          <a:lvl6pPr marL="2286000" algn="l" defTabSz="914400" rtl="0" eaLnBrk="1" latinLnBrk="0" hangingPunct="1">
            <a:defRPr sz="2000" kern="1200">
              <a:solidFill>
                <a:schemeClr val="dk1"/>
              </a:solidFill>
              <a:latin typeface="+mn-lt"/>
              <a:ea typeface="+mn-ea"/>
              <a:cs typeface="+mn-cs"/>
            </a:defRPr>
          </a:lvl6pPr>
          <a:lvl7pPr marL="2743200" algn="l" defTabSz="914400" rtl="0" eaLnBrk="1" latinLnBrk="0" hangingPunct="1">
            <a:defRPr sz="2000" kern="1200">
              <a:solidFill>
                <a:schemeClr val="dk1"/>
              </a:solidFill>
              <a:latin typeface="+mn-lt"/>
              <a:ea typeface="+mn-ea"/>
              <a:cs typeface="+mn-cs"/>
            </a:defRPr>
          </a:lvl7pPr>
          <a:lvl8pPr marL="3200400" algn="l" defTabSz="914400" rtl="0" eaLnBrk="1" latinLnBrk="0" hangingPunct="1">
            <a:defRPr sz="2000" kern="1200">
              <a:solidFill>
                <a:schemeClr val="dk1"/>
              </a:solidFill>
              <a:latin typeface="+mn-lt"/>
              <a:ea typeface="+mn-ea"/>
              <a:cs typeface="+mn-cs"/>
            </a:defRPr>
          </a:lvl8pPr>
          <a:lvl9pPr marL="3657600" algn="l" defTabSz="914400" rtl="0" eaLnBrk="1" latinLnBrk="0" hangingPunct="1">
            <a:defRPr sz="2000" kern="1200">
              <a:solidFill>
                <a:schemeClr val="dk1"/>
              </a:solidFill>
              <a:latin typeface="+mn-lt"/>
              <a:ea typeface="+mn-ea"/>
              <a:cs typeface="+mn-cs"/>
            </a:defRPr>
          </a:lvl9pPr>
        </a:lstStyle>
        <a:p>
          <a:pPr algn="ctr"/>
          <a:r>
            <a:rPr lang="en-US" altLang="zh-CN" sz="1050">
              <a:solidFill>
                <a:schemeClr val="bg1"/>
              </a:solidFill>
              <a:latin typeface="Calibri" pitchFamily="34" charset="0"/>
            </a:rPr>
            <a:t>Entry regulation</a:t>
          </a:r>
        </a:p>
        <a:p>
          <a:pPr algn="ctr"/>
          <a:endParaRPr lang="en-US" altLang="zh-CN" sz="1050">
            <a:solidFill>
              <a:schemeClr val="bg1"/>
            </a:solidFill>
            <a:latin typeface="Calibri" pitchFamily="34" charset="0"/>
          </a:endParaRPr>
        </a:p>
        <a:p>
          <a:pPr algn="ctr"/>
          <a:r>
            <a:rPr lang="en-US" altLang="zh-CN" sz="1050">
              <a:solidFill>
                <a:schemeClr val="bg1"/>
              </a:solidFill>
              <a:latin typeface="Calibri" pitchFamily="34" charset="0"/>
            </a:rPr>
            <a:t>Conduct regulation</a:t>
          </a:r>
        </a:p>
        <a:p>
          <a:pPr algn="ctr"/>
          <a:endParaRPr lang="en-US" altLang="zh-CN" sz="1050">
            <a:solidFill>
              <a:schemeClr val="bg1"/>
            </a:solidFill>
            <a:latin typeface="Calibri" pitchFamily="34" charset="0"/>
          </a:endParaRPr>
        </a:p>
      </xdr:txBody>
    </xdr:sp>
    <xdr:clientData/>
  </xdr:twoCellAnchor>
  <xdr:twoCellAnchor>
    <xdr:from>
      <xdr:col>5</xdr:col>
      <xdr:colOff>353258</xdr:colOff>
      <xdr:row>18</xdr:row>
      <xdr:rowOff>604942</xdr:rowOff>
    </xdr:from>
    <xdr:to>
      <xdr:col>5</xdr:col>
      <xdr:colOff>353261</xdr:colOff>
      <xdr:row>18</xdr:row>
      <xdr:rowOff>939859</xdr:rowOff>
    </xdr:to>
    <xdr:cxnSp macro="">
      <xdr:nvCxnSpPr>
        <xdr:cNvPr id="43" name="Straight Connector 42">
          <a:extLst>
            <a:ext uri="{FF2B5EF4-FFF2-40B4-BE49-F238E27FC236}">
              <a16:creationId xmlns:a16="http://schemas.microsoft.com/office/drawing/2014/main" id="{2407C1A8-D048-D8CC-DF9B-EF84DCF4D7B4}"/>
            </a:ext>
          </a:extLst>
        </xdr:cNvPr>
        <xdr:cNvCxnSpPr>
          <a:endCxn id="39" idx="0"/>
        </xdr:cNvCxnSpPr>
      </xdr:nvCxnSpPr>
      <xdr:spPr>
        <a:xfrm>
          <a:off x="4010858" y="7405792"/>
          <a:ext cx="3" cy="33491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516394</xdr:colOff>
      <xdr:row>18</xdr:row>
      <xdr:rowOff>604942</xdr:rowOff>
    </xdr:from>
    <xdr:to>
      <xdr:col>8</xdr:col>
      <xdr:colOff>516394</xdr:colOff>
      <xdr:row>18</xdr:row>
      <xdr:rowOff>939856</xdr:rowOff>
    </xdr:to>
    <xdr:cxnSp macro="">
      <xdr:nvCxnSpPr>
        <xdr:cNvPr id="44" name="Straight Connector 43">
          <a:extLst>
            <a:ext uri="{FF2B5EF4-FFF2-40B4-BE49-F238E27FC236}">
              <a16:creationId xmlns:a16="http://schemas.microsoft.com/office/drawing/2014/main" id="{F5A99AB3-019A-180E-44B4-6F346488A680}"/>
            </a:ext>
          </a:extLst>
        </xdr:cNvPr>
        <xdr:cNvCxnSpPr/>
      </xdr:nvCxnSpPr>
      <xdr:spPr>
        <a:xfrm>
          <a:off x="6002794" y="7405792"/>
          <a:ext cx="0" cy="33491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419099</xdr:colOff>
      <xdr:row>5</xdr:row>
      <xdr:rowOff>4751</xdr:rowOff>
    </xdr:from>
    <xdr:to>
      <xdr:col>16</xdr:col>
      <xdr:colOff>307408</xdr:colOff>
      <xdr:row>17</xdr:row>
      <xdr:rowOff>152400</xdr:rowOff>
    </xdr:to>
    <xdr:pic>
      <xdr:nvPicPr>
        <xdr:cNvPr id="2" name="Picture 1">
          <a:extLst>
            <a:ext uri="{FF2B5EF4-FFF2-40B4-BE49-F238E27FC236}">
              <a16:creationId xmlns:a16="http://schemas.microsoft.com/office/drawing/2014/main" id="{59F985DB-0420-4AAB-F964-57722A5100E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28699" y="1347776"/>
          <a:ext cx="9032309" cy="4205299"/>
        </a:xfrm>
        <a:prstGeom prst="rect">
          <a:avLst/>
        </a:prstGeom>
        <a:noFill/>
        <a:ln>
          <a:noFill/>
        </a:ln>
      </xdr:spPr>
    </xdr:pic>
    <xdr:clientData/>
  </xdr:twoCellAnchor>
  <xdr:twoCellAnchor editAs="oneCell">
    <xdr:from>
      <xdr:col>15</xdr:col>
      <xdr:colOff>0</xdr:colOff>
      <xdr:row>23</xdr:row>
      <xdr:rowOff>1</xdr:rowOff>
    </xdr:from>
    <xdr:to>
      <xdr:col>17</xdr:col>
      <xdr:colOff>152400</xdr:colOff>
      <xdr:row>44</xdr:row>
      <xdr:rowOff>47626</xdr:rowOff>
    </xdr:to>
    <xdr:pic>
      <xdr:nvPicPr>
        <xdr:cNvPr id="3" name="Picture 2">
          <a:extLst>
            <a:ext uri="{FF2B5EF4-FFF2-40B4-BE49-F238E27FC236}">
              <a16:creationId xmlns:a16="http://schemas.microsoft.com/office/drawing/2014/main" id="{D5C10FEE-8DEE-4195-AC75-CAF7773B5B4A}"/>
            </a:ext>
          </a:extLst>
        </xdr:cNvPr>
        <xdr:cNvPicPr>
          <a:picLocks noChangeAspect="1"/>
        </xdr:cNvPicPr>
      </xdr:nvPicPr>
      <xdr:blipFill>
        <a:blip xmlns:r="http://schemas.openxmlformats.org/officeDocument/2006/relationships" r:embed="rId4"/>
        <a:stretch>
          <a:fillRect/>
        </a:stretch>
      </xdr:blipFill>
      <xdr:spPr>
        <a:xfrm>
          <a:off x="9144000" y="10620376"/>
          <a:ext cx="1371600" cy="3448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555549</xdr:colOff>
      <xdr:row>5</xdr:row>
      <xdr:rowOff>85182</xdr:rowOff>
    </xdr:from>
    <xdr:to>
      <xdr:col>15</xdr:col>
      <xdr:colOff>541473</xdr:colOff>
      <xdr:row>17</xdr:row>
      <xdr:rowOff>170365</xdr:rowOff>
    </xdr:to>
    <xdr:pic>
      <xdr:nvPicPr>
        <xdr:cNvPr id="5" name="Picture 4">
          <a:extLst>
            <a:ext uri="{FF2B5EF4-FFF2-40B4-BE49-F238E27FC236}">
              <a16:creationId xmlns:a16="http://schemas.microsoft.com/office/drawing/2014/main" id="{C9D9D700-E8B3-EEEC-968C-6533A5757C5D}"/>
            </a:ext>
          </a:extLst>
        </xdr:cNvPr>
        <xdr:cNvPicPr>
          <a:picLocks noChangeAspect="1"/>
        </xdr:cNvPicPr>
      </xdr:nvPicPr>
      <xdr:blipFill>
        <a:blip xmlns:r="http://schemas.openxmlformats.org/officeDocument/2006/relationships" r:embed="rId1"/>
        <a:stretch>
          <a:fillRect/>
        </a:stretch>
      </xdr:blipFill>
      <xdr:spPr>
        <a:xfrm>
          <a:off x="1198293" y="1362926"/>
          <a:ext cx="8984339" cy="4142988"/>
        </a:xfrm>
        <a:prstGeom prst="rect">
          <a:avLst/>
        </a:prstGeom>
      </xdr:spPr>
    </xdr:pic>
    <xdr:clientData/>
  </xdr:twoCellAnchor>
  <xdr:twoCellAnchor editAs="oneCell">
    <xdr:from>
      <xdr:col>2</xdr:col>
      <xdr:colOff>116158</xdr:colOff>
      <xdr:row>17</xdr:row>
      <xdr:rowOff>402683</xdr:rowOff>
    </xdr:from>
    <xdr:to>
      <xdr:col>15</xdr:col>
      <xdr:colOff>475502</xdr:colOff>
      <xdr:row>23</xdr:row>
      <xdr:rowOff>387195</xdr:rowOff>
    </xdr:to>
    <xdr:pic>
      <xdr:nvPicPr>
        <xdr:cNvPr id="6" name="Picture 5">
          <a:extLst>
            <a:ext uri="{FF2B5EF4-FFF2-40B4-BE49-F238E27FC236}">
              <a16:creationId xmlns:a16="http://schemas.microsoft.com/office/drawing/2014/main" id="{C04712C2-6DB3-887B-A592-1CE2D08BC676}"/>
            </a:ext>
          </a:extLst>
        </xdr:cNvPr>
        <xdr:cNvPicPr>
          <a:picLocks noChangeAspect="1"/>
        </xdr:cNvPicPr>
      </xdr:nvPicPr>
      <xdr:blipFill>
        <a:blip xmlns:r="http://schemas.openxmlformats.org/officeDocument/2006/relationships" r:embed="rId2"/>
        <a:stretch>
          <a:fillRect/>
        </a:stretch>
      </xdr:blipFill>
      <xdr:spPr>
        <a:xfrm>
          <a:off x="1401646" y="5738232"/>
          <a:ext cx="8715015" cy="4282378"/>
        </a:xfrm>
        <a:prstGeom prst="rect">
          <a:avLst/>
        </a:prstGeom>
      </xdr:spPr>
    </xdr:pic>
    <xdr:clientData/>
  </xdr:twoCellAnchor>
  <xdr:twoCellAnchor editAs="oneCell">
    <xdr:from>
      <xdr:col>4</xdr:col>
      <xdr:colOff>379451</xdr:colOff>
      <xdr:row>26</xdr:row>
      <xdr:rowOff>30975</xdr:rowOff>
    </xdr:from>
    <xdr:to>
      <xdr:col>13</xdr:col>
      <xdr:colOff>604024</xdr:colOff>
      <xdr:row>52</xdr:row>
      <xdr:rowOff>140552</xdr:rowOff>
    </xdr:to>
    <xdr:pic>
      <xdr:nvPicPr>
        <xdr:cNvPr id="7" name="Picture 6">
          <a:extLst>
            <a:ext uri="{FF2B5EF4-FFF2-40B4-BE49-F238E27FC236}">
              <a16:creationId xmlns:a16="http://schemas.microsoft.com/office/drawing/2014/main" id="{FAC4CCDD-DB77-E124-0A55-3310ADF11CA1}"/>
            </a:ext>
          </a:extLst>
        </xdr:cNvPr>
        <xdr:cNvPicPr>
          <a:picLocks noChangeAspect="1"/>
        </xdr:cNvPicPr>
      </xdr:nvPicPr>
      <xdr:blipFill>
        <a:blip xmlns:r="http://schemas.openxmlformats.org/officeDocument/2006/relationships" r:embed="rId3"/>
        <a:stretch>
          <a:fillRect/>
        </a:stretch>
      </xdr:blipFill>
      <xdr:spPr>
        <a:xfrm>
          <a:off x="2950427" y="10833719"/>
          <a:ext cx="6009268" cy="433774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bankgroup-my.sharepoint.com/personal/rgranguillhomeoc_worldbank_org/Documents/RGO/ETIMT/GOV/PMR/Update/CLASS_2025_07_02.xlsx" TargetMode="External"/><Relationship Id="rId1" Type="http://schemas.openxmlformats.org/officeDocument/2006/relationships/externalLinkPath" Target="CLASS_2025_07_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 of economies"/>
      <sheetName val="composition"/>
      <sheetName val="notes"/>
    </sheetNames>
    <sheetDataSet>
      <sheetData sheetId="0">
        <row r="2">
          <cell r="B2" t="str">
            <v>AFG</v>
          </cell>
          <cell r="C2" t="str">
            <v>Middle East, North Africa, Afghanistan &amp; Pakistan</v>
          </cell>
          <cell r="D2" t="str">
            <v>Low income</v>
          </cell>
          <cell r="E2" t="str">
            <v>LIC</v>
          </cell>
          <cell r="F2" t="str">
            <v>IDA</v>
          </cell>
        </row>
        <row r="3">
          <cell r="B3" t="str">
            <v>ALB</v>
          </cell>
          <cell r="C3" t="str">
            <v>Europe &amp; Central Asia</v>
          </cell>
          <cell r="D3" t="str">
            <v>Upper middle income</v>
          </cell>
          <cell r="E3" t="str">
            <v>UMC</v>
          </cell>
          <cell r="F3" t="str">
            <v>IBRD</v>
          </cell>
        </row>
        <row r="4">
          <cell r="B4" t="str">
            <v>DZA</v>
          </cell>
          <cell r="C4" t="str">
            <v>Middle East, North Africa, Afghanistan &amp; Pakistan</v>
          </cell>
          <cell r="D4" t="str">
            <v>Upper middle income</v>
          </cell>
          <cell r="E4" t="str">
            <v>UMC</v>
          </cell>
          <cell r="F4" t="str">
            <v>IBRD</v>
          </cell>
        </row>
        <row r="5">
          <cell r="B5" t="str">
            <v>ASM</v>
          </cell>
          <cell r="C5" t="str">
            <v>East Asia &amp; Pacific</v>
          </cell>
          <cell r="D5" t="str">
            <v>High income</v>
          </cell>
          <cell r="E5" t="str">
            <v>HIC</v>
          </cell>
        </row>
        <row r="6">
          <cell r="B6" t="str">
            <v>AND</v>
          </cell>
          <cell r="C6" t="str">
            <v>Europe &amp; Central Asia</v>
          </cell>
          <cell r="D6" t="str">
            <v>High income</v>
          </cell>
          <cell r="E6" t="str">
            <v>HIC</v>
          </cell>
        </row>
        <row r="7">
          <cell r="B7" t="str">
            <v>AGO</v>
          </cell>
          <cell r="C7" t="str">
            <v>Sub-Saharan Africa</v>
          </cell>
          <cell r="D7" t="str">
            <v>Lower middle income</v>
          </cell>
          <cell r="E7" t="str">
            <v>LMC</v>
          </cell>
          <cell r="F7" t="str">
            <v>IBRD</v>
          </cell>
        </row>
        <row r="8">
          <cell r="B8" t="str">
            <v>ATG</v>
          </cell>
          <cell r="C8" t="str">
            <v>Latin America &amp; Caribbean</v>
          </cell>
          <cell r="D8" t="str">
            <v>High income</v>
          </cell>
          <cell r="E8" t="str">
            <v>HIC</v>
          </cell>
          <cell r="F8" t="str">
            <v>IBRD</v>
          </cell>
        </row>
        <row r="9">
          <cell r="B9" t="str">
            <v>ARG</v>
          </cell>
          <cell r="C9" t="str">
            <v>Latin America &amp; Caribbean</v>
          </cell>
          <cell r="D9" t="str">
            <v>Upper middle income</v>
          </cell>
          <cell r="E9" t="str">
            <v>UMC</v>
          </cell>
          <cell r="F9" t="str">
            <v>IBRD</v>
          </cell>
        </row>
        <row r="10">
          <cell r="B10" t="str">
            <v>ARM</v>
          </cell>
          <cell r="C10" t="str">
            <v>Europe &amp; Central Asia</v>
          </cell>
          <cell r="D10" t="str">
            <v>Upper middle income</v>
          </cell>
          <cell r="E10" t="str">
            <v>UMC</v>
          </cell>
          <cell r="F10" t="str">
            <v>IBRD</v>
          </cell>
        </row>
        <row r="11">
          <cell r="B11" t="str">
            <v>ABW</v>
          </cell>
          <cell r="C11" t="str">
            <v>Latin America &amp; Caribbean</v>
          </cell>
          <cell r="D11" t="str">
            <v>High income</v>
          </cell>
          <cell r="E11" t="str">
            <v>HIC</v>
          </cell>
        </row>
        <row r="12">
          <cell r="B12" t="str">
            <v>AUS</v>
          </cell>
          <cell r="C12" t="str">
            <v>East Asia &amp; Pacific</v>
          </cell>
          <cell r="D12" t="str">
            <v>High income</v>
          </cell>
          <cell r="E12" t="str">
            <v>HIC</v>
          </cell>
        </row>
        <row r="13">
          <cell r="B13" t="str">
            <v>AUT</v>
          </cell>
          <cell r="C13" t="str">
            <v>Europe &amp; Central Asia</v>
          </cell>
          <cell r="D13" t="str">
            <v>High income</v>
          </cell>
          <cell r="E13" t="str">
            <v>HIC</v>
          </cell>
        </row>
        <row r="14">
          <cell r="B14" t="str">
            <v>AZE</v>
          </cell>
          <cell r="C14" t="str">
            <v>Europe &amp; Central Asia</v>
          </cell>
          <cell r="D14" t="str">
            <v>Upper middle income</v>
          </cell>
          <cell r="E14" t="str">
            <v>UMC</v>
          </cell>
          <cell r="F14" t="str">
            <v>IBRD</v>
          </cell>
        </row>
        <row r="15">
          <cell r="B15" t="str">
            <v>BHS</v>
          </cell>
          <cell r="C15" t="str">
            <v>Latin America &amp; Caribbean</v>
          </cell>
          <cell r="D15" t="str">
            <v>High income</v>
          </cell>
          <cell r="E15" t="str">
            <v>HIC</v>
          </cell>
        </row>
        <row r="16">
          <cell r="B16" t="str">
            <v>BHR</v>
          </cell>
          <cell r="C16" t="str">
            <v>Middle East, North Africa, Afghanistan &amp; Pakistan</v>
          </cell>
          <cell r="D16" t="str">
            <v>High income</v>
          </cell>
          <cell r="E16" t="str">
            <v>HIC</v>
          </cell>
        </row>
        <row r="17">
          <cell r="B17" t="str">
            <v>BGD</v>
          </cell>
          <cell r="C17" t="str">
            <v>South Asia</v>
          </cell>
          <cell r="D17" t="str">
            <v>Lower middle income</v>
          </cell>
          <cell r="E17" t="str">
            <v>LMC</v>
          </cell>
          <cell r="F17" t="str">
            <v>IDA</v>
          </cell>
        </row>
        <row r="18">
          <cell r="B18" t="str">
            <v>BRB</v>
          </cell>
          <cell r="C18" t="str">
            <v>Latin America &amp; Caribbean</v>
          </cell>
          <cell r="D18" t="str">
            <v>High income</v>
          </cell>
          <cell r="E18" t="str">
            <v>HIC</v>
          </cell>
          <cell r="F18" t="str">
            <v>IBRD</v>
          </cell>
        </row>
        <row r="19">
          <cell r="B19" t="str">
            <v>BLR</v>
          </cell>
          <cell r="C19" t="str">
            <v>Europe &amp; Central Asia</v>
          </cell>
          <cell r="D19" t="str">
            <v>Upper middle income</v>
          </cell>
          <cell r="E19" t="str">
            <v>UMC</v>
          </cell>
          <cell r="F19" t="str">
            <v>IBRD</v>
          </cell>
        </row>
        <row r="20">
          <cell r="B20" t="str">
            <v>BEL</v>
          </cell>
          <cell r="C20" t="str">
            <v>Europe &amp; Central Asia</v>
          </cell>
          <cell r="D20" t="str">
            <v>High income</v>
          </cell>
          <cell r="E20" t="str">
            <v>HIC</v>
          </cell>
        </row>
        <row r="21">
          <cell r="B21" t="str">
            <v>BLZ</v>
          </cell>
          <cell r="C21" t="str">
            <v>Latin America &amp; Caribbean</v>
          </cell>
          <cell r="D21" t="str">
            <v>Upper middle income</v>
          </cell>
          <cell r="E21" t="str">
            <v>UMC</v>
          </cell>
          <cell r="F21" t="str">
            <v>Blend</v>
          </cell>
        </row>
        <row r="22">
          <cell r="B22" t="str">
            <v>BEN</v>
          </cell>
          <cell r="C22" t="str">
            <v>Sub-Saharan Africa</v>
          </cell>
          <cell r="D22" t="str">
            <v>Lower middle income</v>
          </cell>
          <cell r="E22" t="str">
            <v>LMC</v>
          </cell>
          <cell r="F22" t="str">
            <v>IDA</v>
          </cell>
        </row>
        <row r="23">
          <cell r="B23" t="str">
            <v>BMU</v>
          </cell>
          <cell r="C23" t="str">
            <v>North America</v>
          </cell>
          <cell r="D23" t="str">
            <v>High income</v>
          </cell>
          <cell r="E23" t="str">
            <v>HIC</v>
          </cell>
        </row>
        <row r="24">
          <cell r="B24" t="str">
            <v>BTN</v>
          </cell>
          <cell r="C24" t="str">
            <v>South Asia</v>
          </cell>
          <cell r="D24" t="str">
            <v>Lower middle income</v>
          </cell>
          <cell r="E24" t="str">
            <v>LMC</v>
          </cell>
          <cell r="F24" t="str">
            <v>IDA</v>
          </cell>
        </row>
        <row r="25">
          <cell r="B25" t="str">
            <v>BOL</v>
          </cell>
          <cell r="C25" t="str">
            <v>Latin America &amp; Caribbean</v>
          </cell>
          <cell r="D25" t="str">
            <v>Lower middle income</v>
          </cell>
          <cell r="E25" t="str">
            <v>LMC</v>
          </cell>
          <cell r="F25" t="str">
            <v>IBRD</v>
          </cell>
        </row>
        <row r="26">
          <cell r="B26" t="str">
            <v>BIH</v>
          </cell>
          <cell r="C26" t="str">
            <v>Europe &amp; Central Asia</v>
          </cell>
          <cell r="D26" t="str">
            <v>Upper middle income</v>
          </cell>
          <cell r="E26" t="str">
            <v>UMC</v>
          </cell>
          <cell r="F26" t="str">
            <v>IBRD</v>
          </cell>
        </row>
        <row r="27">
          <cell r="B27" t="str">
            <v>BWA</v>
          </cell>
          <cell r="C27" t="str">
            <v>Sub-Saharan Africa</v>
          </cell>
          <cell r="D27" t="str">
            <v>Upper middle income</v>
          </cell>
          <cell r="E27" t="str">
            <v>UMC</v>
          </cell>
          <cell r="F27" t="str">
            <v>IBRD</v>
          </cell>
        </row>
        <row r="28">
          <cell r="B28" t="str">
            <v>BRA</v>
          </cell>
          <cell r="C28" t="str">
            <v>Latin America &amp; Caribbean</v>
          </cell>
          <cell r="D28" t="str">
            <v>Upper middle income</v>
          </cell>
          <cell r="E28" t="str">
            <v>UMC</v>
          </cell>
          <cell r="F28" t="str">
            <v>IBRD</v>
          </cell>
        </row>
        <row r="29">
          <cell r="B29" t="str">
            <v>VGB</v>
          </cell>
          <cell r="C29" t="str">
            <v>Latin America &amp; Caribbean</v>
          </cell>
          <cell r="D29" t="str">
            <v>High income</v>
          </cell>
          <cell r="E29" t="str">
            <v>HIC</v>
          </cell>
        </row>
        <row r="30">
          <cell r="B30" t="str">
            <v>BRN</v>
          </cell>
          <cell r="C30" t="str">
            <v>East Asia &amp; Pacific</v>
          </cell>
          <cell r="D30" t="str">
            <v>High income</v>
          </cell>
          <cell r="E30" t="str">
            <v>HIC</v>
          </cell>
        </row>
        <row r="31">
          <cell r="B31" t="str">
            <v>BGR</v>
          </cell>
          <cell r="C31" t="str">
            <v>Europe &amp; Central Asia</v>
          </cell>
          <cell r="D31" t="str">
            <v>High income</v>
          </cell>
          <cell r="E31" t="str">
            <v>HIC</v>
          </cell>
          <cell r="F31" t="str">
            <v>IBRD</v>
          </cell>
        </row>
        <row r="32">
          <cell r="B32" t="str">
            <v>BFA</v>
          </cell>
          <cell r="C32" t="str">
            <v>Sub-Saharan Africa</v>
          </cell>
          <cell r="D32" t="str">
            <v>Low income</v>
          </cell>
          <cell r="E32" t="str">
            <v>LIC</v>
          </cell>
          <cell r="F32" t="str">
            <v>IDA</v>
          </cell>
        </row>
        <row r="33">
          <cell r="B33" t="str">
            <v>BDI</v>
          </cell>
          <cell r="C33" t="str">
            <v>Sub-Saharan Africa</v>
          </cell>
          <cell r="D33" t="str">
            <v>Low income</v>
          </cell>
          <cell r="E33" t="str">
            <v>LIC</v>
          </cell>
          <cell r="F33" t="str">
            <v>IDA</v>
          </cell>
        </row>
        <row r="34">
          <cell r="B34" t="str">
            <v>CPV</v>
          </cell>
          <cell r="C34" t="str">
            <v>Sub-Saharan Africa</v>
          </cell>
          <cell r="D34" t="str">
            <v>Upper middle income</v>
          </cell>
          <cell r="E34" t="str">
            <v>UMC</v>
          </cell>
          <cell r="F34" t="str">
            <v>Blend</v>
          </cell>
        </row>
        <row r="35">
          <cell r="B35" t="str">
            <v>KHM</v>
          </cell>
          <cell r="C35" t="str">
            <v>East Asia &amp; Pacific</v>
          </cell>
          <cell r="D35" t="str">
            <v>Lower middle income</v>
          </cell>
          <cell r="E35" t="str">
            <v>LMC</v>
          </cell>
          <cell r="F35" t="str">
            <v>IDA</v>
          </cell>
        </row>
        <row r="36">
          <cell r="B36" t="str">
            <v>CMR</v>
          </cell>
          <cell r="C36" t="str">
            <v>Sub-Saharan Africa</v>
          </cell>
          <cell r="D36" t="str">
            <v>Lower middle income</v>
          </cell>
          <cell r="E36" t="str">
            <v>LMC</v>
          </cell>
          <cell r="F36" t="str">
            <v>Blend</v>
          </cell>
        </row>
        <row r="37">
          <cell r="B37" t="str">
            <v>CAN</v>
          </cell>
          <cell r="C37" t="str">
            <v>North America</v>
          </cell>
          <cell r="D37" t="str">
            <v>High income</v>
          </cell>
          <cell r="E37" t="str">
            <v>HIC</v>
          </cell>
        </row>
        <row r="38">
          <cell r="B38" t="str">
            <v>CYM</v>
          </cell>
          <cell r="C38" t="str">
            <v>Latin America &amp; Caribbean</v>
          </cell>
          <cell r="D38" t="str">
            <v>High income</v>
          </cell>
          <cell r="E38" t="str">
            <v>HIC</v>
          </cell>
        </row>
        <row r="39">
          <cell r="B39" t="str">
            <v>CAF</v>
          </cell>
          <cell r="C39" t="str">
            <v>Sub-Saharan Africa</v>
          </cell>
          <cell r="D39" t="str">
            <v>Low income</v>
          </cell>
          <cell r="E39" t="str">
            <v>LIC</v>
          </cell>
          <cell r="F39" t="str">
            <v>IDA</v>
          </cell>
        </row>
        <row r="40">
          <cell r="B40" t="str">
            <v>TCD</v>
          </cell>
          <cell r="C40" t="str">
            <v>Sub-Saharan Africa</v>
          </cell>
          <cell r="D40" t="str">
            <v>Low income</v>
          </cell>
          <cell r="E40" t="str">
            <v>LIC</v>
          </cell>
          <cell r="F40" t="str">
            <v>IDA</v>
          </cell>
        </row>
        <row r="41">
          <cell r="B41" t="str">
            <v>CHI</v>
          </cell>
          <cell r="C41" t="str">
            <v>Europe &amp; Central Asia</v>
          </cell>
          <cell r="D41" t="str">
            <v>High income</v>
          </cell>
          <cell r="E41" t="str">
            <v>HIC</v>
          </cell>
        </row>
        <row r="42">
          <cell r="B42" t="str">
            <v>CHL</v>
          </cell>
          <cell r="C42" t="str">
            <v>Latin America &amp; Caribbean</v>
          </cell>
          <cell r="D42" t="str">
            <v>High income</v>
          </cell>
          <cell r="E42" t="str">
            <v>HIC</v>
          </cell>
          <cell r="F42" t="str">
            <v>IBRD</v>
          </cell>
        </row>
        <row r="43">
          <cell r="B43" t="str">
            <v>CHN</v>
          </cell>
          <cell r="C43" t="str">
            <v>East Asia &amp; Pacific</v>
          </cell>
          <cell r="D43" t="str">
            <v>Upper middle income</v>
          </cell>
          <cell r="E43" t="str">
            <v>UMC</v>
          </cell>
          <cell r="F43" t="str">
            <v>IBRD</v>
          </cell>
        </row>
        <row r="44">
          <cell r="B44" t="str">
            <v>COL</v>
          </cell>
          <cell r="C44" t="str">
            <v>Latin America &amp; Caribbean</v>
          </cell>
          <cell r="D44" t="str">
            <v>Upper middle income</v>
          </cell>
          <cell r="E44" t="str">
            <v>UMC</v>
          </cell>
          <cell r="F44" t="str">
            <v>IBRD</v>
          </cell>
        </row>
        <row r="45">
          <cell r="B45" t="str">
            <v>COM</v>
          </cell>
          <cell r="C45" t="str">
            <v>Sub-Saharan Africa</v>
          </cell>
          <cell r="D45" t="str">
            <v>Lower middle income</v>
          </cell>
          <cell r="E45" t="str">
            <v>LMC</v>
          </cell>
          <cell r="F45" t="str">
            <v>IDA</v>
          </cell>
        </row>
        <row r="46">
          <cell r="B46" t="str">
            <v>COD</v>
          </cell>
          <cell r="C46" t="str">
            <v>Sub-Saharan Africa</v>
          </cell>
          <cell r="D46" t="str">
            <v>Low income</v>
          </cell>
          <cell r="E46" t="str">
            <v>LIC</v>
          </cell>
          <cell r="F46" t="str">
            <v>IDA</v>
          </cell>
        </row>
        <row r="47">
          <cell r="B47" t="str">
            <v>COG</v>
          </cell>
          <cell r="C47" t="str">
            <v>Sub-Saharan Africa</v>
          </cell>
          <cell r="D47" t="str">
            <v>Lower middle income</v>
          </cell>
          <cell r="E47" t="str">
            <v>LMC</v>
          </cell>
          <cell r="F47" t="str">
            <v>Blend</v>
          </cell>
        </row>
        <row r="48">
          <cell r="B48" t="str">
            <v>CRI</v>
          </cell>
          <cell r="C48" t="str">
            <v>Latin America &amp; Caribbean</v>
          </cell>
          <cell r="D48" t="str">
            <v>High income</v>
          </cell>
          <cell r="E48" t="str">
            <v>HIC</v>
          </cell>
          <cell r="F48" t="str">
            <v>IBRD</v>
          </cell>
        </row>
        <row r="49">
          <cell r="B49" t="str">
            <v>CIV</v>
          </cell>
          <cell r="C49" t="str">
            <v>Sub-Saharan Africa</v>
          </cell>
          <cell r="D49" t="str">
            <v>Lower middle income</v>
          </cell>
          <cell r="E49" t="str">
            <v>LMC</v>
          </cell>
          <cell r="F49" t="str">
            <v>Blend</v>
          </cell>
        </row>
        <row r="50">
          <cell r="B50" t="str">
            <v>HRV</v>
          </cell>
          <cell r="C50" t="str">
            <v>Europe &amp; Central Asia</v>
          </cell>
          <cell r="D50" t="str">
            <v>High income</v>
          </cell>
          <cell r="E50" t="str">
            <v>HIC</v>
          </cell>
          <cell r="F50" t="str">
            <v>IBRD</v>
          </cell>
        </row>
        <row r="51">
          <cell r="B51" t="str">
            <v>CUB</v>
          </cell>
          <cell r="C51" t="str">
            <v>Latin America &amp; Caribbean</v>
          </cell>
          <cell r="D51" t="str">
            <v>Upper middle income</v>
          </cell>
          <cell r="E51" t="str">
            <v>UMC</v>
          </cell>
        </row>
        <row r="52">
          <cell r="B52" t="str">
            <v>CUW</v>
          </cell>
          <cell r="C52" t="str">
            <v>Latin America &amp; Caribbean</v>
          </cell>
          <cell r="D52" t="str">
            <v>High income</v>
          </cell>
          <cell r="E52" t="str">
            <v>HIC</v>
          </cell>
        </row>
        <row r="53">
          <cell r="B53" t="str">
            <v>CYP</v>
          </cell>
          <cell r="C53" t="str">
            <v>Europe &amp; Central Asia</v>
          </cell>
          <cell r="D53" t="str">
            <v>High income</v>
          </cell>
          <cell r="E53" t="str">
            <v>HIC</v>
          </cell>
        </row>
        <row r="54">
          <cell r="B54" t="str">
            <v>CZE</v>
          </cell>
          <cell r="C54" t="str">
            <v>Europe &amp; Central Asia</v>
          </cell>
          <cell r="D54" t="str">
            <v>High income</v>
          </cell>
          <cell r="E54" t="str">
            <v>HIC</v>
          </cell>
        </row>
        <row r="55">
          <cell r="B55" t="str">
            <v>DNK</v>
          </cell>
          <cell r="C55" t="str">
            <v>Europe &amp; Central Asia</v>
          </cell>
          <cell r="D55" t="str">
            <v>High income</v>
          </cell>
          <cell r="E55" t="str">
            <v>HIC</v>
          </cell>
        </row>
        <row r="56">
          <cell r="B56" t="str">
            <v>DJI</v>
          </cell>
          <cell r="C56" t="str">
            <v>Middle East, North Africa, Afghanistan &amp; Pakistan</v>
          </cell>
          <cell r="D56" t="str">
            <v>Lower middle income</v>
          </cell>
          <cell r="E56" t="str">
            <v>LMC</v>
          </cell>
          <cell r="F56" t="str">
            <v>IDA</v>
          </cell>
        </row>
        <row r="57">
          <cell r="B57" t="str">
            <v>DMA</v>
          </cell>
          <cell r="C57" t="str">
            <v>Latin America &amp; Caribbean</v>
          </cell>
          <cell r="D57" t="str">
            <v>Upper middle income</v>
          </cell>
          <cell r="E57" t="str">
            <v>UMC</v>
          </cell>
          <cell r="F57" t="str">
            <v>Blend</v>
          </cell>
        </row>
        <row r="58">
          <cell r="B58" t="str">
            <v>DOM</v>
          </cell>
          <cell r="C58" t="str">
            <v>Latin America &amp; Caribbean</v>
          </cell>
          <cell r="D58" t="str">
            <v>Upper middle income</v>
          </cell>
          <cell r="E58" t="str">
            <v>UMC</v>
          </cell>
          <cell r="F58" t="str">
            <v>IBRD</v>
          </cell>
        </row>
        <row r="59">
          <cell r="B59" t="str">
            <v>ECU</v>
          </cell>
          <cell r="C59" t="str">
            <v>Latin America &amp; Caribbean</v>
          </cell>
          <cell r="D59" t="str">
            <v>Upper middle income</v>
          </cell>
          <cell r="E59" t="str">
            <v>UMC</v>
          </cell>
          <cell r="F59" t="str">
            <v>IBRD</v>
          </cell>
        </row>
        <row r="60">
          <cell r="B60" t="str">
            <v>EGY</v>
          </cell>
          <cell r="C60" t="str">
            <v>Middle East, North Africa, Afghanistan &amp; Pakistan</v>
          </cell>
          <cell r="D60" t="str">
            <v>Lower middle income</v>
          </cell>
          <cell r="E60" t="str">
            <v>LMC</v>
          </cell>
          <cell r="F60" t="str">
            <v>IBRD</v>
          </cell>
        </row>
        <row r="61">
          <cell r="B61" t="str">
            <v>SLV</v>
          </cell>
          <cell r="C61" t="str">
            <v>Latin America &amp; Caribbean</v>
          </cell>
          <cell r="D61" t="str">
            <v>Upper middle income</v>
          </cell>
          <cell r="E61" t="str">
            <v>UMC</v>
          </cell>
          <cell r="F61" t="str">
            <v>IBRD</v>
          </cell>
        </row>
        <row r="62">
          <cell r="B62" t="str">
            <v>GNQ</v>
          </cell>
          <cell r="C62" t="str">
            <v>Sub-Saharan Africa</v>
          </cell>
          <cell r="D62" t="str">
            <v>Upper middle income</v>
          </cell>
          <cell r="E62" t="str">
            <v>UMC</v>
          </cell>
          <cell r="F62" t="str">
            <v>IBRD</v>
          </cell>
        </row>
        <row r="63">
          <cell r="B63" t="str">
            <v>ERI</v>
          </cell>
          <cell r="C63" t="str">
            <v>Sub-Saharan Africa</v>
          </cell>
          <cell r="D63" t="str">
            <v>Low income</v>
          </cell>
          <cell r="E63" t="str">
            <v>LIC</v>
          </cell>
          <cell r="F63" t="str">
            <v>IDA</v>
          </cell>
        </row>
        <row r="64">
          <cell r="B64" t="str">
            <v>EST</v>
          </cell>
          <cell r="C64" t="str">
            <v>Europe &amp; Central Asia</v>
          </cell>
          <cell r="D64" t="str">
            <v>High income</v>
          </cell>
          <cell r="E64" t="str">
            <v>HIC</v>
          </cell>
        </row>
        <row r="65">
          <cell r="B65" t="str">
            <v>SWZ</v>
          </cell>
          <cell r="C65" t="str">
            <v>Sub-Saharan Africa</v>
          </cell>
          <cell r="D65" t="str">
            <v>Lower middle income</v>
          </cell>
          <cell r="E65" t="str">
            <v>LMC</v>
          </cell>
          <cell r="F65" t="str">
            <v>Blend</v>
          </cell>
        </row>
        <row r="66">
          <cell r="B66" t="str">
            <v>ETH</v>
          </cell>
          <cell r="C66" t="str">
            <v>Sub-Saharan Africa</v>
          </cell>
          <cell r="D66"/>
          <cell r="E66"/>
          <cell r="F66" t="str">
            <v>IDA</v>
          </cell>
        </row>
        <row r="67">
          <cell r="B67" t="str">
            <v>FRO</v>
          </cell>
          <cell r="C67" t="str">
            <v>Europe &amp; Central Asia</v>
          </cell>
          <cell r="D67" t="str">
            <v>High income</v>
          </cell>
          <cell r="E67" t="str">
            <v>HIC</v>
          </cell>
        </row>
        <row r="68">
          <cell r="B68" t="str">
            <v>FJI</v>
          </cell>
          <cell r="C68" t="str">
            <v>East Asia &amp; Pacific</v>
          </cell>
          <cell r="D68" t="str">
            <v>Upper middle income</v>
          </cell>
          <cell r="E68" t="str">
            <v>UMC</v>
          </cell>
          <cell r="F68" t="str">
            <v>Blend</v>
          </cell>
        </row>
        <row r="69">
          <cell r="B69" t="str">
            <v>FIN</v>
          </cell>
          <cell r="C69" t="str">
            <v>Europe &amp; Central Asia</v>
          </cell>
          <cell r="D69" t="str">
            <v>High income</v>
          </cell>
          <cell r="E69" t="str">
            <v>HIC</v>
          </cell>
        </row>
        <row r="70">
          <cell r="B70" t="str">
            <v>FRA</v>
          </cell>
          <cell r="C70" t="str">
            <v>Europe &amp; Central Asia</v>
          </cell>
          <cell r="D70" t="str">
            <v>High income</v>
          </cell>
          <cell r="E70" t="str">
            <v>HIC</v>
          </cell>
        </row>
        <row r="71">
          <cell r="B71" t="str">
            <v>PYF</v>
          </cell>
          <cell r="C71" t="str">
            <v>East Asia &amp; Pacific</v>
          </cell>
          <cell r="D71" t="str">
            <v>High income</v>
          </cell>
          <cell r="E71" t="str">
            <v>HIC</v>
          </cell>
        </row>
        <row r="72">
          <cell r="B72" t="str">
            <v>GAB</v>
          </cell>
          <cell r="C72" t="str">
            <v>Sub-Saharan Africa</v>
          </cell>
          <cell r="D72" t="str">
            <v>Upper middle income</v>
          </cell>
          <cell r="E72" t="str">
            <v>UMC</v>
          </cell>
          <cell r="F72" t="str">
            <v>IBRD</v>
          </cell>
        </row>
        <row r="73">
          <cell r="B73" t="str">
            <v>GMB</v>
          </cell>
          <cell r="C73" t="str">
            <v>Sub-Saharan Africa</v>
          </cell>
          <cell r="D73" t="str">
            <v>Low income</v>
          </cell>
          <cell r="E73" t="str">
            <v>LIC</v>
          </cell>
          <cell r="F73" t="str">
            <v>IDA</v>
          </cell>
        </row>
        <row r="74">
          <cell r="B74" t="str">
            <v>GEO</v>
          </cell>
          <cell r="C74" t="str">
            <v>Europe &amp; Central Asia</v>
          </cell>
          <cell r="D74" t="str">
            <v>Upper middle income</v>
          </cell>
          <cell r="E74" t="str">
            <v>UMC</v>
          </cell>
          <cell r="F74" t="str">
            <v>IBRD</v>
          </cell>
        </row>
        <row r="75">
          <cell r="B75" t="str">
            <v>DEU</v>
          </cell>
          <cell r="C75" t="str">
            <v>Europe &amp; Central Asia</v>
          </cell>
          <cell r="D75" t="str">
            <v>High income</v>
          </cell>
          <cell r="E75" t="str">
            <v>HIC</v>
          </cell>
        </row>
        <row r="76">
          <cell r="B76" t="str">
            <v>GHA</v>
          </cell>
          <cell r="C76" t="str">
            <v>Sub-Saharan Africa</v>
          </cell>
          <cell r="D76" t="str">
            <v>Lower middle income</v>
          </cell>
          <cell r="E76" t="str">
            <v>LMC</v>
          </cell>
          <cell r="F76" t="str">
            <v>IDA</v>
          </cell>
        </row>
        <row r="77">
          <cell r="B77" t="str">
            <v>GIB</v>
          </cell>
          <cell r="C77" t="str">
            <v>Europe &amp; Central Asia</v>
          </cell>
          <cell r="D77" t="str">
            <v>High income</v>
          </cell>
          <cell r="E77" t="str">
            <v>HIC</v>
          </cell>
        </row>
        <row r="78">
          <cell r="B78" t="str">
            <v>GRC</v>
          </cell>
          <cell r="C78" t="str">
            <v>Europe &amp; Central Asia</v>
          </cell>
          <cell r="D78" t="str">
            <v>High income</v>
          </cell>
          <cell r="E78" t="str">
            <v>HIC</v>
          </cell>
        </row>
        <row r="79">
          <cell r="B79" t="str">
            <v>GRL</v>
          </cell>
          <cell r="C79" t="str">
            <v>Europe &amp; Central Asia</v>
          </cell>
          <cell r="D79" t="str">
            <v>High income</v>
          </cell>
          <cell r="E79" t="str">
            <v>HIC</v>
          </cell>
        </row>
        <row r="80">
          <cell r="B80" t="str">
            <v>GRD</v>
          </cell>
          <cell r="C80" t="str">
            <v>Latin America &amp; Caribbean</v>
          </cell>
          <cell r="D80" t="str">
            <v>Upper middle income</v>
          </cell>
          <cell r="E80" t="str">
            <v>UMC</v>
          </cell>
          <cell r="F80" t="str">
            <v>Blend</v>
          </cell>
        </row>
        <row r="81">
          <cell r="B81" t="str">
            <v>GUM</v>
          </cell>
          <cell r="C81" t="str">
            <v>East Asia &amp; Pacific</v>
          </cell>
          <cell r="D81" t="str">
            <v>High income</v>
          </cell>
          <cell r="E81" t="str">
            <v>HIC</v>
          </cell>
        </row>
        <row r="82">
          <cell r="B82" t="str">
            <v>GTM</v>
          </cell>
          <cell r="C82" t="str">
            <v>Latin America &amp; Caribbean</v>
          </cell>
          <cell r="D82" t="str">
            <v>Upper middle income</v>
          </cell>
          <cell r="E82" t="str">
            <v>UMC</v>
          </cell>
          <cell r="F82" t="str">
            <v>IBRD</v>
          </cell>
        </row>
        <row r="83">
          <cell r="B83" t="str">
            <v>GIN</v>
          </cell>
          <cell r="C83" t="str">
            <v>Sub-Saharan Africa</v>
          </cell>
          <cell r="D83" t="str">
            <v>Lower middle income</v>
          </cell>
          <cell r="E83" t="str">
            <v>LMC</v>
          </cell>
          <cell r="F83" t="str">
            <v>IDA</v>
          </cell>
        </row>
        <row r="84">
          <cell r="B84" t="str">
            <v>GNB</v>
          </cell>
          <cell r="C84" t="str">
            <v>Sub-Saharan Africa</v>
          </cell>
          <cell r="D84" t="str">
            <v>Low income</v>
          </cell>
          <cell r="E84" t="str">
            <v>LIC</v>
          </cell>
          <cell r="F84" t="str">
            <v>IDA</v>
          </cell>
        </row>
        <row r="85">
          <cell r="B85" t="str">
            <v>GUY</v>
          </cell>
          <cell r="C85" t="str">
            <v>Latin America &amp; Caribbean</v>
          </cell>
          <cell r="D85" t="str">
            <v>High income</v>
          </cell>
          <cell r="E85" t="str">
            <v>HIC</v>
          </cell>
          <cell r="F85" t="str">
            <v>IDA</v>
          </cell>
        </row>
        <row r="86">
          <cell r="B86" t="str">
            <v>HTI</v>
          </cell>
          <cell r="C86" t="str">
            <v>Latin America &amp; Caribbean</v>
          </cell>
          <cell r="D86" t="str">
            <v>Lower middle income</v>
          </cell>
          <cell r="E86" t="str">
            <v>LMC</v>
          </cell>
          <cell r="F86" t="str">
            <v>IDA</v>
          </cell>
        </row>
        <row r="87">
          <cell r="B87" t="str">
            <v>HND</v>
          </cell>
          <cell r="C87" t="str">
            <v>Latin America &amp; Caribbean</v>
          </cell>
          <cell r="D87" t="str">
            <v>Lower middle income</v>
          </cell>
          <cell r="E87" t="str">
            <v>LMC</v>
          </cell>
          <cell r="F87" t="str">
            <v>IDA</v>
          </cell>
        </row>
        <row r="88">
          <cell r="B88" t="str">
            <v>HKG</v>
          </cell>
          <cell r="C88" t="str">
            <v>East Asia &amp; Pacific</v>
          </cell>
          <cell r="D88" t="str">
            <v>High income</v>
          </cell>
          <cell r="E88" t="str">
            <v>HIC</v>
          </cell>
        </row>
        <row r="89">
          <cell r="B89" t="str">
            <v>HUN</v>
          </cell>
          <cell r="C89" t="str">
            <v>Europe &amp; Central Asia</v>
          </cell>
          <cell r="D89" t="str">
            <v>High income</v>
          </cell>
          <cell r="E89" t="str">
            <v>HIC</v>
          </cell>
        </row>
        <row r="90">
          <cell r="B90" t="str">
            <v>ISL</v>
          </cell>
          <cell r="C90" t="str">
            <v>Europe &amp; Central Asia</v>
          </cell>
          <cell r="D90" t="str">
            <v>High income</v>
          </cell>
          <cell r="E90" t="str">
            <v>HIC</v>
          </cell>
        </row>
        <row r="91">
          <cell r="B91" t="str">
            <v>IND</v>
          </cell>
          <cell r="C91" t="str">
            <v>South Asia</v>
          </cell>
          <cell r="D91" t="str">
            <v>Lower middle income</v>
          </cell>
          <cell r="E91" t="str">
            <v>LMC</v>
          </cell>
          <cell r="F91" t="str">
            <v>IBRD</v>
          </cell>
        </row>
        <row r="92">
          <cell r="B92" t="str">
            <v>IDN</v>
          </cell>
          <cell r="C92" t="str">
            <v>East Asia &amp; Pacific</v>
          </cell>
          <cell r="D92" t="str">
            <v>Upper middle income</v>
          </cell>
          <cell r="E92" t="str">
            <v>UMC</v>
          </cell>
          <cell r="F92" t="str">
            <v>IBRD</v>
          </cell>
        </row>
        <row r="93">
          <cell r="B93" t="str">
            <v>IRN</v>
          </cell>
          <cell r="C93" t="str">
            <v>Middle East, North Africa, Afghanistan &amp; Pakistan</v>
          </cell>
          <cell r="D93" t="str">
            <v>Upper middle income</v>
          </cell>
          <cell r="E93" t="str">
            <v>UMC</v>
          </cell>
          <cell r="F93" t="str">
            <v>IBRD</v>
          </cell>
        </row>
        <row r="94">
          <cell r="B94" t="str">
            <v>IRQ</v>
          </cell>
          <cell r="C94" t="str">
            <v>Middle East, North Africa, Afghanistan &amp; Pakistan</v>
          </cell>
          <cell r="D94" t="str">
            <v>Upper middle income</v>
          </cell>
          <cell r="E94" t="str">
            <v>UMC</v>
          </cell>
          <cell r="F94" t="str">
            <v>IBRD</v>
          </cell>
        </row>
        <row r="95">
          <cell r="B95" t="str">
            <v>IRL</v>
          </cell>
          <cell r="C95" t="str">
            <v>Europe &amp; Central Asia</v>
          </cell>
          <cell r="D95" t="str">
            <v>High income</v>
          </cell>
          <cell r="E95" t="str">
            <v>HIC</v>
          </cell>
        </row>
        <row r="96">
          <cell r="B96" t="str">
            <v>IMN</v>
          </cell>
          <cell r="C96" t="str">
            <v>Europe &amp; Central Asia</v>
          </cell>
          <cell r="D96" t="str">
            <v>High income</v>
          </cell>
          <cell r="E96" t="str">
            <v>HIC</v>
          </cell>
        </row>
        <row r="97">
          <cell r="B97" t="str">
            <v>ISR</v>
          </cell>
          <cell r="C97" t="str">
            <v>Middle East, North Africa, Afghanistan &amp; Pakistan</v>
          </cell>
          <cell r="D97" t="str">
            <v>High income</v>
          </cell>
          <cell r="E97" t="str">
            <v>HIC</v>
          </cell>
        </row>
        <row r="98">
          <cell r="B98" t="str">
            <v>ITA</v>
          </cell>
          <cell r="C98" t="str">
            <v>Europe &amp; Central Asia</v>
          </cell>
          <cell r="D98" t="str">
            <v>High income</v>
          </cell>
          <cell r="E98" t="str">
            <v>HIC</v>
          </cell>
        </row>
        <row r="99">
          <cell r="B99" t="str">
            <v>JAM</v>
          </cell>
          <cell r="C99" t="str">
            <v>Latin America &amp; Caribbean</v>
          </cell>
          <cell r="D99" t="str">
            <v>Upper middle income</v>
          </cell>
          <cell r="E99" t="str">
            <v>UMC</v>
          </cell>
          <cell r="F99" t="str">
            <v>IBRD</v>
          </cell>
        </row>
        <row r="100">
          <cell r="B100" t="str">
            <v>JPN</v>
          </cell>
          <cell r="C100" t="str">
            <v>East Asia &amp; Pacific</v>
          </cell>
          <cell r="D100" t="str">
            <v>High income</v>
          </cell>
          <cell r="E100" t="str">
            <v>HIC</v>
          </cell>
        </row>
        <row r="101">
          <cell r="B101" t="str">
            <v>JOR</v>
          </cell>
          <cell r="C101" t="str">
            <v>Middle East, North Africa, Afghanistan &amp; Pakistan</v>
          </cell>
          <cell r="D101" t="str">
            <v>Lower middle income</v>
          </cell>
          <cell r="E101" t="str">
            <v>LMC</v>
          </cell>
          <cell r="F101" t="str">
            <v>IBRD</v>
          </cell>
        </row>
        <row r="102">
          <cell r="B102" t="str">
            <v>KAZ</v>
          </cell>
          <cell r="C102" t="str">
            <v>Europe &amp; Central Asia</v>
          </cell>
          <cell r="D102" t="str">
            <v>Upper middle income</v>
          </cell>
          <cell r="E102" t="str">
            <v>UMC</v>
          </cell>
          <cell r="F102" t="str">
            <v>IBRD</v>
          </cell>
        </row>
        <row r="103">
          <cell r="B103" t="str">
            <v>KEN</v>
          </cell>
          <cell r="C103" t="str">
            <v>Sub-Saharan Africa</v>
          </cell>
          <cell r="D103" t="str">
            <v>Lower middle income</v>
          </cell>
          <cell r="E103" t="str">
            <v>LMC</v>
          </cell>
          <cell r="F103" t="str">
            <v>Blend</v>
          </cell>
        </row>
        <row r="104">
          <cell r="B104" t="str">
            <v>KIR</v>
          </cell>
          <cell r="C104" t="str">
            <v>East Asia &amp; Pacific</v>
          </cell>
          <cell r="D104" t="str">
            <v>Lower middle income</v>
          </cell>
          <cell r="E104" t="str">
            <v>LMC</v>
          </cell>
          <cell r="F104" t="str">
            <v>IDA</v>
          </cell>
        </row>
        <row r="105">
          <cell r="B105" t="str">
            <v>PRK</v>
          </cell>
          <cell r="C105" t="str">
            <v>East Asia &amp; Pacific</v>
          </cell>
          <cell r="D105" t="str">
            <v>Low income</v>
          </cell>
          <cell r="E105" t="str">
            <v>LIC</v>
          </cell>
        </row>
        <row r="106">
          <cell r="B106" t="str">
            <v>KOR</v>
          </cell>
          <cell r="C106" t="str">
            <v>East Asia &amp; Pacific</v>
          </cell>
          <cell r="D106" t="str">
            <v>High income</v>
          </cell>
          <cell r="E106" t="str">
            <v>HIC</v>
          </cell>
        </row>
        <row r="107">
          <cell r="B107" t="str">
            <v>XKX</v>
          </cell>
          <cell r="C107" t="str">
            <v>Europe &amp; Central Asia</v>
          </cell>
          <cell r="D107" t="str">
            <v>Upper middle income</v>
          </cell>
          <cell r="E107" t="str">
            <v>UMC</v>
          </cell>
          <cell r="F107" t="str">
            <v>IDA</v>
          </cell>
        </row>
        <row r="108">
          <cell r="B108" t="str">
            <v>KWT</v>
          </cell>
          <cell r="C108" t="str">
            <v>Middle East, North Africa, Afghanistan &amp; Pakistan</v>
          </cell>
          <cell r="D108" t="str">
            <v>High income</v>
          </cell>
          <cell r="E108" t="str">
            <v>HIC</v>
          </cell>
        </row>
        <row r="109">
          <cell r="B109" t="str">
            <v>KGZ</v>
          </cell>
          <cell r="C109" t="str">
            <v>Europe &amp; Central Asia</v>
          </cell>
          <cell r="D109" t="str">
            <v>Lower middle income</v>
          </cell>
          <cell r="E109" t="str">
            <v>LMC</v>
          </cell>
          <cell r="F109" t="str">
            <v>IDA</v>
          </cell>
        </row>
        <row r="110">
          <cell r="B110" t="str">
            <v>LAO</v>
          </cell>
          <cell r="C110" t="str">
            <v>East Asia &amp; Pacific</v>
          </cell>
          <cell r="D110" t="str">
            <v>Lower middle income</v>
          </cell>
          <cell r="E110" t="str">
            <v>LMC</v>
          </cell>
          <cell r="F110" t="str">
            <v>IDA</v>
          </cell>
        </row>
        <row r="111">
          <cell r="B111" t="str">
            <v>LVA</v>
          </cell>
          <cell r="C111" t="str">
            <v>Europe &amp; Central Asia</v>
          </cell>
          <cell r="D111" t="str">
            <v>High income</v>
          </cell>
          <cell r="E111" t="str">
            <v>HIC</v>
          </cell>
        </row>
        <row r="112">
          <cell r="B112" t="str">
            <v>LBN</v>
          </cell>
          <cell r="C112" t="str">
            <v>Middle East, North Africa, Afghanistan &amp; Pakistan</v>
          </cell>
          <cell r="D112" t="str">
            <v>Lower middle income</v>
          </cell>
          <cell r="E112" t="str">
            <v>LMC</v>
          </cell>
          <cell r="F112" t="str">
            <v>IBRD</v>
          </cell>
        </row>
        <row r="113">
          <cell r="B113" t="str">
            <v>LSO</v>
          </cell>
          <cell r="C113" t="str">
            <v>Sub-Saharan Africa</v>
          </cell>
          <cell r="D113" t="str">
            <v>Lower middle income</v>
          </cell>
          <cell r="E113" t="str">
            <v>LMC</v>
          </cell>
          <cell r="F113" t="str">
            <v>IDA</v>
          </cell>
        </row>
        <row r="114">
          <cell r="B114" t="str">
            <v>LBR</v>
          </cell>
          <cell r="C114" t="str">
            <v>Sub-Saharan Africa</v>
          </cell>
          <cell r="D114" t="str">
            <v>Low income</v>
          </cell>
          <cell r="E114" t="str">
            <v>LIC</v>
          </cell>
          <cell r="F114" t="str">
            <v>IDA</v>
          </cell>
        </row>
        <row r="115">
          <cell r="B115" t="str">
            <v>LBY</v>
          </cell>
          <cell r="C115" t="str">
            <v>Middle East, North Africa, Afghanistan &amp; Pakistan</v>
          </cell>
          <cell r="D115" t="str">
            <v>Upper middle income</v>
          </cell>
          <cell r="E115" t="str">
            <v>UMC</v>
          </cell>
          <cell r="F115" t="str">
            <v>IBRD</v>
          </cell>
        </row>
        <row r="116">
          <cell r="B116" t="str">
            <v>LIE</v>
          </cell>
          <cell r="C116" t="str">
            <v>Europe &amp; Central Asia</v>
          </cell>
          <cell r="D116" t="str">
            <v>High income</v>
          </cell>
          <cell r="E116" t="str">
            <v>HIC</v>
          </cell>
        </row>
        <row r="117">
          <cell r="B117" t="str">
            <v>LTU</v>
          </cell>
          <cell r="C117" t="str">
            <v>Europe &amp; Central Asia</v>
          </cell>
          <cell r="D117" t="str">
            <v>High income</v>
          </cell>
          <cell r="E117" t="str">
            <v>HIC</v>
          </cell>
        </row>
        <row r="118">
          <cell r="B118" t="str">
            <v>LUX</v>
          </cell>
          <cell r="C118" t="str">
            <v>Europe &amp; Central Asia</v>
          </cell>
          <cell r="D118" t="str">
            <v>High income</v>
          </cell>
          <cell r="E118" t="str">
            <v>HIC</v>
          </cell>
        </row>
        <row r="119">
          <cell r="B119" t="str">
            <v>MAC</v>
          </cell>
          <cell r="C119" t="str">
            <v>East Asia &amp; Pacific</v>
          </cell>
          <cell r="D119" t="str">
            <v>High income</v>
          </cell>
          <cell r="E119" t="str">
            <v>HIC</v>
          </cell>
        </row>
        <row r="120">
          <cell r="B120" t="str">
            <v>MDG</v>
          </cell>
          <cell r="C120" t="str">
            <v>Sub-Saharan Africa</v>
          </cell>
          <cell r="D120" t="str">
            <v>Low income</v>
          </cell>
          <cell r="E120" t="str">
            <v>LIC</v>
          </cell>
          <cell r="F120" t="str">
            <v>IDA</v>
          </cell>
        </row>
        <row r="121">
          <cell r="B121" t="str">
            <v>MWI</v>
          </cell>
          <cell r="C121" t="str">
            <v>Sub-Saharan Africa</v>
          </cell>
          <cell r="D121" t="str">
            <v>Low income</v>
          </cell>
          <cell r="E121" t="str">
            <v>LIC</v>
          </cell>
          <cell r="F121" t="str">
            <v>IDA</v>
          </cell>
        </row>
        <row r="122">
          <cell r="B122" t="str">
            <v>MYS</v>
          </cell>
          <cell r="C122" t="str">
            <v>East Asia &amp; Pacific</v>
          </cell>
          <cell r="D122" t="str">
            <v>Upper middle income</v>
          </cell>
          <cell r="E122" t="str">
            <v>UMC</v>
          </cell>
          <cell r="F122" t="str">
            <v>IBRD</v>
          </cell>
        </row>
        <row r="123">
          <cell r="B123" t="str">
            <v>MDV</v>
          </cell>
          <cell r="C123" t="str">
            <v>South Asia</v>
          </cell>
          <cell r="D123" t="str">
            <v>Upper middle income</v>
          </cell>
          <cell r="E123" t="str">
            <v>UMC</v>
          </cell>
          <cell r="F123" t="str">
            <v>IDA</v>
          </cell>
        </row>
        <row r="124">
          <cell r="B124" t="str">
            <v>MLI</v>
          </cell>
          <cell r="C124" t="str">
            <v>Sub-Saharan Africa</v>
          </cell>
          <cell r="D124" t="str">
            <v>Low income</v>
          </cell>
          <cell r="E124" t="str">
            <v>LIC</v>
          </cell>
          <cell r="F124" t="str">
            <v>IDA</v>
          </cell>
        </row>
        <row r="125">
          <cell r="B125" t="str">
            <v>MLT</v>
          </cell>
          <cell r="C125" t="str">
            <v>Middle East, North Africa, Afghanistan &amp; Pakistan</v>
          </cell>
          <cell r="D125" t="str">
            <v>High income</v>
          </cell>
          <cell r="E125" t="str">
            <v>HIC</v>
          </cell>
        </row>
        <row r="126">
          <cell r="B126" t="str">
            <v>MHL</v>
          </cell>
          <cell r="C126" t="str">
            <v>East Asia &amp; Pacific</v>
          </cell>
          <cell r="D126" t="str">
            <v>Upper middle income</v>
          </cell>
          <cell r="E126" t="str">
            <v>UMC</v>
          </cell>
          <cell r="F126" t="str">
            <v>IDA</v>
          </cell>
        </row>
        <row r="127">
          <cell r="B127" t="str">
            <v>MRT</v>
          </cell>
          <cell r="C127" t="str">
            <v>Sub-Saharan Africa</v>
          </cell>
          <cell r="D127" t="str">
            <v>Lower middle income</v>
          </cell>
          <cell r="E127" t="str">
            <v>LMC</v>
          </cell>
          <cell r="F127" t="str">
            <v>IDA</v>
          </cell>
        </row>
        <row r="128">
          <cell r="B128" t="str">
            <v>MUS</v>
          </cell>
          <cell r="C128" t="str">
            <v>Sub-Saharan Africa</v>
          </cell>
          <cell r="D128" t="str">
            <v>Upper middle income</v>
          </cell>
          <cell r="E128" t="str">
            <v>UMC</v>
          </cell>
          <cell r="F128" t="str">
            <v>IBRD</v>
          </cell>
        </row>
        <row r="129">
          <cell r="B129" t="str">
            <v>MEX</v>
          </cell>
          <cell r="C129" t="str">
            <v>Latin America &amp; Caribbean</v>
          </cell>
          <cell r="D129" t="str">
            <v>Upper middle income</v>
          </cell>
          <cell r="E129" t="str">
            <v>UMC</v>
          </cell>
          <cell r="F129" t="str">
            <v>IBRD</v>
          </cell>
        </row>
        <row r="130">
          <cell r="B130" t="str">
            <v>FSM</v>
          </cell>
          <cell r="C130" t="str">
            <v>East Asia &amp; Pacific</v>
          </cell>
          <cell r="D130" t="str">
            <v>Lower middle income</v>
          </cell>
          <cell r="E130" t="str">
            <v>LMC</v>
          </cell>
          <cell r="F130" t="str">
            <v>IDA</v>
          </cell>
        </row>
        <row r="131">
          <cell r="B131" t="str">
            <v>MDA</v>
          </cell>
          <cell r="C131" t="str">
            <v>Europe &amp; Central Asia</v>
          </cell>
          <cell r="D131" t="str">
            <v>Upper middle income</v>
          </cell>
          <cell r="E131" t="str">
            <v>UMC</v>
          </cell>
          <cell r="F131" t="str">
            <v>IBRD</v>
          </cell>
        </row>
        <row r="132">
          <cell r="B132" t="str">
            <v>MCO</v>
          </cell>
          <cell r="C132" t="str">
            <v>Europe &amp; Central Asia</v>
          </cell>
          <cell r="D132" t="str">
            <v>High income</v>
          </cell>
          <cell r="E132" t="str">
            <v>HIC</v>
          </cell>
        </row>
        <row r="133">
          <cell r="B133" t="str">
            <v>MNG</v>
          </cell>
          <cell r="C133" t="str">
            <v>East Asia &amp; Pacific</v>
          </cell>
          <cell r="D133" t="str">
            <v>Upper middle income</v>
          </cell>
          <cell r="E133" t="str">
            <v>UMC</v>
          </cell>
          <cell r="F133" t="str">
            <v>IBRD</v>
          </cell>
        </row>
        <row r="134">
          <cell r="B134" t="str">
            <v>MNE</v>
          </cell>
          <cell r="C134" t="str">
            <v>Europe &amp; Central Asia</v>
          </cell>
          <cell r="D134" t="str">
            <v>Upper middle income</v>
          </cell>
          <cell r="E134" t="str">
            <v>UMC</v>
          </cell>
          <cell r="F134" t="str">
            <v>IBRD</v>
          </cell>
        </row>
        <row r="135">
          <cell r="B135" t="str">
            <v>MAR</v>
          </cell>
          <cell r="C135" t="str">
            <v>Middle East, North Africa, Afghanistan &amp; Pakistan</v>
          </cell>
          <cell r="D135" t="str">
            <v>Lower middle income</v>
          </cell>
          <cell r="E135" t="str">
            <v>LMC</v>
          </cell>
          <cell r="F135" t="str">
            <v>IBRD</v>
          </cell>
        </row>
        <row r="136">
          <cell r="B136" t="str">
            <v>MOZ</v>
          </cell>
          <cell r="C136" t="str">
            <v>Sub-Saharan Africa</v>
          </cell>
          <cell r="D136" t="str">
            <v>Low income</v>
          </cell>
          <cell r="E136" t="str">
            <v>LIC</v>
          </cell>
          <cell r="F136" t="str">
            <v>IDA</v>
          </cell>
        </row>
        <row r="137">
          <cell r="B137" t="str">
            <v>MMR</v>
          </cell>
          <cell r="C137" t="str">
            <v>East Asia &amp; Pacific</v>
          </cell>
          <cell r="D137" t="str">
            <v>Lower middle income</v>
          </cell>
          <cell r="E137" t="str">
            <v>LMC</v>
          </cell>
          <cell r="F137" t="str">
            <v>IDA</v>
          </cell>
        </row>
        <row r="138">
          <cell r="B138" t="str">
            <v>NAM</v>
          </cell>
          <cell r="C138" t="str">
            <v>Sub-Saharan Africa</v>
          </cell>
          <cell r="D138" t="str">
            <v>Lower middle income</v>
          </cell>
          <cell r="E138" t="str">
            <v>LMC</v>
          </cell>
          <cell r="F138" t="str">
            <v>IBRD</v>
          </cell>
        </row>
        <row r="139">
          <cell r="B139" t="str">
            <v>NRU</v>
          </cell>
          <cell r="C139" t="str">
            <v>East Asia &amp; Pacific</v>
          </cell>
          <cell r="D139" t="str">
            <v>High income</v>
          </cell>
          <cell r="E139" t="str">
            <v>HIC</v>
          </cell>
          <cell r="F139" t="str">
            <v>IBRD</v>
          </cell>
        </row>
        <row r="140">
          <cell r="B140" t="str">
            <v>NPL</v>
          </cell>
          <cell r="C140" t="str">
            <v>South Asia</v>
          </cell>
          <cell r="D140" t="str">
            <v>Lower middle income</v>
          </cell>
          <cell r="E140" t="str">
            <v>LMC</v>
          </cell>
          <cell r="F140" t="str">
            <v>IDA</v>
          </cell>
        </row>
        <row r="141">
          <cell r="B141" t="str">
            <v>NLD</v>
          </cell>
          <cell r="C141" t="str">
            <v>Europe &amp; Central Asia</v>
          </cell>
          <cell r="D141" t="str">
            <v>High income</v>
          </cell>
          <cell r="E141" t="str">
            <v>HIC</v>
          </cell>
        </row>
        <row r="142">
          <cell r="B142" t="str">
            <v>NCL</v>
          </cell>
          <cell r="C142" t="str">
            <v>East Asia &amp; Pacific</v>
          </cell>
          <cell r="D142" t="str">
            <v>High income</v>
          </cell>
          <cell r="E142" t="str">
            <v>HIC</v>
          </cell>
        </row>
        <row r="143">
          <cell r="B143" t="str">
            <v>NZL</v>
          </cell>
          <cell r="C143" t="str">
            <v>East Asia &amp; Pacific</v>
          </cell>
          <cell r="D143" t="str">
            <v>High income</v>
          </cell>
          <cell r="E143" t="str">
            <v>HIC</v>
          </cell>
        </row>
        <row r="144">
          <cell r="B144" t="str">
            <v>NIC</v>
          </cell>
          <cell r="C144" t="str">
            <v>Latin America &amp; Caribbean</v>
          </cell>
          <cell r="D144" t="str">
            <v>Lower middle income</v>
          </cell>
          <cell r="E144" t="str">
            <v>LMC</v>
          </cell>
          <cell r="F144" t="str">
            <v>IDA</v>
          </cell>
        </row>
        <row r="145">
          <cell r="B145" t="str">
            <v>NER</v>
          </cell>
          <cell r="C145" t="str">
            <v>Sub-Saharan Africa</v>
          </cell>
          <cell r="D145" t="str">
            <v>Low income</v>
          </cell>
          <cell r="E145" t="str">
            <v>LIC</v>
          </cell>
          <cell r="F145" t="str">
            <v>IDA</v>
          </cell>
        </row>
        <row r="146">
          <cell r="B146" t="str">
            <v>NGA</v>
          </cell>
          <cell r="C146" t="str">
            <v>Sub-Saharan Africa</v>
          </cell>
          <cell r="D146" t="str">
            <v>Lower middle income</v>
          </cell>
          <cell r="E146" t="str">
            <v>LMC</v>
          </cell>
          <cell r="F146" t="str">
            <v>Blend</v>
          </cell>
        </row>
        <row r="147">
          <cell r="B147" t="str">
            <v>MKD</v>
          </cell>
          <cell r="C147" t="str">
            <v>Europe &amp; Central Asia</v>
          </cell>
          <cell r="D147" t="str">
            <v>Upper middle income</v>
          </cell>
          <cell r="E147" t="str">
            <v>UMC</v>
          </cell>
          <cell r="F147" t="str">
            <v>IBRD</v>
          </cell>
        </row>
        <row r="148">
          <cell r="B148" t="str">
            <v>MNP</v>
          </cell>
          <cell r="C148" t="str">
            <v>East Asia &amp; Pacific</v>
          </cell>
          <cell r="D148" t="str">
            <v>High income</v>
          </cell>
          <cell r="E148" t="str">
            <v>HIC</v>
          </cell>
        </row>
        <row r="149">
          <cell r="B149" t="str">
            <v>NOR</v>
          </cell>
          <cell r="C149" t="str">
            <v>Europe &amp; Central Asia</v>
          </cell>
          <cell r="D149" t="str">
            <v>High income</v>
          </cell>
          <cell r="E149" t="str">
            <v>HIC</v>
          </cell>
        </row>
        <row r="150">
          <cell r="B150" t="str">
            <v>OMN</v>
          </cell>
          <cell r="C150" t="str">
            <v>Middle East, North Africa, Afghanistan &amp; Pakistan</v>
          </cell>
          <cell r="D150" t="str">
            <v>High income</v>
          </cell>
          <cell r="E150" t="str">
            <v>HIC</v>
          </cell>
        </row>
        <row r="151">
          <cell r="B151" t="str">
            <v>PAK</v>
          </cell>
          <cell r="C151" t="str">
            <v>Middle East, North Africa, Afghanistan &amp; Pakistan</v>
          </cell>
          <cell r="D151" t="str">
            <v>Lower middle income</v>
          </cell>
          <cell r="E151" t="str">
            <v>LMC</v>
          </cell>
          <cell r="F151" t="str">
            <v>Blend</v>
          </cell>
        </row>
        <row r="152">
          <cell r="B152" t="str">
            <v>PLW</v>
          </cell>
          <cell r="C152" t="str">
            <v>East Asia &amp; Pacific</v>
          </cell>
          <cell r="D152" t="str">
            <v>High income</v>
          </cell>
          <cell r="E152" t="str">
            <v>HIC</v>
          </cell>
          <cell r="F152" t="str">
            <v>IBRD</v>
          </cell>
        </row>
        <row r="153">
          <cell r="B153" t="str">
            <v>PAN</v>
          </cell>
          <cell r="C153" t="str">
            <v>Latin America &amp; Caribbean</v>
          </cell>
          <cell r="D153" t="str">
            <v>High income</v>
          </cell>
          <cell r="E153" t="str">
            <v>HIC</v>
          </cell>
          <cell r="F153" t="str">
            <v>IBRD</v>
          </cell>
        </row>
        <row r="154">
          <cell r="B154" t="str">
            <v>PNG</v>
          </cell>
          <cell r="C154" t="str">
            <v>East Asia &amp; Pacific</v>
          </cell>
          <cell r="D154" t="str">
            <v>Lower middle income</v>
          </cell>
          <cell r="E154" t="str">
            <v>LMC</v>
          </cell>
          <cell r="F154" t="str">
            <v>Blend</v>
          </cell>
        </row>
        <row r="155">
          <cell r="B155" t="str">
            <v>PRY</v>
          </cell>
          <cell r="C155" t="str">
            <v>Latin America &amp; Caribbean</v>
          </cell>
          <cell r="D155" t="str">
            <v>Upper middle income</v>
          </cell>
          <cell r="E155" t="str">
            <v>UMC</v>
          </cell>
          <cell r="F155" t="str">
            <v>IBRD</v>
          </cell>
        </row>
        <row r="156">
          <cell r="B156" t="str">
            <v>PER</v>
          </cell>
          <cell r="C156" t="str">
            <v>Latin America &amp; Caribbean</v>
          </cell>
          <cell r="D156" t="str">
            <v>Upper middle income</v>
          </cell>
          <cell r="E156" t="str">
            <v>UMC</v>
          </cell>
          <cell r="F156" t="str">
            <v>IBRD</v>
          </cell>
        </row>
        <row r="157">
          <cell r="B157" t="str">
            <v>PHL</v>
          </cell>
          <cell r="C157" t="str">
            <v>East Asia &amp; Pacific</v>
          </cell>
          <cell r="D157" t="str">
            <v>Lower middle income</v>
          </cell>
          <cell r="E157" t="str">
            <v>LMC</v>
          </cell>
          <cell r="F157" t="str">
            <v>IBRD</v>
          </cell>
        </row>
        <row r="158">
          <cell r="B158" t="str">
            <v>POL</v>
          </cell>
          <cell r="C158" t="str">
            <v>Europe &amp; Central Asia</v>
          </cell>
          <cell r="D158" t="str">
            <v>High income</v>
          </cell>
          <cell r="E158" t="str">
            <v>HIC</v>
          </cell>
          <cell r="F158" t="str">
            <v>IBRD</v>
          </cell>
        </row>
        <row r="159">
          <cell r="B159" t="str">
            <v>PRT</v>
          </cell>
          <cell r="C159" t="str">
            <v>Europe &amp; Central Asia</v>
          </cell>
          <cell r="D159" t="str">
            <v>High income</v>
          </cell>
          <cell r="E159" t="str">
            <v>HIC</v>
          </cell>
        </row>
        <row r="160">
          <cell r="B160" t="str">
            <v>PRI</v>
          </cell>
          <cell r="C160" t="str">
            <v>Latin America &amp; Caribbean</v>
          </cell>
          <cell r="D160" t="str">
            <v>High income</v>
          </cell>
          <cell r="E160" t="str">
            <v>HIC</v>
          </cell>
        </row>
        <row r="161">
          <cell r="B161" t="str">
            <v>QAT</v>
          </cell>
          <cell r="C161" t="str">
            <v>Middle East, North Africa, Afghanistan &amp; Pakistan</v>
          </cell>
          <cell r="D161" t="str">
            <v>High income</v>
          </cell>
          <cell r="E161" t="str">
            <v>HIC</v>
          </cell>
        </row>
        <row r="162">
          <cell r="B162" t="str">
            <v>ROU</v>
          </cell>
          <cell r="C162" t="str">
            <v>Europe &amp; Central Asia</v>
          </cell>
          <cell r="D162" t="str">
            <v>High income</v>
          </cell>
          <cell r="E162" t="str">
            <v>HIC</v>
          </cell>
          <cell r="F162" t="str">
            <v>IBRD</v>
          </cell>
        </row>
        <row r="163">
          <cell r="B163" t="str">
            <v>RUS</v>
          </cell>
          <cell r="C163" t="str">
            <v>Europe &amp; Central Asia</v>
          </cell>
          <cell r="D163" t="str">
            <v>High income</v>
          </cell>
          <cell r="E163" t="str">
            <v>HIC</v>
          </cell>
          <cell r="F163" t="str">
            <v>IBRD</v>
          </cell>
        </row>
        <row r="164">
          <cell r="B164" t="str">
            <v>RWA</v>
          </cell>
          <cell r="C164" t="str">
            <v>Sub-Saharan Africa</v>
          </cell>
          <cell r="D164" t="str">
            <v>Low income</v>
          </cell>
          <cell r="E164" t="str">
            <v>LIC</v>
          </cell>
          <cell r="F164" t="str">
            <v>IDA</v>
          </cell>
        </row>
        <row r="165">
          <cell r="B165" t="str">
            <v>WSM</v>
          </cell>
          <cell r="C165" t="str">
            <v>East Asia &amp; Pacific</v>
          </cell>
          <cell r="D165" t="str">
            <v>Upper middle income</v>
          </cell>
          <cell r="E165" t="str">
            <v>UMC</v>
          </cell>
          <cell r="F165" t="str">
            <v>IDA</v>
          </cell>
        </row>
        <row r="166">
          <cell r="B166" t="str">
            <v>SMR</v>
          </cell>
          <cell r="C166" t="str">
            <v>Europe &amp; Central Asia</v>
          </cell>
          <cell r="D166" t="str">
            <v>High income</v>
          </cell>
          <cell r="E166" t="str">
            <v>HIC</v>
          </cell>
        </row>
        <row r="167">
          <cell r="B167" t="str">
            <v>STP</v>
          </cell>
          <cell r="C167" t="str">
            <v>Sub-Saharan Africa</v>
          </cell>
          <cell r="D167" t="str">
            <v>Lower middle income</v>
          </cell>
          <cell r="E167" t="str">
            <v>LMC</v>
          </cell>
          <cell r="F167" t="str">
            <v>IDA</v>
          </cell>
        </row>
        <row r="168">
          <cell r="B168" t="str">
            <v>SAU</v>
          </cell>
          <cell r="C168" t="str">
            <v>Middle East, North Africa, Afghanistan &amp; Pakistan</v>
          </cell>
          <cell r="D168" t="str">
            <v>High income</v>
          </cell>
          <cell r="E168" t="str">
            <v>HIC</v>
          </cell>
        </row>
        <row r="169">
          <cell r="B169" t="str">
            <v>SEN</v>
          </cell>
          <cell r="C169" t="str">
            <v>Sub-Saharan Africa</v>
          </cell>
          <cell r="D169" t="str">
            <v>Lower middle income</v>
          </cell>
          <cell r="E169" t="str">
            <v>LMC</v>
          </cell>
          <cell r="F169" t="str">
            <v>IDA</v>
          </cell>
        </row>
        <row r="170">
          <cell r="B170" t="str">
            <v>SRB</v>
          </cell>
          <cell r="C170" t="str">
            <v>Europe &amp; Central Asia</v>
          </cell>
          <cell r="D170" t="str">
            <v>Upper middle income</v>
          </cell>
          <cell r="E170" t="str">
            <v>UMC</v>
          </cell>
          <cell r="F170" t="str">
            <v>IBRD</v>
          </cell>
        </row>
        <row r="171">
          <cell r="B171" t="str">
            <v>SYC</v>
          </cell>
          <cell r="C171" t="str">
            <v>Sub-Saharan Africa</v>
          </cell>
          <cell r="D171" t="str">
            <v>High income</v>
          </cell>
          <cell r="E171" t="str">
            <v>HIC</v>
          </cell>
          <cell r="F171" t="str">
            <v>IBRD</v>
          </cell>
        </row>
        <row r="172">
          <cell r="B172" t="str">
            <v>SLE</v>
          </cell>
          <cell r="C172" t="str">
            <v>Sub-Saharan Africa</v>
          </cell>
          <cell r="D172" t="str">
            <v>Low income</v>
          </cell>
          <cell r="E172" t="str">
            <v>LIC</v>
          </cell>
          <cell r="F172" t="str">
            <v>IDA</v>
          </cell>
        </row>
        <row r="173">
          <cell r="B173" t="str">
            <v>SGP</v>
          </cell>
          <cell r="C173" t="str">
            <v>East Asia &amp; Pacific</v>
          </cell>
          <cell r="D173" t="str">
            <v>High income</v>
          </cell>
          <cell r="E173" t="str">
            <v>HIC</v>
          </cell>
        </row>
        <row r="174">
          <cell r="B174" t="str">
            <v>SXM</v>
          </cell>
          <cell r="C174" t="str">
            <v>Latin America &amp; Caribbean</v>
          </cell>
          <cell r="D174" t="str">
            <v>High income</v>
          </cell>
          <cell r="E174" t="str">
            <v>HIC</v>
          </cell>
        </row>
        <row r="175">
          <cell r="B175" t="str">
            <v>SVK</v>
          </cell>
          <cell r="C175" t="str">
            <v>Europe &amp; Central Asia</v>
          </cell>
          <cell r="D175" t="str">
            <v>High income</v>
          </cell>
          <cell r="E175" t="str">
            <v>HIC</v>
          </cell>
        </row>
        <row r="176">
          <cell r="B176" t="str">
            <v>SVN</v>
          </cell>
          <cell r="C176" t="str">
            <v>Europe &amp; Central Asia</v>
          </cell>
          <cell r="D176" t="str">
            <v>High income</v>
          </cell>
          <cell r="E176" t="str">
            <v>HIC</v>
          </cell>
        </row>
        <row r="177">
          <cell r="B177" t="str">
            <v>SLB</v>
          </cell>
          <cell r="C177" t="str">
            <v>East Asia &amp; Pacific</v>
          </cell>
          <cell r="D177" t="str">
            <v>Lower middle income</v>
          </cell>
          <cell r="E177" t="str">
            <v>LMC</v>
          </cell>
          <cell r="F177" t="str">
            <v>IDA</v>
          </cell>
        </row>
        <row r="178">
          <cell r="B178" t="str">
            <v>SOM</v>
          </cell>
          <cell r="C178" t="str">
            <v>Sub-Saharan Africa</v>
          </cell>
          <cell r="D178" t="str">
            <v>Low income</v>
          </cell>
          <cell r="E178" t="str">
            <v>LIC</v>
          </cell>
          <cell r="F178" t="str">
            <v>IDA</v>
          </cell>
        </row>
        <row r="179">
          <cell r="B179" t="str">
            <v>ZAF</v>
          </cell>
          <cell r="C179" t="str">
            <v>Sub-Saharan Africa</v>
          </cell>
          <cell r="D179" t="str">
            <v>Upper middle income</v>
          </cell>
          <cell r="E179" t="str">
            <v>UMC</v>
          </cell>
          <cell r="F179" t="str">
            <v>IBRD</v>
          </cell>
        </row>
        <row r="180">
          <cell r="B180" t="str">
            <v>SSD</v>
          </cell>
          <cell r="C180" t="str">
            <v>Sub-Saharan Africa</v>
          </cell>
          <cell r="D180" t="str">
            <v>Low income</v>
          </cell>
          <cell r="E180" t="str">
            <v>LIC</v>
          </cell>
          <cell r="F180" t="str">
            <v>IDA</v>
          </cell>
        </row>
        <row r="181">
          <cell r="B181" t="str">
            <v>ESP</v>
          </cell>
          <cell r="C181" t="str">
            <v>Europe &amp; Central Asia</v>
          </cell>
          <cell r="D181" t="str">
            <v>High income</v>
          </cell>
          <cell r="E181" t="str">
            <v>HIC</v>
          </cell>
        </row>
        <row r="182">
          <cell r="B182" t="str">
            <v>LKA</v>
          </cell>
          <cell r="C182" t="str">
            <v>South Asia</v>
          </cell>
          <cell r="D182" t="str">
            <v>Lower middle income</v>
          </cell>
          <cell r="E182" t="str">
            <v>LMC</v>
          </cell>
          <cell r="F182" t="str">
            <v>IDA</v>
          </cell>
        </row>
        <row r="183">
          <cell r="B183" t="str">
            <v>KNA</v>
          </cell>
          <cell r="C183" t="str">
            <v>Latin America &amp; Caribbean</v>
          </cell>
          <cell r="D183" t="str">
            <v>High income</v>
          </cell>
          <cell r="E183" t="str">
            <v>HIC</v>
          </cell>
          <cell r="F183" t="str">
            <v>IBRD</v>
          </cell>
        </row>
        <row r="184">
          <cell r="B184" t="str">
            <v>LCA</v>
          </cell>
          <cell r="C184" t="str">
            <v>Latin America &amp; Caribbean</v>
          </cell>
          <cell r="D184" t="str">
            <v>Upper middle income</v>
          </cell>
          <cell r="E184" t="str">
            <v>UMC</v>
          </cell>
          <cell r="F184" t="str">
            <v>Blend</v>
          </cell>
        </row>
        <row r="185">
          <cell r="B185" t="str">
            <v>MAF</v>
          </cell>
          <cell r="C185" t="str">
            <v>Latin America &amp; Caribbean</v>
          </cell>
          <cell r="D185" t="str">
            <v>High income</v>
          </cell>
          <cell r="E185" t="str">
            <v>HIC</v>
          </cell>
        </row>
        <row r="186">
          <cell r="B186" t="str">
            <v>VCT</v>
          </cell>
          <cell r="C186" t="str">
            <v>Latin America &amp; Caribbean</v>
          </cell>
          <cell r="D186" t="str">
            <v>Upper middle income</v>
          </cell>
          <cell r="E186" t="str">
            <v>UMC</v>
          </cell>
          <cell r="F186" t="str">
            <v>Blend</v>
          </cell>
        </row>
        <row r="187">
          <cell r="B187" t="str">
            <v>SDN</v>
          </cell>
          <cell r="C187" t="str">
            <v>Sub-Saharan Africa</v>
          </cell>
          <cell r="D187" t="str">
            <v>Low income</v>
          </cell>
          <cell r="E187" t="str">
            <v>LIC</v>
          </cell>
          <cell r="F187" t="str">
            <v>IDA</v>
          </cell>
        </row>
        <row r="188">
          <cell r="B188" t="str">
            <v>SUR</v>
          </cell>
          <cell r="C188" t="str">
            <v>Latin America &amp; Caribbean</v>
          </cell>
          <cell r="D188" t="str">
            <v>Upper middle income</v>
          </cell>
          <cell r="E188" t="str">
            <v>UMC</v>
          </cell>
          <cell r="F188" t="str">
            <v>Blend</v>
          </cell>
        </row>
        <row r="189">
          <cell r="B189" t="str">
            <v>SWE</v>
          </cell>
          <cell r="C189" t="str">
            <v>Europe &amp; Central Asia</v>
          </cell>
          <cell r="D189" t="str">
            <v>High income</v>
          </cell>
          <cell r="E189" t="str">
            <v>HIC</v>
          </cell>
        </row>
        <row r="190">
          <cell r="B190" t="str">
            <v>CHE</v>
          </cell>
          <cell r="C190" t="str">
            <v>Europe &amp; Central Asia</v>
          </cell>
          <cell r="D190" t="str">
            <v>High income</v>
          </cell>
          <cell r="E190" t="str">
            <v>HIC</v>
          </cell>
        </row>
        <row r="191">
          <cell r="B191" t="str">
            <v>SYR</v>
          </cell>
          <cell r="C191" t="str">
            <v>Middle East, North Africa, Afghanistan &amp; Pakistan</v>
          </cell>
          <cell r="D191" t="str">
            <v>Low income</v>
          </cell>
          <cell r="E191" t="str">
            <v>LIC</v>
          </cell>
          <cell r="F191" t="str">
            <v>IDA</v>
          </cell>
        </row>
        <row r="192">
          <cell r="B192" t="str">
            <v>TWN</v>
          </cell>
          <cell r="C192" t="str">
            <v>East Asia &amp; Pacific</v>
          </cell>
          <cell r="D192" t="str">
            <v>High income</v>
          </cell>
          <cell r="E192" t="str">
            <v>HIC</v>
          </cell>
        </row>
        <row r="193">
          <cell r="B193" t="str">
            <v>TJK</v>
          </cell>
          <cell r="C193" t="str">
            <v>Europe &amp; Central Asia</v>
          </cell>
          <cell r="D193" t="str">
            <v>Lower middle income</v>
          </cell>
          <cell r="E193" t="str">
            <v>LMC</v>
          </cell>
          <cell r="F193" t="str">
            <v>IDA</v>
          </cell>
        </row>
        <row r="194">
          <cell r="B194" t="str">
            <v>TZA</v>
          </cell>
          <cell r="C194" t="str">
            <v>Sub-Saharan Africa</v>
          </cell>
          <cell r="D194" t="str">
            <v>Lower middle income</v>
          </cell>
          <cell r="E194" t="str">
            <v>LMC</v>
          </cell>
          <cell r="F194" t="str">
            <v>IDA</v>
          </cell>
        </row>
        <row r="195">
          <cell r="B195" t="str">
            <v>THA</v>
          </cell>
          <cell r="C195" t="str">
            <v>East Asia &amp; Pacific</v>
          </cell>
          <cell r="D195" t="str">
            <v>Upper middle income</v>
          </cell>
          <cell r="E195" t="str">
            <v>UMC</v>
          </cell>
          <cell r="F195" t="str">
            <v>IBRD</v>
          </cell>
        </row>
        <row r="196">
          <cell r="B196" t="str">
            <v>TLS</v>
          </cell>
          <cell r="C196" t="str">
            <v>East Asia &amp; Pacific</v>
          </cell>
          <cell r="D196" t="str">
            <v>Lower middle income</v>
          </cell>
          <cell r="E196" t="str">
            <v>LMC</v>
          </cell>
          <cell r="F196" t="str">
            <v>Blend</v>
          </cell>
        </row>
        <row r="197">
          <cell r="B197" t="str">
            <v>TGO</v>
          </cell>
          <cell r="C197" t="str">
            <v>Sub-Saharan Africa</v>
          </cell>
          <cell r="D197" t="str">
            <v>Low income</v>
          </cell>
          <cell r="E197" t="str">
            <v>LIC</v>
          </cell>
          <cell r="F197" t="str">
            <v>IDA</v>
          </cell>
        </row>
        <row r="198">
          <cell r="B198" t="str">
            <v>TON</v>
          </cell>
          <cell r="C198" t="str">
            <v>East Asia &amp; Pacific</v>
          </cell>
          <cell r="D198" t="str">
            <v>Upper middle income</v>
          </cell>
          <cell r="E198" t="str">
            <v>UMC</v>
          </cell>
          <cell r="F198" t="str">
            <v>IDA</v>
          </cell>
        </row>
        <row r="199">
          <cell r="B199" t="str">
            <v>TTO</v>
          </cell>
          <cell r="C199" t="str">
            <v>Latin America &amp; Caribbean</v>
          </cell>
          <cell r="D199" t="str">
            <v>High income</v>
          </cell>
          <cell r="E199" t="str">
            <v>HIC</v>
          </cell>
          <cell r="F199" t="str">
            <v>IBRD</v>
          </cell>
        </row>
        <row r="200">
          <cell r="B200" t="str">
            <v>TUN</v>
          </cell>
          <cell r="C200" t="str">
            <v>Middle East, North Africa, Afghanistan &amp; Pakistan</v>
          </cell>
          <cell r="D200" t="str">
            <v>Lower middle income</v>
          </cell>
          <cell r="E200" t="str">
            <v>LMC</v>
          </cell>
          <cell r="F200" t="str">
            <v>IBRD</v>
          </cell>
        </row>
        <row r="201">
          <cell r="B201" t="str">
            <v>TUR</v>
          </cell>
          <cell r="C201" t="str">
            <v>Europe &amp; Central Asia</v>
          </cell>
          <cell r="D201" t="str">
            <v>Upper middle income</v>
          </cell>
          <cell r="E201" t="str">
            <v>UMC</v>
          </cell>
          <cell r="F201" t="str">
            <v>IBRD</v>
          </cell>
        </row>
        <row r="202">
          <cell r="B202" t="str">
            <v>TKM</v>
          </cell>
          <cell r="C202" t="str">
            <v>Europe &amp; Central Asia</v>
          </cell>
          <cell r="D202" t="str">
            <v>Upper middle income</v>
          </cell>
          <cell r="E202" t="str">
            <v>UMC</v>
          </cell>
          <cell r="F202" t="str">
            <v>IBRD</v>
          </cell>
        </row>
        <row r="203">
          <cell r="B203" t="str">
            <v>TCA</v>
          </cell>
          <cell r="C203" t="str">
            <v>Latin America &amp; Caribbean</v>
          </cell>
          <cell r="D203" t="str">
            <v>High income</v>
          </cell>
          <cell r="E203" t="str">
            <v>HIC</v>
          </cell>
        </row>
        <row r="204">
          <cell r="B204" t="str">
            <v>TUV</v>
          </cell>
          <cell r="C204" t="str">
            <v>East Asia &amp; Pacific</v>
          </cell>
          <cell r="D204" t="str">
            <v>Upper middle income</v>
          </cell>
          <cell r="E204" t="str">
            <v>UMC</v>
          </cell>
          <cell r="F204" t="str">
            <v>IDA</v>
          </cell>
        </row>
        <row r="205">
          <cell r="B205" t="str">
            <v>UGA</v>
          </cell>
          <cell r="C205" t="str">
            <v>Sub-Saharan Africa</v>
          </cell>
          <cell r="D205" t="str">
            <v>Low income</v>
          </cell>
          <cell r="E205" t="str">
            <v>LIC</v>
          </cell>
          <cell r="F205" t="str">
            <v>IDA</v>
          </cell>
        </row>
        <row r="206">
          <cell r="B206" t="str">
            <v>UKR</v>
          </cell>
          <cell r="C206" t="str">
            <v>Europe &amp; Central Asia</v>
          </cell>
          <cell r="D206" t="str">
            <v>Upper middle income</v>
          </cell>
          <cell r="E206" t="str">
            <v>UMC</v>
          </cell>
          <cell r="F206" t="str">
            <v>IBRD</v>
          </cell>
        </row>
        <row r="207">
          <cell r="B207" t="str">
            <v>ARE</v>
          </cell>
          <cell r="C207" t="str">
            <v>Middle East, North Africa, Afghanistan &amp; Pakistan</v>
          </cell>
          <cell r="D207" t="str">
            <v>High income</v>
          </cell>
          <cell r="E207" t="str">
            <v>HIC</v>
          </cell>
        </row>
        <row r="208">
          <cell r="B208" t="str">
            <v>GBR</v>
          </cell>
          <cell r="C208" t="str">
            <v>Europe &amp; Central Asia</v>
          </cell>
          <cell r="D208" t="str">
            <v>High income</v>
          </cell>
          <cell r="E208" t="str">
            <v>HIC</v>
          </cell>
        </row>
        <row r="209">
          <cell r="B209" t="str">
            <v>USA</v>
          </cell>
          <cell r="C209" t="str">
            <v>North America</v>
          </cell>
          <cell r="D209" t="str">
            <v>High income</v>
          </cell>
          <cell r="E209" t="str">
            <v>HIC</v>
          </cell>
        </row>
        <row r="210">
          <cell r="B210" t="str">
            <v>URY</v>
          </cell>
          <cell r="C210" t="str">
            <v>Latin America &amp; Caribbean</v>
          </cell>
          <cell r="D210" t="str">
            <v>High income</v>
          </cell>
          <cell r="E210" t="str">
            <v>HIC</v>
          </cell>
          <cell r="F210" t="str">
            <v>IBRD</v>
          </cell>
        </row>
        <row r="211">
          <cell r="B211" t="str">
            <v>UZB</v>
          </cell>
          <cell r="C211" t="str">
            <v>Europe &amp; Central Asia</v>
          </cell>
          <cell r="D211" t="str">
            <v>Lower middle income</v>
          </cell>
          <cell r="E211" t="str">
            <v>LMC</v>
          </cell>
          <cell r="F211" t="str">
            <v>Blend</v>
          </cell>
        </row>
        <row r="212">
          <cell r="B212" t="str">
            <v>VUT</v>
          </cell>
          <cell r="C212" t="str">
            <v>East Asia &amp; Pacific</v>
          </cell>
          <cell r="D212" t="str">
            <v>Lower middle income</v>
          </cell>
          <cell r="E212" t="str">
            <v>LMC</v>
          </cell>
          <cell r="F212" t="str">
            <v>IDA</v>
          </cell>
        </row>
        <row r="213">
          <cell r="B213" t="str">
            <v>VEN</v>
          </cell>
          <cell r="C213" t="str">
            <v>Latin America &amp; Caribbean</v>
          </cell>
          <cell r="F213" t="str">
            <v>IBRD</v>
          </cell>
        </row>
        <row r="214">
          <cell r="B214" t="str">
            <v>VNM</v>
          </cell>
          <cell r="C214" t="str">
            <v>East Asia &amp; Pacific</v>
          </cell>
          <cell r="D214" t="str">
            <v>Lower middle income</v>
          </cell>
          <cell r="E214" t="str">
            <v>LMC</v>
          </cell>
          <cell r="F214" t="str">
            <v>IBRD</v>
          </cell>
        </row>
        <row r="215">
          <cell r="B215" t="str">
            <v>VIR</v>
          </cell>
          <cell r="C215" t="str">
            <v>Latin America &amp; Caribbean</v>
          </cell>
          <cell r="D215" t="str">
            <v>High income</v>
          </cell>
          <cell r="E215" t="str">
            <v>HIC</v>
          </cell>
        </row>
        <row r="216">
          <cell r="B216" t="str">
            <v>PSE</v>
          </cell>
          <cell r="C216" t="str">
            <v>Middle East, North Africa, Afghanistan &amp; Pakistan</v>
          </cell>
          <cell r="D216" t="str">
            <v>Lower middle income</v>
          </cell>
          <cell r="E216" t="str">
            <v>LMC</v>
          </cell>
        </row>
        <row r="217">
          <cell r="B217" t="str">
            <v>YEM</v>
          </cell>
          <cell r="C217" t="str">
            <v>Middle East, North Africa, Afghanistan &amp; Pakistan</v>
          </cell>
          <cell r="D217" t="str">
            <v>Low income</v>
          </cell>
          <cell r="E217" t="str">
            <v>LIC</v>
          </cell>
          <cell r="F217" t="str">
            <v>IDA</v>
          </cell>
        </row>
        <row r="218">
          <cell r="B218" t="str">
            <v>ZMB</v>
          </cell>
          <cell r="C218" t="str">
            <v>Sub-Saharan Africa</v>
          </cell>
          <cell r="D218" t="str">
            <v>Lower middle income</v>
          </cell>
          <cell r="E218" t="str">
            <v>LMC</v>
          </cell>
          <cell r="F218" t="str">
            <v>IDA</v>
          </cell>
        </row>
        <row r="219">
          <cell r="B219" t="str">
            <v>ZWE</v>
          </cell>
          <cell r="C219" t="str">
            <v>Sub-Saharan Africa</v>
          </cell>
          <cell r="D219" t="str">
            <v>Lower middle income</v>
          </cell>
          <cell r="E219" t="str">
            <v>LMC</v>
          </cell>
          <cell r="F219" t="str">
            <v>Blend</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www.oecd.org/en/topics/sub-issues/product-market-regulation.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F7D69-F6AA-4965-BDF3-094583A8ACBF}">
  <dimension ref="A1:T112"/>
  <sheetViews>
    <sheetView tabSelected="1" zoomScaleNormal="100" workbookViewId="0">
      <pane xSplit="2" ySplit="1" topLeftCell="C82" activePane="bottomRight" state="frozen"/>
      <selection pane="topRight" activeCell="B1" sqref="B1"/>
      <selection pane="bottomLeft" activeCell="A10" sqref="A10"/>
      <selection pane="bottomRight" activeCell="D63" sqref="D63:D112"/>
    </sheetView>
  </sheetViews>
  <sheetFormatPr defaultColWidth="9.140625" defaultRowHeight="12.75" x14ac:dyDescent="0.2"/>
  <cols>
    <col min="1" max="1" width="19.140625" style="15" bestFit="1" customWidth="1"/>
    <col min="2" max="2" width="27.85546875" style="15" customWidth="1"/>
    <col min="3" max="3" width="19.140625" style="77" bestFit="1" customWidth="1"/>
    <col min="4" max="4" width="19.140625" style="77" customWidth="1"/>
    <col min="5" max="5" width="26.85546875" style="10" customWidth="1"/>
    <col min="6" max="6" width="17.85546875" style="16" customWidth="1"/>
    <col min="7" max="7" width="13.42578125" style="16" customWidth="1"/>
    <col min="8" max="8" width="15.5703125" style="16" customWidth="1"/>
    <col min="9" max="9" width="15.85546875" style="16" customWidth="1"/>
    <col min="10" max="10" width="10.28515625" style="16" customWidth="1"/>
    <col min="11" max="11" width="9.5703125" style="16" customWidth="1"/>
    <col min="12" max="12" width="10.140625" style="16" customWidth="1"/>
    <col min="13" max="13" width="9.140625" style="16" customWidth="1"/>
    <col min="14" max="14" width="12.28515625" style="16" customWidth="1"/>
    <col min="15" max="15" width="13.28515625" style="16" customWidth="1"/>
    <col min="16" max="16" width="14" style="16" customWidth="1"/>
    <col min="17" max="17" width="13.42578125" style="16" customWidth="1"/>
    <col min="18" max="20" width="6.7109375" style="15" customWidth="1"/>
    <col min="21" max="16384" width="9.140625" style="15"/>
  </cols>
  <sheetData>
    <row r="1" spans="1:20" s="73" customFormat="1" ht="52.5" customHeight="1" x14ac:dyDescent="0.25">
      <c r="A1" s="87" t="s">
        <v>278</v>
      </c>
      <c r="B1" s="225" t="s">
        <v>279</v>
      </c>
      <c r="C1" s="84" t="s">
        <v>280</v>
      </c>
      <c r="D1" s="308" t="s">
        <v>281</v>
      </c>
      <c r="E1" s="306" t="s">
        <v>282</v>
      </c>
      <c r="F1" s="307" t="s">
        <v>283</v>
      </c>
      <c r="G1" s="131" t="s">
        <v>284</v>
      </c>
      <c r="H1" s="101" t="s">
        <v>285</v>
      </c>
      <c r="I1" s="89" t="s">
        <v>286</v>
      </c>
      <c r="J1" s="124" t="s">
        <v>287</v>
      </c>
      <c r="K1" s="101" t="s">
        <v>288</v>
      </c>
      <c r="L1" s="108" t="s">
        <v>289</v>
      </c>
      <c r="M1" s="108" t="s">
        <v>290</v>
      </c>
      <c r="N1" s="75" t="s">
        <v>291</v>
      </c>
      <c r="O1" s="116" t="s">
        <v>292</v>
      </c>
      <c r="P1" s="101" t="s">
        <v>293</v>
      </c>
      <c r="Q1" s="89" t="s">
        <v>294</v>
      </c>
    </row>
    <row r="2" spans="1:20" x14ac:dyDescent="0.2">
      <c r="A2" s="83" t="s">
        <v>62</v>
      </c>
      <c r="B2" s="66" t="s">
        <v>61</v>
      </c>
      <c r="C2" s="82" t="s">
        <v>133</v>
      </c>
      <c r="D2" s="309" t="str">
        <f>VLOOKUP(A2,'[1]List of economies'!$B$2:$F$219,4,FALSE)</f>
        <v>HIC</v>
      </c>
      <c r="E2" s="386">
        <v>2023</v>
      </c>
      <c r="F2" s="120">
        <f t="shared" ref="F2:F52" si="0">IF(AND(G2=".",J2=".",O2="."),".",AVERAGE(G2,J2,O2))</f>
        <v>1.1524336139361064</v>
      </c>
      <c r="G2" s="134">
        <v>0.79987376928329468</v>
      </c>
      <c r="H2" s="103">
        <v>0.36363637447357178</v>
      </c>
      <c r="I2" s="91">
        <v>1.2361111640930176</v>
      </c>
      <c r="J2" s="126">
        <v>1.8634278774261475</v>
      </c>
      <c r="K2" s="103">
        <v>3.8184211254119873</v>
      </c>
      <c r="L2" s="110">
        <v>0.66666668653488159</v>
      </c>
      <c r="M2" s="110">
        <v>1.4686235189437866</v>
      </c>
      <c r="N2" s="18">
        <v>1.5</v>
      </c>
      <c r="O2" s="29">
        <v>0.79399919509887695</v>
      </c>
      <c r="P2" s="103">
        <v>0.70921051502227783</v>
      </c>
      <c r="Q2" s="91">
        <v>0.87878787517547607</v>
      </c>
      <c r="R2" s="19"/>
      <c r="S2" s="19"/>
      <c r="T2" s="19"/>
    </row>
    <row r="3" spans="1:20" x14ac:dyDescent="0.2">
      <c r="A3" s="83" t="s">
        <v>76</v>
      </c>
      <c r="B3" s="66" t="s">
        <v>37</v>
      </c>
      <c r="C3" s="82" t="s">
        <v>133</v>
      </c>
      <c r="D3" s="309" t="str">
        <f>VLOOKUP(A3,'[1]List of economies'!$B$2:$F$219,4,FALSE)</f>
        <v>HIC</v>
      </c>
      <c r="E3" s="386">
        <v>2023</v>
      </c>
      <c r="F3" s="120">
        <f t="shared" si="0"/>
        <v>0.78079404433568322</v>
      </c>
      <c r="G3" s="134">
        <v>0.76325756311416626</v>
      </c>
      <c r="H3" s="103">
        <v>0.81818181276321411</v>
      </c>
      <c r="I3" s="91">
        <v>0.70833331346511841</v>
      </c>
      <c r="J3" s="126">
        <v>1.1018518209457397</v>
      </c>
      <c r="K3" s="103">
        <v>0.66666668653488159</v>
      </c>
      <c r="L3" s="110">
        <v>0.66666668653488159</v>
      </c>
      <c r="M3" s="110">
        <v>1.5</v>
      </c>
      <c r="N3" s="18">
        <v>1.5740740299224854</v>
      </c>
      <c r="O3" s="29">
        <v>0.47727274894714355</v>
      </c>
      <c r="P3" s="103">
        <v>0.5</v>
      </c>
      <c r="Q3" s="91">
        <v>0.45454546809196472</v>
      </c>
      <c r="R3" s="19"/>
      <c r="S3" s="19"/>
      <c r="T3" s="19"/>
    </row>
    <row r="4" spans="1:20" x14ac:dyDescent="0.2">
      <c r="A4" s="83" t="s">
        <v>114</v>
      </c>
      <c r="B4" s="66" t="s">
        <v>113</v>
      </c>
      <c r="C4" s="82" t="s">
        <v>133</v>
      </c>
      <c r="D4" s="309" t="str">
        <f>VLOOKUP(A4,'[1]List of economies'!$B$2:$F$219,4,FALSE)</f>
        <v>HIC</v>
      </c>
      <c r="E4" s="386">
        <v>2023</v>
      </c>
      <c r="F4" s="120">
        <f t="shared" si="0"/>
        <v>1.0804737408955891</v>
      </c>
      <c r="G4" s="134">
        <v>1</v>
      </c>
      <c r="H4" s="103">
        <v>1</v>
      </c>
      <c r="I4" s="91">
        <v>1</v>
      </c>
      <c r="J4" s="126">
        <v>1.1502314805984497</v>
      </c>
      <c r="K4" s="103">
        <v>0.46759259700775146</v>
      </c>
      <c r="L4" s="110">
        <v>2</v>
      </c>
      <c r="M4" s="111">
        <v>1.7999999523162842</v>
      </c>
      <c r="N4" s="18">
        <v>0.3333333432674408</v>
      </c>
      <c r="O4" s="29">
        <v>1.0911897420883179</v>
      </c>
      <c r="P4" s="103">
        <v>1.3086420297622681</v>
      </c>
      <c r="Q4" s="91">
        <v>0.8737373948097229</v>
      </c>
      <c r="R4" s="19"/>
      <c r="S4" s="19"/>
      <c r="T4" s="19"/>
    </row>
    <row r="5" spans="1:20" x14ac:dyDescent="0.2">
      <c r="A5" s="83" t="s">
        <v>63</v>
      </c>
      <c r="B5" s="66" t="s">
        <v>31</v>
      </c>
      <c r="C5" s="82" t="s">
        <v>133</v>
      </c>
      <c r="D5" s="309" t="str">
        <f>VLOOKUP(A5,'[1]List of economies'!$B$2:$F$219,4,FALSE)</f>
        <v>HIC</v>
      </c>
      <c r="E5" s="386">
        <v>2023</v>
      </c>
      <c r="F5" s="120">
        <f t="shared" si="0"/>
        <v>1.3754511674245198</v>
      </c>
      <c r="G5" s="134">
        <v>1.579744815826416</v>
      </c>
      <c r="H5" s="103">
        <v>1.0382775068283081</v>
      </c>
      <c r="I5" s="91">
        <v>2.1212120056152344</v>
      </c>
      <c r="J5" s="126">
        <v>1.1897904872894287</v>
      </c>
      <c r="K5" s="103">
        <v>1.2850877046585083</v>
      </c>
      <c r="L5" s="110">
        <v>0.66666668653488159</v>
      </c>
      <c r="M5" s="110">
        <v>1.5140351057052612</v>
      </c>
      <c r="N5" s="18">
        <v>1.2933722734451294</v>
      </c>
      <c r="O5" s="29">
        <v>1.3568181991577148</v>
      </c>
      <c r="P5" s="103">
        <v>1.3500000238418579</v>
      </c>
      <c r="Q5" s="91">
        <v>1.3636363744735718</v>
      </c>
      <c r="R5" s="19"/>
      <c r="S5" s="19"/>
      <c r="T5" s="19"/>
    </row>
    <row r="6" spans="1:20" x14ac:dyDescent="0.2">
      <c r="A6" s="83" t="s">
        <v>77</v>
      </c>
      <c r="B6" s="66" t="s">
        <v>47</v>
      </c>
      <c r="C6" s="82" t="s">
        <v>133</v>
      </c>
      <c r="D6" s="309" t="str">
        <f>VLOOKUP(A6,'[1]List of economies'!$B$2:$F$219,4,FALSE)</f>
        <v>HIC</v>
      </c>
      <c r="E6" s="386">
        <v>2023</v>
      </c>
      <c r="F6" s="120">
        <f t="shared" si="0"/>
        <v>1.7380892435709636</v>
      </c>
      <c r="G6" s="134">
        <v>1.8813397884368896</v>
      </c>
      <c r="H6" s="103">
        <v>0.60000002384185791</v>
      </c>
      <c r="I6" s="91">
        <v>3.1626794338226318</v>
      </c>
      <c r="J6" s="126">
        <v>1.5715643167495728</v>
      </c>
      <c r="K6" s="103">
        <v>3.1973683834075928</v>
      </c>
      <c r="L6" s="110">
        <v>0.66666668653488159</v>
      </c>
      <c r="M6" s="110">
        <v>0.69999998807907104</v>
      </c>
      <c r="N6" s="18">
        <v>1.7222222089767456</v>
      </c>
      <c r="O6" s="29">
        <v>1.7613636255264282</v>
      </c>
      <c r="P6" s="103">
        <v>1.25</v>
      </c>
      <c r="Q6" s="91">
        <v>2.2727272510528564</v>
      </c>
      <c r="R6" s="19"/>
      <c r="S6" s="19"/>
      <c r="T6" s="19"/>
    </row>
    <row r="7" spans="1:20" x14ac:dyDescent="0.2">
      <c r="A7" s="83" t="s">
        <v>98</v>
      </c>
      <c r="B7" s="66" t="s">
        <v>97</v>
      </c>
      <c r="C7" s="85" t="s">
        <v>134</v>
      </c>
      <c r="D7" s="309" t="str">
        <f>VLOOKUP(A7,'[1]List of economies'!$B$2:$F$219,4,FALSE)</f>
        <v>UMC</v>
      </c>
      <c r="E7" s="386">
        <v>2023</v>
      </c>
      <c r="F7" s="120">
        <f t="shared" si="0"/>
        <v>1.9617889324824016</v>
      </c>
      <c r="G7" s="134">
        <v>2.1224880218505859</v>
      </c>
      <c r="H7" s="103">
        <v>2.1684210300445557</v>
      </c>
      <c r="I7" s="91">
        <v>2.0765550136566162</v>
      </c>
      <c r="J7" s="126">
        <v>1.6916667222976685</v>
      </c>
      <c r="K7" s="103">
        <v>2</v>
      </c>
      <c r="L7" s="110">
        <v>0.66666668653488159</v>
      </c>
      <c r="M7" s="110">
        <v>2.4333333969116211</v>
      </c>
      <c r="N7" s="18">
        <v>1.6666666269302368</v>
      </c>
      <c r="O7" s="29">
        <v>2.0712120532989502</v>
      </c>
      <c r="P7" s="103">
        <v>1.8999999761581421</v>
      </c>
      <c r="Q7" s="91">
        <v>2.2424242496490479</v>
      </c>
      <c r="R7" s="19"/>
      <c r="S7" s="19"/>
      <c r="T7" s="19"/>
    </row>
    <row r="8" spans="1:20" x14ac:dyDescent="0.2">
      <c r="A8" s="83" t="s">
        <v>78</v>
      </c>
      <c r="B8" s="66" t="s">
        <v>28</v>
      </c>
      <c r="C8" s="85" t="s">
        <v>134</v>
      </c>
      <c r="D8" s="309" t="str">
        <f>VLOOKUP(A8,'[1]List of economies'!$B$2:$F$219,4,FALSE)</f>
        <v>HIC</v>
      </c>
      <c r="E8" s="386">
        <v>2023</v>
      </c>
      <c r="F8" s="120">
        <f t="shared" si="0"/>
        <v>3.064556042353312</v>
      </c>
      <c r="G8" s="134">
        <v>4.1778945922851563</v>
      </c>
      <c r="H8" s="103">
        <v>4.1778945922851563</v>
      </c>
      <c r="I8" s="91" t="s">
        <v>173</v>
      </c>
      <c r="J8" s="126">
        <v>3.5222806930541992</v>
      </c>
      <c r="K8" s="103">
        <v>5.3557896614074707</v>
      </c>
      <c r="L8" s="110">
        <v>3.3333332538604736</v>
      </c>
      <c r="M8" s="110">
        <v>2.4000000953674316</v>
      </c>
      <c r="N8" s="18">
        <v>3</v>
      </c>
      <c r="O8" s="29">
        <v>1.4934928417205811</v>
      </c>
      <c r="P8" s="103">
        <v>1.7445614337921143</v>
      </c>
      <c r="Q8" s="91">
        <v>1.2424242496490479</v>
      </c>
      <c r="R8" s="19"/>
      <c r="S8" s="19"/>
      <c r="T8" s="19"/>
    </row>
    <row r="9" spans="1:20" x14ac:dyDescent="0.2">
      <c r="A9" s="83" t="s">
        <v>64</v>
      </c>
      <c r="B9" s="66" t="s">
        <v>60</v>
      </c>
      <c r="C9" s="82" t="s">
        <v>133</v>
      </c>
      <c r="D9" s="309" t="str">
        <f>VLOOKUP(A9,'[1]List of economies'!$B$2:$F$219,4,FALSE)</f>
        <v>HIC</v>
      </c>
      <c r="E9" s="386">
        <v>2023</v>
      </c>
      <c r="F9" s="120">
        <f t="shared" si="0"/>
        <v>1.1672182480494182</v>
      </c>
      <c r="G9" s="134">
        <v>0.78628385066986084</v>
      </c>
      <c r="H9" s="103">
        <v>0.73923444747924805</v>
      </c>
      <c r="I9" s="91">
        <v>0.83333331346511841</v>
      </c>
      <c r="J9" s="126">
        <v>1.1918859481811523</v>
      </c>
      <c r="K9" s="103">
        <v>0.68859648704528809</v>
      </c>
      <c r="L9" s="110">
        <v>0.74561405181884766</v>
      </c>
      <c r="M9" s="110">
        <v>2</v>
      </c>
      <c r="N9" s="18">
        <v>1.3333333730697632</v>
      </c>
      <c r="O9" s="29">
        <v>1.5234849452972412</v>
      </c>
      <c r="P9" s="103">
        <v>1.3500000238418579</v>
      </c>
      <c r="Q9" s="91">
        <v>1.696969747543335</v>
      </c>
      <c r="R9" s="19"/>
      <c r="S9" s="19"/>
      <c r="T9" s="19"/>
    </row>
    <row r="10" spans="1:20" x14ac:dyDescent="0.2">
      <c r="A10" s="83" t="s">
        <v>79</v>
      </c>
      <c r="B10" s="66" t="s">
        <v>54</v>
      </c>
      <c r="C10" s="82" t="s">
        <v>133</v>
      </c>
      <c r="D10" s="309" t="str">
        <f>VLOOKUP(A10,'[1]List of economies'!$B$2:$F$219,4,FALSE)</f>
        <v>HIC</v>
      </c>
      <c r="E10" s="386">
        <v>2023</v>
      </c>
      <c r="F10" s="120">
        <f t="shared" si="0"/>
        <v>0.84134880701700843</v>
      </c>
      <c r="G10" s="134">
        <v>0.53033626079559326</v>
      </c>
      <c r="H10" s="103">
        <v>0.43421053886413574</v>
      </c>
      <c r="I10" s="91">
        <v>0.62646198272705078</v>
      </c>
      <c r="J10" s="126">
        <v>0.66567981243133545</v>
      </c>
      <c r="K10" s="103">
        <v>0.46271929144859314</v>
      </c>
      <c r="L10" s="110">
        <v>0</v>
      </c>
      <c r="M10" s="110">
        <v>1.7000000476837158</v>
      </c>
      <c r="N10" s="18">
        <v>0.5</v>
      </c>
      <c r="O10" s="29">
        <v>1.3280303478240967</v>
      </c>
      <c r="P10" s="103">
        <v>1.0499999523162842</v>
      </c>
      <c r="Q10" s="91">
        <v>1.6060606241226196</v>
      </c>
      <c r="R10" s="19"/>
      <c r="S10" s="19"/>
      <c r="T10" s="19"/>
    </row>
    <row r="11" spans="1:20" x14ac:dyDescent="0.2">
      <c r="A11" s="83" t="s">
        <v>65</v>
      </c>
      <c r="B11" s="66" t="s">
        <v>34</v>
      </c>
      <c r="C11" s="82" t="s">
        <v>133</v>
      </c>
      <c r="D11" s="309" t="str">
        <f>VLOOKUP(A11,'[1]List of economies'!$B$2:$F$219,4,FALSE)</f>
        <v>HIC</v>
      </c>
      <c r="E11" s="386">
        <v>2023</v>
      </c>
      <c r="F11" s="120">
        <f t="shared" si="0"/>
        <v>1.0628787676493328</v>
      </c>
      <c r="G11" s="135">
        <v>0.7239234447479248</v>
      </c>
      <c r="H11" s="103">
        <v>0.44784688949584961</v>
      </c>
      <c r="I11" s="91">
        <v>1</v>
      </c>
      <c r="J11" s="127">
        <v>0.97872805595397949</v>
      </c>
      <c r="K11" s="103">
        <v>0.48771929740905762</v>
      </c>
      <c r="L11" s="110">
        <v>0.82719296216964722</v>
      </c>
      <c r="M11" s="110">
        <v>2.0999999046325684</v>
      </c>
      <c r="N11" s="18">
        <v>0.5</v>
      </c>
      <c r="O11" s="29">
        <v>1.4859848022460938</v>
      </c>
      <c r="P11" s="103">
        <v>1.2749999761581421</v>
      </c>
      <c r="Q11" s="91">
        <v>1.696969747543335</v>
      </c>
      <c r="R11" s="19"/>
      <c r="S11" s="19"/>
      <c r="T11" s="19"/>
    </row>
    <row r="12" spans="1:20" x14ac:dyDescent="0.2">
      <c r="A12" s="83" t="s">
        <v>66</v>
      </c>
      <c r="B12" s="66" t="s">
        <v>38</v>
      </c>
      <c r="C12" s="82" t="s">
        <v>133</v>
      </c>
      <c r="D12" s="309" t="str">
        <f>VLOOKUP(A12,'[1]List of economies'!$B$2:$F$219,4,FALSE)</f>
        <v>HIC</v>
      </c>
      <c r="E12" s="386">
        <v>2023</v>
      </c>
      <c r="F12" s="120">
        <f t="shared" si="0"/>
        <v>1.1270467440287273</v>
      </c>
      <c r="G12" s="135">
        <v>1.2292662858963013</v>
      </c>
      <c r="H12" s="103">
        <v>0.7918660044670105</v>
      </c>
      <c r="I12" s="91">
        <v>1.6666666269302368</v>
      </c>
      <c r="J12" s="127">
        <v>0.94692981243133545</v>
      </c>
      <c r="K12" s="103">
        <v>1.4517543315887451</v>
      </c>
      <c r="L12" s="110">
        <v>7.8947365283966064E-2</v>
      </c>
      <c r="M12" s="110">
        <v>1.4236842393875122</v>
      </c>
      <c r="N12" s="18">
        <v>0.83333331346511841</v>
      </c>
      <c r="O12" s="31">
        <v>1.2049441337585449</v>
      </c>
      <c r="P12" s="103">
        <v>0.92105263471603394</v>
      </c>
      <c r="Q12" s="91">
        <v>1.4888356924057007</v>
      </c>
      <c r="R12" s="19"/>
      <c r="S12" s="19"/>
      <c r="T12" s="19"/>
    </row>
    <row r="13" spans="1:20" x14ac:dyDescent="0.2">
      <c r="A13" s="83" t="s">
        <v>67</v>
      </c>
      <c r="B13" s="66" t="s">
        <v>48</v>
      </c>
      <c r="C13" s="82" t="s">
        <v>133</v>
      </c>
      <c r="D13" s="309" t="str">
        <f>VLOOKUP(A13,'[1]List of economies'!$B$2:$F$219,4,FALSE)</f>
        <v>HIC</v>
      </c>
      <c r="E13" s="386">
        <v>2023</v>
      </c>
      <c r="F13" s="120">
        <f t="shared" si="0"/>
        <v>0.91481480995814002</v>
      </c>
      <c r="G13" s="135">
        <v>0.80273127555847168</v>
      </c>
      <c r="H13" s="103">
        <v>0.5550239086151123</v>
      </c>
      <c r="I13" s="91">
        <v>1.0504386425018311</v>
      </c>
      <c r="J13" s="127">
        <v>0.62295323610305786</v>
      </c>
      <c r="K13" s="103">
        <v>0.51754385232925415</v>
      </c>
      <c r="L13" s="110">
        <v>0.12280701100826263</v>
      </c>
      <c r="M13" s="110">
        <v>1.5736842155456543</v>
      </c>
      <c r="N13" s="18">
        <v>0.27777779102325439</v>
      </c>
      <c r="O13" s="31">
        <v>1.3187599182128906</v>
      </c>
      <c r="P13" s="103">
        <v>1.3855262994766235</v>
      </c>
      <c r="Q13" s="91">
        <v>1.2519936561584473</v>
      </c>
      <c r="R13" s="19"/>
      <c r="S13" s="19"/>
      <c r="T13" s="19"/>
    </row>
    <row r="14" spans="1:20" x14ac:dyDescent="0.2">
      <c r="A14" s="83" t="s">
        <v>80</v>
      </c>
      <c r="B14" s="66" t="s">
        <v>51</v>
      </c>
      <c r="C14" s="82" t="s">
        <v>133</v>
      </c>
      <c r="D14" s="309" t="str">
        <f>VLOOKUP(A14,'[1]List of economies'!$B$2:$F$219,4,FALSE)</f>
        <v>HIC</v>
      </c>
      <c r="E14" s="386">
        <v>2023</v>
      </c>
      <c r="F14" s="120">
        <f t="shared" si="0"/>
        <v>0.87311971187591553</v>
      </c>
      <c r="G14" s="135">
        <v>0.45428240299224854</v>
      </c>
      <c r="H14" s="103">
        <v>0.5</v>
      </c>
      <c r="I14" s="91">
        <v>0.40856480598449707</v>
      </c>
      <c r="J14" s="127">
        <v>0.77227365970611572</v>
      </c>
      <c r="K14" s="103">
        <v>0.63425928354263306</v>
      </c>
      <c r="L14" s="110">
        <v>6.6872432827949524E-2</v>
      </c>
      <c r="M14" s="110">
        <v>1.8601851463317871</v>
      </c>
      <c r="N14" s="18">
        <v>0.52777779102325439</v>
      </c>
      <c r="O14" s="31">
        <v>1.3928030729293823</v>
      </c>
      <c r="P14" s="103">
        <v>1.5305556058883667</v>
      </c>
      <c r="Q14" s="91">
        <v>1.2550505399703979</v>
      </c>
      <c r="R14" s="19"/>
      <c r="S14" s="19"/>
      <c r="T14" s="19"/>
    </row>
    <row r="15" spans="1:20" x14ac:dyDescent="0.2">
      <c r="A15" s="83" t="s">
        <v>92</v>
      </c>
      <c r="B15" s="66" t="s">
        <v>46</v>
      </c>
      <c r="C15" s="82" t="s">
        <v>133</v>
      </c>
      <c r="D15" s="309" t="str">
        <f>VLOOKUP(A15,'[1]List of economies'!$B$2:$F$219,4,FALSE)</f>
        <v>HIC</v>
      </c>
      <c r="E15" s="386">
        <v>2023</v>
      </c>
      <c r="F15" s="120">
        <f t="shared" si="0"/>
        <v>1.1098949909210205</v>
      </c>
      <c r="G15" s="134">
        <v>1.0645933151245117</v>
      </c>
      <c r="H15" s="103">
        <v>0.62918657064437866</v>
      </c>
      <c r="I15" s="91">
        <v>1.5</v>
      </c>
      <c r="J15" s="127">
        <v>0.94649124145507813</v>
      </c>
      <c r="K15" s="103">
        <v>1</v>
      </c>
      <c r="L15" s="110">
        <v>5.2631575614213943E-2</v>
      </c>
      <c r="M15" s="110">
        <v>1.8999999761581421</v>
      </c>
      <c r="N15" s="18">
        <v>0.83333331346511841</v>
      </c>
      <c r="O15" s="31">
        <v>1.3186004161834717</v>
      </c>
      <c r="P15" s="103">
        <v>1.4171051979064941</v>
      </c>
      <c r="Q15" s="91">
        <v>1.2200956344604492</v>
      </c>
      <c r="R15" s="19"/>
      <c r="S15" s="19"/>
      <c r="T15" s="19"/>
    </row>
    <row r="16" spans="1:20" x14ac:dyDescent="0.2">
      <c r="A16" s="83" t="s">
        <v>122</v>
      </c>
      <c r="B16" s="66" t="s">
        <v>121</v>
      </c>
      <c r="C16" s="82" t="s">
        <v>133</v>
      </c>
      <c r="D16" s="309" t="str">
        <f>VLOOKUP(A16,'[1]List of economies'!$B$2:$F$219,4,FALSE)</f>
        <v>HIC</v>
      </c>
      <c r="E16" s="386">
        <v>2023</v>
      </c>
      <c r="F16" s="120">
        <f t="shared" si="0"/>
        <v>1.2197894255320232</v>
      </c>
      <c r="G16" s="134">
        <v>1.3320261240005493</v>
      </c>
      <c r="H16" s="103">
        <v>0.84705883264541626</v>
      </c>
      <c r="I16" s="91">
        <v>1.8169934749603271</v>
      </c>
      <c r="J16" s="127">
        <v>1.5398421287536621</v>
      </c>
      <c r="K16" s="103">
        <v>0.45588234066963196</v>
      </c>
      <c r="L16" s="110">
        <v>2</v>
      </c>
      <c r="M16" s="110">
        <v>2.149019718170166</v>
      </c>
      <c r="N16" s="18">
        <v>1.5544662475585938</v>
      </c>
      <c r="O16" s="31">
        <v>0.78750002384185791</v>
      </c>
      <c r="P16" s="103">
        <v>0.57499998807907104</v>
      </c>
      <c r="Q16" s="91">
        <v>1</v>
      </c>
      <c r="R16" s="19"/>
      <c r="S16" s="19"/>
      <c r="T16" s="19"/>
    </row>
    <row r="17" spans="1:20" x14ac:dyDescent="0.2">
      <c r="A17" s="83" t="s">
        <v>82</v>
      </c>
      <c r="B17" s="66" t="s">
        <v>45</v>
      </c>
      <c r="C17" s="82" t="s">
        <v>133</v>
      </c>
      <c r="D17" s="309" t="str">
        <f>VLOOKUP(A17,'[1]List of economies'!$B$2:$F$219,4,FALSE)</f>
        <v>HIC</v>
      </c>
      <c r="E17" s="386">
        <v>2023</v>
      </c>
      <c r="F17" s="120">
        <f t="shared" si="0"/>
        <v>1.2856053511301677</v>
      </c>
      <c r="G17" s="134">
        <v>1.296650767326355</v>
      </c>
      <c r="H17" s="103">
        <v>1.296650767326355</v>
      </c>
      <c r="I17" s="91" t="s">
        <v>173</v>
      </c>
      <c r="J17" s="126">
        <v>1.1044834852218628</v>
      </c>
      <c r="K17" s="103" t="s">
        <v>173</v>
      </c>
      <c r="L17" s="110">
        <v>0.71345031261444092</v>
      </c>
      <c r="M17" s="110">
        <v>1.6000000238418579</v>
      </c>
      <c r="N17" s="18">
        <v>1</v>
      </c>
      <c r="O17" s="31">
        <v>1.4556818008422852</v>
      </c>
      <c r="P17" s="103">
        <v>1.2749999761581421</v>
      </c>
      <c r="Q17" s="91">
        <v>1.6363636255264282</v>
      </c>
      <c r="R17" s="19"/>
      <c r="S17" s="19"/>
      <c r="T17" s="19"/>
    </row>
    <row r="18" spans="1:20" x14ac:dyDescent="0.2">
      <c r="A18" s="83" t="s">
        <v>95</v>
      </c>
      <c r="B18" s="66" t="s">
        <v>42</v>
      </c>
      <c r="C18" s="82" t="s">
        <v>133</v>
      </c>
      <c r="D18" s="309" t="str">
        <f>VLOOKUP(A18,'[1]List of economies'!$B$2:$F$219,4,FALSE)</f>
        <v>HIC</v>
      </c>
      <c r="E18" s="386">
        <v>2023</v>
      </c>
      <c r="F18" s="120">
        <f t="shared" si="0"/>
        <v>1.2351881663004558</v>
      </c>
      <c r="G18" s="134">
        <v>1.0554226636886597</v>
      </c>
      <c r="H18" s="103">
        <v>0.77751195430755615</v>
      </c>
      <c r="I18" s="91">
        <v>1.3333333730697632</v>
      </c>
      <c r="J18" s="126">
        <v>1.1253411769866943</v>
      </c>
      <c r="K18" s="103">
        <v>1.9254386425018311</v>
      </c>
      <c r="L18" s="110">
        <v>5.7504873722791672E-2</v>
      </c>
      <c r="M18" s="110">
        <v>1.8517544269561768</v>
      </c>
      <c r="N18" s="18">
        <v>0.66666668653488159</v>
      </c>
      <c r="O18" s="29">
        <v>1.5248006582260132</v>
      </c>
      <c r="P18" s="103">
        <v>1.3526315689086914</v>
      </c>
      <c r="Q18" s="91">
        <v>1.696969747543335</v>
      </c>
      <c r="R18" s="19"/>
      <c r="S18" s="19"/>
      <c r="T18" s="19"/>
    </row>
    <row r="19" spans="1:20" ht="14.25" x14ac:dyDescent="0.2">
      <c r="A19" s="83" t="s">
        <v>68</v>
      </c>
      <c r="B19" s="66" t="s">
        <v>57</v>
      </c>
      <c r="C19" s="82" t="s">
        <v>133</v>
      </c>
      <c r="D19" s="309" t="str">
        <f>VLOOKUP(A19,'[1]List of economies'!$B$2:$F$219,4,FALSE)</f>
        <v>HIC</v>
      </c>
      <c r="E19" s="386">
        <v>2023</v>
      </c>
      <c r="F19" s="120">
        <f t="shared" si="0"/>
        <v>2.1631755828857422</v>
      </c>
      <c r="G19" s="134">
        <v>2.0263156890869141</v>
      </c>
      <c r="H19" s="103">
        <v>1.5071769952774048</v>
      </c>
      <c r="I19" s="91">
        <v>2.5454545021057129</v>
      </c>
      <c r="J19" s="126">
        <v>2.3950293064117432</v>
      </c>
      <c r="K19" s="103">
        <v>5.1157894134521484</v>
      </c>
      <c r="L19" s="110">
        <v>1.4502923488616943</v>
      </c>
      <c r="M19" s="110">
        <v>2.4000000953674316</v>
      </c>
      <c r="N19" s="18">
        <v>0.61403506994247437</v>
      </c>
      <c r="O19" s="29">
        <v>2.0681817531585693</v>
      </c>
      <c r="P19" s="103">
        <v>2.5</v>
      </c>
      <c r="Q19" s="91">
        <v>1.6363636255264282</v>
      </c>
      <c r="R19" s="19"/>
      <c r="S19" s="19"/>
      <c r="T19" s="19"/>
    </row>
    <row r="20" spans="1:20" x14ac:dyDescent="0.2">
      <c r="A20" s="83" t="s">
        <v>69</v>
      </c>
      <c r="B20" s="66" t="s">
        <v>30</v>
      </c>
      <c r="C20" s="82" t="s">
        <v>133</v>
      </c>
      <c r="D20" s="309" t="str">
        <f>VLOOKUP(A20,'[1]List of economies'!$B$2:$F$219,4,FALSE)</f>
        <v>HIC</v>
      </c>
      <c r="E20" s="386">
        <v>2023</v>
      </c>
      <c r="F20" s="120">
        <f t="shared" si="0"/>
        <v>0.70062688986460364</v>
      </c>
      <c r="G20" s="134">
        <v>0.72066056728363037</v>
      </c>
      <c r="H20" s="103">
        <v>0.41866028308868408</v>
      </c>
      <c r="I20" s="91">
        <v>1.0226608514785767</v>
      </c>
      <c r="J20" s="126">
        <v>0.63859647512435913</v>
      </c>
      <c r="K20" s="103">
        <v>0.76754385232925415</v>
      </c>
      <c r="L20" s="110">
        <v>0</v>
      </c>
      <c r="M20" s="110">
        <v>1.6201754808425903</v>
      </c>
      <c r="N20" s="18">
        <v>0.1666666716337204</v>
      </c>
      <c r="O20" s="29">
        <v>0.74262362718582153</v>
      </c>
      <c r="P20" s="103">
        <v>0.46052631735801697</v>
      </c>
      <c r="Q20" s="91">
        <v>1.0247209072113037</v>
      </c>
      <c r="R20" s="19"/>
      <c r="S20" s="19"/>
      <c r="T20" s="19"/>
    </row>
    <row r="21" spans="1:20" x14ac:dyDescent="0.2">
      <c r="A21" s="83" t="s">
        <v>83</v>
      </c>
      <c r="B21" s="66" t="s">
        <v>29</v>
      </c>
      <c r="C21" s="82" t="s">
        <v>133</v>
      </c>
      <c r="D21" s="309" t="str">
        <f>VLOOKUP(A21,'[1]List of economies'!$B$2:$F$219,4,FALSE)</f>
        <v>HIC</v>
      </c>
      <c r="E21" s="386">
        <v>2023</v>
      </c>
      <c r="F21" s="120">
        <f t="shared" si="0"/>
        <v>1.6889352003733318</v>
      </c>
      <c r="G21" s="134">
        <v>1.5767543315887451</v>
      </c>
      <c r="H21" s="103">
        <v>1.236842155456543</v>
      </c>
      <c r="I21" s="91">
        <v>1.9166666269302368</v>
      </c>
      <c r="J21" s="126">
        <v>1.5322761535644531</v>
      </c>
      <c r="K21" s="103">
        <v>1.4605263471603394</v>
      </c>
      <c r="L21" s="110">
        <v>1.3333333730697632</v>
      </c>
      <c r="M21" s="110">
        <v>1.9463562965393066</v>
      </c>
      <c r="N21" s="18">
        <v>1.3888888359069824</v>
      </c>
      <c r="O21" s="29">
        <v>1.9577751159667969</v>
      </c>
      <c r="P21" s="103">
        <v>1.8605263233184814</v>
      </c>
      <c r="Q21" s="91">
        <v>2.0550239086151123</v>
      </c>
      <c r="R21" s="19"/>
      <c r="S21" s="19"/>
      <c r="T21" s="19"/>
    </row>
    <row r="22" spans="1:20" x14ac:dyDescent="0.2">
      <c r="A22" s="83" t="s">
        <v>70</v>
      </c>
      <c r="B22" s="66" t="s">
        <v>33</v>
      </c>
      <c r="C22" s="82" t="s">
        <v>133</v>
      </c>
      <c r="D22" s="309" t="str">
        <f>VLOOKUP(A22,'[1]List of economies'!$B$2:$F$219,4,FALSE)</f>
        <v>HIC</v>
      </c>
      <c r="E22" s="386">
        <v>2023</v>
      </c>
      <c r="F22" s="120">
        <f t="shared" si="0"/>
        <v>1.9958009719848633</v>
      </c>
      <c r="G22" s="135">
        <v>2.9011962413787842</v>
      </c>
      <c r="H22" s="103">
        <v>2.4578948020935059</v>
      </c>
      <c r="I22" s="91">
        <v>3.3444976806640625</v>
      </c>
      <c r="J22" s="127">
        <v>1.3195400238037109</v>
      </c>
      <c r="K22" s="103">
        <v>1.5157895088195801</v>
      </c>
      <c r="L22" s="110">
        <v>6.5789476037025452E-2</v>
      </c>
      <c r="M22" s="110">
        <v>2.307692289352417</v>
      </c>
      <c r="N22" s="18">
        <v>1.3888888359069824</v>
      </c>
      <c r="O22" s="31">
        <v>1.7666666507720947</v>
      </c>
      <c r="P22" s="103">
        <v>2.2000000476837158</v>
      </c>
      <c r="Q22" s="91">
        <v>1.3333333730697632</v>
      </c>
      <c r="R22" s="19"/>
      <c r="S22" s="19"/>
      <c r="T22" s="19"/>
    </row>
    <row r="23" spans="1:20" x14ac:dyDescent="0.2">
      <c r="A23" s="83" t="s">
        <v>84</v>
      </c>
      <c r="B23" s="66" t="s">
        <v>43</v>
      </c>
      <c r="C23" s="82" t="s">
        <v>133</v>
      </c>
      <c r="D23" s="309" t="str">
        <f>VLOOKUP(A23,'[1]List of economies'!$B$2:$F$219,4,FALSE)</f>
        <v>HIC</v>
      </c>
      <c r="E23" s="386">
        <v>2023</v>
      </c>
      <c r="F23" s="120">
        <f t="shared" si="0"/>
        <v>1.1827263832092285</v>
      </c>
      <c r="G23" s="134">
        <v>1.4183611869812012</v>
      </c>
      <c r="H23" s="103">
        <v>0.98803830146789551</v>
      </c>
      <c r="I23" s="91">
        <v>1.8486841917037964</v>
      </c>
      <c r="J23" s="126">
        <v>1.06169593334198</v>
      </c>
      <c r="K23" s="103">
        <v>0.56140351295471191</v>
      </c>
      <c r="L23" s="110">
        <v>0.81871342658996582</v>
      </c>
      <c r="M23" s="110">
        <v>1.7000000476837158</v>
      </c>
      <c r="N23" s="18">
        <v>1.1666666269302368</v>
      </c>
      <c r="O23" s="29">
        <v>1.0681220293045044</v>
      </c>
      <c r="P23" s="103">
        <v>1.0118421316146851</v>
      </c>
      <c r="Q23" s="91">
        <v>1.1244019269943237</v>
      </c>
      <c r="R23" s="19"/>
      <c r="S23" s="19"/>
      <c r="T23" s="19"/>
    </row>
    <row r="24" spans="1:20" x14ac:dyDescent="0.2">
      <c r="A24" s="83" t="s">
        <v>85</v>
      </c>
      <c r="B24" s="66" t="s">
        <v>36</v>
      </c>
      <c r="C24" s="82" t="s">
        <v>133</v>
      </c>
      <c r="D24" s="309" t="str">
        <f>VLOOKUP(A24,'[1]List of economies'!$B$2:$F$219,4,FALSE)</f>
        <v>HIC</v>
      </c>
      <c r="E24" s="386">
        <v>2023</v>
      </c>
      <c r="F24" s="120">
        <f t="shared" si="0"/>
        <v>1.0575720866521199</v>
      </c>
      <c r="G24" s="134">
        <v>1.0095694065093994</v>
      </c>
      <c r="H24" s="103">
        <v>1.1052631139755249</v>
      </c>
      <c r="I24" s="91">
        <v>0.91387557983398438</v>
      </c>
      <c r="J24" s="126">
        <v>1.3211014270782471</v>
      </c>
      <c r="K24" s="103">
        <v>0.50877195596694946</v>
      </c>
      <c r="L24" s="110">
        <v>2.1754386425018311</v>
      </c>
      <c r="M24" s="110">
        <v>1.7999999523162842</v>
      </c>
      <c r="N24" s="18">
        <v>0.80019491910934448</v>
      </c>
      <c r="O24" s="29">
        <v>0.84204542636871338</v>
      </c>
      <c r="P24" s="103">
        <v>0.77499997615814209</v>
      </c>
      <c r="Q24" s="91">
        <v>0.90909093618392944</v>
      </c>
      <c r="R24" s="19"/>
      <c r="S24" s="19"/>
      <c r="T24" s="19"/>
    </row>
    <row r="25" spans="1:20" x14ac:dyDescent="0.2">
      <c r="A25" s="83" t="s">
        <v>71</v>
      </c>
      <c r="B25" s="66" t="s">
        <v>24</v>
      </c>
      <c r="C25" s="82" t="s">
        <v>133</v>
      </c>
      <c r="D25" s="309" t="str">
        <f>VLOOKUP(A25,'[1]List of economies'!$B$2:$F$219,4,FALSE)</f>
        <v>HIC</v>
      </c>
      <c r="E25" s="386">
        <v>2023</v>
      </c>
      <c r="F25" s="120">
        <f t="shared" si="0"/>
        <v>1.2674574454625447</v>
      </c>
      <c r="G25" s="134">
        <v>1.1601873636245728</v>
      </c>
      <c r="H25" s="103">
        <v>0.94976073503494263</v>
      </c>
      <c r="I25" s="91">
        <v>1.3706140518188477</v>
      </c>
      <c r="J25" s="126">
        <v>1.022587776184082</v>
      </c>
      <c r="K25" s="103">
        <v>1.0745613574981689</v>
      </c>
      <c r="L25" s="110">
        <v>0.81578946113586426</v>
      </c>
      <c r="M25" s="110">
        <v>1.2000000476837158</v>
      </c>
      <c r="N25" s="18">
        <v>1</v>
      </c>
      <c r="O25" s="29">
        <v>1.6195971965789795</v>
      </c>
      <c r="P25" s="103">
        <v>1.3197368383407593</v>
      </c>
      <c r="Q25" s="91">
        <v>1.9194576740264893</v>
      </c>
      <c r="R25" s="19"/>
      <c r="S25" s="19"/>
      <c r="T25" s="19"/>
    </row>
    <row r="26" spans="1:20" x14ac:dyDescent="0.2">
      <c r="A26" s="83" t="s">
        <v>110</v>
      </c>
      <c r="B26" s="66" t="s">
        <v>109</v>
      </c>
      <c r="C26" s="82" t="s">
        <v>133</v>
      </c>
      <c r="D26" s="309" t="str">
        <f>VLOOKUP(A26,'[1]List of economies'!$B$2:$F$219,4,FALSE)</f>
        <v>UMC</v>
      </c>
      <c r="E26" s="386">
        <v>2023</v>
      </c>
      <c r="F26" s="120">
        <f t="shared" si="0"/>
        <v>2.1629629929860434</v>
      </c>
      <c r="G26" s="134">
        <v>2.5935606956481934</v>
      </c>
      <c r="H26" s="103">
        <v>1.9249999523162842</v>
      </c>
      <c r="I26" s="91">
        <v>3.2621212005615234</v>
      </c>
      <c r="J26" s="126">
        <v>2.2638888359069824</v>
      </c>
      <c r="K26" s="103">
        <v>4</v>
      </c>
      <c r="L26" s="110">
        <v>1.3333333730697632</v>
      </c>
      <c r="M26" s="110">
        <v>2</v>
      </c>
      <c r="N26" s="18">
        <v>1.7222222089767456</v>
      </c>
      <c r="O26" s="29">
        <v>1.6314394474029541</v>
      </c>
      <c r="P26" s="103">
        <v>1.4750000238418579</v>
      </c>
      <c r="Q26" s="91">
        <v>1.7878787517547607</v>
      </c>
      <c r="R26" s="19"/>
      <c r="S26" s="19"/>
      <c r="T26" s="19"/>
    </row>
    <row r="27" spans="1:20" x14ac:dyDescent="0.2">
      <c r="A27" s="83" t="s">
        <v>123</v>
      </c>
      <c r="B27" s="66" t="s">
        <v>124</v>
      </c>
      <c r="C27" s="82" t="s">
        <v>133</v>
      </c>
      <c r="D27" s="309" t="str">
        <f>VLOOKUP(A27,'[1]List of economies'!$B$2:$F$219,4,FALSE)</f>
        <v>HIC</v>
      </c>
      <c r="E27" s="386">
        <v>2023</v>
      </c>
      <c r="F27" s="120">
        <f t="shared" si="0"/>
        <v>0.59010058641433716</v>
      </c>
      <c r="G27" s="134">
        <v>0.53535354137420654</v>
      </c>
      <c r="H27" s="103">
        <v>0.18181818723678589</v>
      </c>
      <c r="I27" s="91">
        <v>0.8888888955116272</v>
      </c>
      <c r="J27" s="126">
        <v>0.80767548084259033</v>
      </c>
      <c r="K27" s="103">
        <v>1.0657894611358643</v>
      </c>
      <c r="L27" s="110">
        <v>0.1315789520740509</v>
      </c>
      <c r="M27" s="110">
        <v>1.7000000476837158</v>
      </c>
      <c r="N27" s="18">
        <v>0.3333333432674408</v>
      </c>
      <c r="O27" s="29">
        <v>0.4272727370262146</v>
      </c>
      <c r="P27" s="103">
        <v>0.40000000596046448</v>
      </c>
      <c r="Q27" s="91">
        <v>0.45454546809196472</v>
      </c>
      <c r="R27" s="19"/>
      <c r="S27" s="19"/>
      <c r="T27" s="19"/>
    </row>
    <row r="28" spans="1:20" x14ac:dyDescent="0.2">
      <c r="A28" s="83" t="s">
        <v>86</v>
      </c>
      <c r="B28" s="66" t="s">
        <v>35</v>
      </c>
      <c r="C28" s="82" t="s">
        <v>133</v>
      </c>
      <c r="D28" s="309" t="str">
        <f>VLOOKUP(A28,'[1]List of economies'!$B$2:$F$219,4,FALSE)</f>
        <v>HIC</v>
      </c>
      <c r="E28" s="386">
        <v>2023</v>
      </c>
      <c r="F28" s="120">
        <f t="shared" si="0"/>
        <v>1.5828374624252319</v>
      </c>
      <c r="G28" s="134">
        <v>1.7438862323760986</v>
      </c>
      <c r="H28" s="103">
        <v>1.1076555252075195</v>
      </c>
      <c r="I28" s="91">
        <v>2.3801169395446777</v>
      </c>
      <c r="J28" s="126">
        <v>0.97009670734405518</v>
      </c>
      <c r="K28" s="103">
        <v>1.9368420839309692</v>
      </c>
      <c r="L28" s="110">
        <v>0.1247563362121582</v>
      </c>
      <c r="M28" s="110">
        <v>0.92307692766189575</v>
      </c>
      <c r="N28" s="18">
        <v>0.89571148157119751</v>
      </c>
      <c r="O28" s="29">
        <v>2.034529447555542</v>
      </c>
      <c r="P28" s="103">
        <v>2.2508771419525146</v>
      </c>
      <c r="Q28" s="91">
        <v>1.8181818723678589</v>
      </c>
      <c r="R28" s="19"/>
      <c r="S28" s="19"/>
      <c r="T28" s="19"/>
    </row>
    <row r="29" spans="1:20" x14ac:dyDescent="0.2">
      <c r="A29" s="83" t="s">
        <v>72</v>
      </c>
      <c r="B29" s="66" t="s">
        <v>40</v>
      </c>
      <c r="C29" s="82" t="s">
        <v>133</v>
      </c>
      <c r="D29" s="309" t="str">
        <f>VLOOKUP(A29,'[1]List of economies'!$B$2:$F$219,4,FALSE)</f>
        <v>HIC</v>
      </c>
      <c r="E29" s="386">
        <v>2023</v>
      </c>
      <c r="F29" s="120">
        <f t="shared" si="0"/>
        <v>0.9415226777394613</v>
      </c>
      <c r="G29" s="134">
        <v>1.3257176876068115</v>
      </c>
      <c r="H29" s="103">
        <v>0.64354068040847778</v>
      </c>
      <c r="I29" s="91">
        <v>2.00789475440979</v>
      </c>
      <c r="J29" s="126">
        <v>0.9190058708190918</v>
      </c>
      <c r="K29" s="103">
        <v>0.35964912176132202</v>
      </c>
      <c r="L29" s="110">
        <v>0.67251461744308472</v>
      </c>
      <c r="M29" s="110">
        <v>1.8105263710021973</v>
      </c>
      <c r="N29" s="18">
        <v>0.83333331346511841</v>
      </c>
      <c r="O29" s="29">
        <v>0.57984447479248047</v>
      </c>
      <c r="P29" s="103">
        <v>0.35745614767074585</v>
      </c>
      <c r="Q29" s="91">
        <v>0.80223286151885986</v>
      </c>
      <c r="R29" s="19"/>
      <c r="S29" s="19"/>
      <c r="T29" s="19"/>
    </row>
    <row r="30" spans="1:20" x14ac:dyDescent="0.2">
      <c r="A30" s="83" t="s">
        <v>73</v>
      </c>
      <c r="B30" s="66" t="s">
        <v>44</v>
      </c>
      <c r="C30" s="82" t="s">
        <v>133</v>
      </c>
      <c r="D30" s="309" t="str">
        <f>VLOOKUP(A30,'[1]List of economies'!$B$2:$F$219,4,FALSE)</f>
        <v>HIC</v>
      </c>
      <c r="E30" s="386">
        <v>2023</v>
      </c>
      <c r="F30" s="120">
        <f t="shared" si="0"/>
        <v>1.1664883693059285</v>
      </c>
      <c r="G30" s="134">
        <v>1.3778908252716064</v>
      </c>
      <c r="H30" s="103">
        <v>1.4377990961074829</v>
      </c>
      <c r="I30" s="91">
        <v>1.3179824352264404</v>
      </c>
      <c r="J30" s="126">
        <v>1.1431652307510376</v>
      </c>
      <c r="K30" s="103">
        <v>0.63596493005752563</v>
      </c>
      <c r="L30" s="110">
        <v>0.80116957426071167</v>
      </c>
      <c r="M30" s="110">
        <v>1.7605262994766235</v>
      </c>
      <c r="N30" s="18">
        <v>1.375</v>
      </c>
      <c r="O30" s="29">
        <v>0.9784090518951416</v>
      </c>
      <c r="P30" s="103">
        <v>0.77499997615814209</v>
      </c>
      <c r="Q30" s="91">
        <v>1.1818181276321411</v>
      </c>
      <c r="R30" s="19"/>
      <c r="S30" s="19"/>
      <c r="T30" s="19"/>
    </row>
    <row r="31" spans="1:20" x14ac:dyDescent="0.2">
      <c r="A31" s="83" t="s">
        <v>87</v>
      </c>
      <c r="B31" s="66" t="s">
        <v>50</v>
      </c>
      <c r="C31" s="82" t="s">
        <v>133</v>
      </c>
      <c r="D31" s="309" t="str">
        <f>VLOOKUP(A31,'[1]List of economies'!$B$2:$F$219,4,FALSE)</f>
        <v>HIC</v>
      </c>
      <c r="E31" s="386">
        <v>2023</v>
      </c>
      <c r="F31" s="120">
        <f t="shared" si="0"/>
        <v>0.65540492534637451</v>
      </c>
      <c r="G31" s="134">
        <v>0.40719699859619141</v>
      </c>
      <c r="H31" s="103">
        <v>0.27272728085517883</v>
      </c>
      <c r="I31" s="91">
        <v>0.54166668653488159</v>
      </c>
      <c r="J31" s="126">
        <v>0.96242690086364746</v>
      </c>
      <c r="K31" s="103">
        <v>0.47807016968727112</v>
      </c>
      <c r="L31" s="110">
        <v>0.19298246502876282</v>
      </c>
      <c r="M31" s="110">
        <v>1.7999999523162842</v>
      </c>
      <c r="N31" s="18">
        <v>1.378654956817627</v>
      </c>
      <c r="O31" s="29">
        <v>0.59659087657928467</v>
      </c>
      <c r="P31" s="103">
        <v>0.375</v>
      </c>
      <c r="Q31" s="91">
        <v>0.81818181276321411</v>
      </c>
      <c r="R31" s="19"/>
      <c r="S31" s="19"/>
      <c r="T31" s="19"/>
    </row>
    <row r="32" spans="1:20" x14ac:dyDescent="0.2">
      <c r="A32" s="83" t="s">
        <v>99</v>
      </c>
      <c r="B32" s="66" t="s">
        <v>100</v>
      </c>
      <c r="C32" s="82" t="s">
        <v>133</v>
      </c>
      <c r="D32" s="309" t="str">
        <f>VLOOKUP(A32,'[1]List of economies'!$B$2:$F$219,4,FALSE)</f>
        <v>HIC</v>
      </c>
      <c r="E32" s="386">
        <v>2023</v>
      </c>
      <c r="F32" s="120">
        <f t="shared" si="0"/>
        <v>1.121792991956075</v>
      </c>
      <c r="G32" s="134">
        <v>1.1541566848754883</v>
      </c>
      <c r="H32" s="103">
        <v>0.72607654333114624</v>
      </c>
      <c r="I32" s="91">
        <v>1.5822368860244751</v>
      </c>
      <c r="J32" s="126">
        <v>1.0044041872024536</v>
      </c>
      <c r="K32" s="103">
        <v>0.66228067874908447</v>
      </c>
      <c r="L32" s="110">
        <v>8.2236841320991516E-2</v>
      </c>
      <c r="M32" s="110">
        <v>1.7000000476837158</v>
      </c>
      <c r="N32" s="18">
        <v>1.5730993747711182</v>
      </c>
      <c r="O32" s="29">
        <v>1.2068181037902832</v>
      </c>
      <c r="P32" s="103">
        <v>1.0499999523162842</v>
      </c>
      <c r="Q32" s="91">
        <v>1.3636363744735718</v>
      </c>
      <c r="R32" s="19"/>
      <c r="S32" s="19"/>
      <c r="T32" s="19"/>
    </row>
    <row r="33" spans="1:20" x14ac:dyDescent="0.2">
      <c r="A33" s="83" t="s">
        <v>88</v>
      </c>
      <c r="B33" s="66" t="s">
        <v>41</v>
      </c>
      <c r="C33" s="82" t="s">
        <v>133</v>
      </c>
      <c r="D33" s="309" t="str">
        <f>VLOOKUP(A33,'[1]List of economies'!$B$2:$F$219,4,FALSE)</f>
        <v>HIC</v>
      </c>
      <c r="E33" s="386">
        <v>2023</v>
      </c>
      <c r="F33" s="120">
        <f t="shared" si="0"/>
        <v>1.1854576667149861</v>
      </c>
      <c r="G33" s="134">
        <v>0.72826957702636719</v>
      </c>
      <c r="H33" s="103">
        <v>0.84688997268676758</v>
      </c>
      <c r="I33" s="91">
        <v>0.60964912176132202</v>
      </c>
      <c r="J33" s="126">
        <v>1.5410819053649902</v>
      </c>
      <c r="K33" s="103">
        <v>1.0526316165924072</v>
      </c>
      <c r="L33" s="110">
        <v>2</v>
      </c>
      <c r="M33" s="110">
        <v>2.5999999046325684</v>
      </c>
      <c r="N33" s="18">
        <v>0.51169592142105103</v>
      </c>
      <c r="O33" s="29">
        <v>1.2870215177536011</v>
      </c>
      <c r="P33" s="103">
        <v>1.0907894372940063</v>
      </c>
      <c r="Q33" s="91">
        <v>1.4832535982131958</v>
      </c>
      <c r="R33" s="19"/>
      <c r="S33" s="19"/>
      <c r="T33" s="19"/>
    </row>
    <row r="34" spans="1:20" x14ac:dyDescent="0.2">
      <c r="A34" s="83" t="s">
        <v>89</v>
      </c>
      <c r="B34" s="66" t="s">
        <v>39</v>
      </c>
      <c r="C34" s="82" t="s">
        <v>133</v>
      </c>
      <c r="D34" s="309" t="str">
        <f>VLOOKUP(A34,'[1]List of economies'!$B$2:$F$219,4,FALSE)</f>
        <v>HIC</v>
      </c>
      <c r="E34" s="386">
        <v>2023</v>
      </c>
      <c r="F34" s="120">
        <f t="shared" si="0"/>
        <v>0.75599859158198035</v>
      </c>
      <c r="G34" s="134">
        <v>0.55492424964904785</v>
      </c>
      <c r="H34" s="103">
        <v>0.31818181276321411</v>
      </c>
      <c r="I34" s="91">
        <v>0.79166668653488159</v>
      </c>
      <c r="J34" s="126">
        <v>0.83011692762374878</v>
      </c>
      <c r="K34" s="103">
        <v>1.2894736528396606</v>
      </c>
      <c r="L34" s="110">
        <v>6.4327485859394073E-2</v>
      </c>
      <c r="M34" s="110">
        <v>1.7999999523162842</v>
      </c>
      <c r="N34" s="18">
        <v>0.1666666716337204</v>
      </c>
      <c r="O34" s="29">
        <v>0.88295459747314453</v>
      </c>
      <c r="P34" s="103">
        <v>0.67500001192092896</v>
      </c>
      <c r="Q34" s="91">
        <v>1.0909091234207153</v>
      </c>
      <c r="R34" s="19"/>
      <c r="S34" s="19"/>
      <c r="T34" s="19"/>
    </row>
    <row r="35" spans="1:20" x14ac:dyDescent="0.2">
      <c r="A35" s="83" t="s">
        <v>74</v>
      </c>
      <c r="B35" s="66" t="s">
        <v>32</v>
      </c>
      <c r="C35" s="82" t="s">
        <v>133</v>
      </c>
      <c r="D35" s="309" t="str">
        <f>VLOOKUP(A35,'[1]List of economies'!$B$2:$F$219,4,FALSE)</f>
        <v>HIC</v>
      </c>
      <c r="E35" s="386">
        <v>2023</v>
      </c>
      <c r="F35" s="120">
        <f t="shared" si="0"/>
        <v>1.1066564718882244</v>
      </c>
      <c r="G35" s="134">
        <v>1.0958931446075439</v>
      </c>
      <c r="H35" s="103">
        <v>0.5251196026802063</v>
      </c>
      <c r="I35" s="91">
        <v>1.6666666269302368</v>
      </c>
      <c r="J35" s="126">
        <v>0.67814326286315918</v>
      </c>
      <c r="K35" s="103">
        <v>0.42543858289718628</v>
      </c>
      <c r="L35" s="110">
        <v>0.6871345043182373</v>
      </c>
      <c r="M35" s="110">
        <v>1.1000000238418579</v>
      </c>
      <c r="N35" s="18">
        <v>0.5</v>
      </c>
      <c r="O35" s="29">
        <v>1.5459330081939697</v>
      </c>
      <c r="P35" s="103">
        <v>1.4052631855010986</v>
      </c>
      <c r="Q35" s="91">
        <v>1.6866028308868408</v>
      </c>
      <c r="R35" s="19"/>
      <c r="S35" s="19"/>
      <c r="T35" s="19"/>
    </row>
    <row r="36" spans="1:20" x14ac:dyDescent="0.2">
      <c r="A36" s="83" t="s">
        <v>90</v>
      </c>
      <c r="B36" s="66" t="s">
        <v>26</v>
      </c>
      <c r="C36" s="82" t="s">
        <v>133</v>
      </c>
      <c r="D36" s="309" t="str">
        <f>VLOOKUP(A36,'[1]List of economies'!$B$2:$F$219,4,FALSE)</f>
        <v>HIC</v>
      </c>
      <c r="E36" s="386">
        <v>2023</v>
      </c>
      <c r="F36" s="120">
        <f t="shared" si="0"/>
        <v>2.048003832499186</v>
      </c>
      <c r="G36" s="134">
        <v>2.5278708934783936</v>
      </c>
      <c r="H36" s="103">
        <v>1.4815789461135864</v>
      </c>
      <c r="I36" s="91">
        <v>3.5741627216339111</v>
      </c>
      <c r="J36" s="126">
        <v>1.5708456039428711</v>
      </c>
      <c r="K36" s="103">
        <v>1.8631578683853149</v>
      </c>
      <c r="L36" s="110">
        <v>0.71539962291717529</v>
      </c>
      <c r="M36" s="110">
        <v>2.9000000953674316</v>
      </c>
      <c r="N36" s="18">
        <v>0.8048245906829834</v>
      </c>
      <c r="O36" s="29">
        <v>2.0452950000762939</v>
      </c>
      <c r="P36" s="103">
        <v>1.698245644569397</v>
      </c>
      <c r="Q36" s="91">
        <v>2.3923444747924805</v>
      </c>
      <c r="R36" s="19"/>
      <c r="S36" s="19"/>
      <c r="T36" s="19"/>
    </row>
    <row r="37" spans="1:20" x14ac:dyDescent="0.2">
      <c r="A37" s="83" t="s">
        <v>91</v>
      </c>
      <c r="B37" s="66" t="s">
        <v>52</v>
      </c>
      <c r="C37" s="82" t="s">
        <v>133</v>
      </c>
      <c r="D37" s="309" t="str">
        <f>VLOOKUP(A37,'[1]List of economies'!$B$2:$F$219,4,FALSE)</f>
        <v>UMC</v>
      </c>
      <c r="E37" s="386">
        <v>2023</v>
      </c>
      <c r="F37" s="120">
        <f t="shared" si="0"/>
        <v>2.0107417106628418</v>
      </c>
      <c r="G37" s="134">
        <v>2.3787879943847656</v>
      </c>
      <c r="H37" s="103">
        <v>2.0707070827484131</v>
      </c>
      <c r="I37" s="91">
        <v>2.6868686676025391</v>
      </c>
      <c r="J37" s="126">
        <v>1.8765431642532349</v>
      </c>
      <c r="K37" s="103">
        <v>0.92592591047286987</v>
      </c>
      <c r="L37" s="110">
        <v>1.7283951044082642</v>
      </c>
      <c r="M37" s="110">
        <v>3.0185184478759766</v>
      </c>
      <c r="N37" s="18">
        <v>1.8333333730697632</v>
      </c>
      <c r="O37" s="29">
        <v>1.7768939733505249</v>
      </c>
      <c r="P37" s="103">
        <v>1.230555534362793</v>
      </c>
      <c r="Q37" s="91">
        <v>2.3232324123382568</v>
      </c>
      <c r="R37" s="19"/>
      <c r="S37" s="19"/>
      <c r="T37" s="19"/>
    </row>
    <row r="38" spans="1:20" x14ac:dyDescent="0.2">
      <c r="A38" s="83" t="s">
        <v>81</v>
      </c>
      <c r="B38" s="66" t="s">
        <v>49</v>
      </c>
      <c r="C38" s="82" t="s">
        <v>133</v>
      </c>
      <c r="D38" s="309" t="str">
        <f>VLOOKUP(A38,'[1]List of economies'!$B$2:$F$219,4,FALSE)</f>
        <v>HIC</v>
      </c>
      <c r="E38" s="386">
        <v>2023</v>
      </c>
      <c r="F38" s="120">
        <f t="shared" si="0"/>
        <v>0.64469697078069055</v>
      </c>
      <c r="G38" s="134">
        <v>0.35606062412261963</v>
      </c>
      <c r="H38" s="103">
        <v>4.5454546809196472E-2</v>
      </c>
      <c r="I38" s="91">
        <v>0.66666668653488159</v>
      </c>
      <c r="J38" s="126">
        <v>0.64166665077209473</v>
      </c>
      <c r="K38" s="103">
        <v>0.3333333432674408</v>
      </c>
      <c r="L38" s="110">
        <v>0</v>
      </c>
      <c r="M38" s="110">
        <v>1.3999999761581421</v>
      </c>
      <c r="N38" s="18">
        <v>0.83333331346511841</v>
      </c>
      <c r="O38" s="29">
        <v>0.93636363744735718</v>
      </c>
      <c r="P38" s="103">
        <v>0.60000002384185791</v>
      </c>
      <c r="Q38" s="91">
        <v>1.2727272510528564</v>
      </c>
      <c r="R38" s="19"/>
      <c r="S38" s="19"/>
      <c r="T38" s="19"/>
    </row>
    <row r="39" spans="1:20" x14ac:dyDescent="0.2">
      <c r="A39" s="83" t="s">
        <v>105</v>
      </c>
      <c r="B39" s="66" t="s">
        <v>104</v>
      </c>
      <c r="C39" s="82" t="s">
        <v>133</v>
      </c>
      <c r="D39" s="309" t="str">
        <f>VLOOKUP(A39,'[1]List of economies'!$B$2:$F$219,4,FALSE)</f>
        <v>HIC</v>
      </c>
      <c r="E39" s="386">
        <v>2023</v>
      </c>
      <c r="F39" s="120">
        <f t="shared" si="0"/>
        <v>1.2447890837987263</v>
      </c>
      <c r="G39" s="134">
        <v>0.98547983169555664</v>
      </c>
      <c r="H39" s="103">
        <v>0.81818181276321411</v>
      </c>
      <c r="I39" s="91">
        <v>1.1527777910232544</v>
      </c>
      <c r="J39" s="126">
        <v>1.2882813215255737</v>
      </c>
      <c r="K39" s="103">
        <v>1.2864583730697632</v>
      </c>
      <c r="L39" s="110">
        <v>0.66666668653488159</v>
      </c>
      <c r="M39" s="110">
        <v>1.7000000476837158</v>
      </c>
      <c r="N39" s="18">
        <v>1.5</v>
      </c>
      <c r="O39" s="29">
        <v>1.4606060981750488</v>
      </c>
      <c r="P39" s="103">
        <v>1.4666666984558105</v>
      </c>
      <c r="Q39" s="91">
        <v>1.4545454978942871</v>
      </c>
      <c r="R39" s="19"/>
      <c r="S39" s="19"/>
      <c r="T39" s="19"/>
    </row>
    <row r="40" spans="1:20" x14ac:dyDescent="0.2">
      <c r="A40" s="83" t="s">
        <v>270</v>
      </c>
      <c r="B40" s="66" t="s">
        <v>269</v>
      </c>
      <c r="C40" s="82" t="s">
        <v>134</v>
      </c>
      <c r="D40" s="309" t="str">
        <f>VLOOKUP(A40,'[1]List of economies'!$B$2:$F$219,4,FALSE)</f>
        <v>UMC</v>
      </c>
      <c r="E40" s="386">
        <v>2023</v>
      </c>
      <c r="F40" s="120">
        <f t="shared" si="0"/>
        <v>1.7240608533223469</v>
      </c>
      <c r="G40" s="134">
        <v>2.6595296859741211</v>
      </c>
      <c r="H40" s="103">
        <v>2.1500000953674316</v>
      </c>
      <c r="I40" s="91">
        <v>3.1690590381622314</v>
      </c>
      <c r="J40" s="126">
        <v>1.277046799659729</v>
      </c>
      <c r="K40" s="103">
        <v>1.7982456684112549</v>
      </c>
      <c r="L40" s="110">
        <v>0.87329435348510742</v>
      </c>
      <c r="M40" s="110">
        <v>0.66666668653488159</v>
      </c>
      <c r="N40" s="18">
        <v>1.7699805498123169</v>
      </c>
      <c r="O40" s="29">
        <v>1.2356060743331909</v>
      </c>
      <c r="P40" s="103">
        <v>1.3500000238418579</v>
      </c>
      <c r="Q40" s="91">
        <v>1.1212121248245239</v>
      </c>
      <c r="R40" s="19"/>
      <c r="S40" s="19"/>
      <c r="T40" s="19"/>
    </row>
    <row r="41" spans="1:20" x14ac:dyDescent="0.2">
      <c r="A41" s="83" t="s">
        <v>75</v>
      </c>
      <c r="B41" s="66" t="s">
        <v>27</v>
      </c>
      <c r="C41" s="82" t="s">
        <v>133</v>
      </c>
      <c r="D41" s="309" t="str">
        <f>VLOOKUP(A41,'[1]List of economies'!$B$2:$F$219,4,FALSE)</f>
        <v>UMC</v>
      </c>
      <c r="E41" s="386">
        <v>2023</v>
      </c>
      <c r="F41" s="120">
        <f t="shared" si="0"/>
        <v>1.8947753111521404</v>
      </c>
      <c r="G41" s="134">
        <v>2.0059809684753418</v>
      </c>
      <c r="H41" s="103">
        <v>2.3110048770904541</v>
      </c>
      <c r="I41" s="91">
        <v>1.7009569406509399</v>
      </c>
      <c r="J41" s="126">
        <v>1.4760720729827881</v>
      </c>
      <c r="K41" s="103">
        <v>1.4035087823867798</v>
      </c>
      <c r="L41" s="110">
        <v>8.9668616652488708E-2</v>
      </c>
      <c r="M41" s="110">
        <v>2.2999999523162842</v>
      </c>
      <c r="N41" s="18">
        <v>2.1111111640930176</v>
      </c>
      <c r="O41" s="29">
        <v>2.202272891998291</v>
      </c>
      <c r="P41" s="103">
        <v>1.9500000476837158</v>
      </c>
      <c r="Q41" s="91">
        <v>2.4545454978942871</v>
      </c>
      <c r="R41" s="19"/>
      <c r="S41" s="19"/>
      <c r="T41" s="19"/>
    </row>
    <row r="42" spans="1:20" x14ac:dyDescent="0.2">
      <c r="A42" s="83" t="s">
        <v>103</v>
      </c>
      <c r="B42" s="66" t="s">
        <v>102</v>
      </c>
      <c r="C42" s="82" t="s">
        <v>133</v>
      </c>
      <c r="D42" s="309" t="str">
        <f>VLOOKUP(A42,'[1]List of economies'!$B$2:$F$219,4,FALSE)</f>
        <v>HIC</v>
      </c>
      <c r="E42" s="386">
        <v>2023</v>
      </c>
      <c r="F42" s="120">
        <f t="shared" si="0"/>
        <v>0.9900489250818888</v>
      </c>
      <c r="G42" s="134">
        <v>1.5556221008300781</v>
      </c>
      <c r="H42" s="103">
        <v>1.0825358629226685</v>
      </c>
      <c r="I42" s="91">
        <v>2.0287082195281982</v>
      </c>
      <c r="J42" s="126">
        <v>0.85543376207351685</v>
      </c>
      <c r="K42" s="103">
        <v>0.46929824352264404</v>
      </c>
      <c r="L42" s="110">
        <v>0.66666668653488159</v>
      </c>
      <c r="M42" s="110">
        <v>1.7000000476837158</v>
      </c>
      <c r="N42" s="18">
        <v>0.58577001094818115</v>
      </c>
      <c r="O42" s="29">
        <v>0.55909091234207153</v>
      </c>
      <c r="P42" s="103">
        <v>0.30000001192092896</v>
      </c>
      <c r="Q42" s="91">
        <v>0.81818181276321411</v>
      </c>
      <c r="R42" s="19"/>
      <c r="S42" s="19"/>
      <c r="T42" s="19"/>
    </row>
    <row r="43" spans="1:20" x14ac:dyDescent="0.2">
      <c r="A43" s="83" t="s">
        <v>106</v>
      </c>
      <c r="B43" s="66" t="s">
        <v>151</v>
      </c>
      <c r="C43" s="82" t="s">
        <v>134</v>
      </c>
      <c r="D43" s="309" t="str">
        <f>VLOOKUP(A43,'[1]List of economies'!$B$2:$F$219,4,FALSE)</f>
        <v>UMC</v>
      </c>
      <c r="E43" s="386">
        <v>2023</v>
      </c>
      <c r="F43" s="120">
        <f t="shared" si="0"/>
        <v>3.3387227853139243</v>
      </c>
      <c r="G43" s="134">
        <v>2.9701755046844482</v>
      </c>
      <c r="H43" s="103">
        <v>2.9052631855010986</v>
      </c>
      <c r="I43" s="91">
        <v>3.0350878238677979</v>
      </c>
      <c r="J43" s="126">
        <v>2.6296052932739258</v>
      </c>
      <c r="K43" s="103">
        <v>4.425438404083252</v>
      </c>
      <c r="L43" s="110">
        <v>2.9502923488616943</v>
      </c>
      <c r="M43" s="110">
        <v>1.9701753854751587</v>
      </c>
      <c r="N43" s="18">
        <v>1.1725146770477295</v>
      </c>
      <c r="O43" s="29">
        <v>4.4163875579833984</v>
      </c>
      <c r="P43" s="103">
        <v>5.0552630424499512</v>
      </c>
      <c r="Q43" s="91">
        <v>3.7775120735168457</v>
      </c>
      <c r="R43" s="19"/>
      <c r="S43" s="19"/>
      <c r="T43" s="19"/>
    </row>
    <row r="44" spans="1:20" x14ac:dyDescent="0.2">
      <c r="A44" s="83" t="s">
        <v>93</v>
      </c>
      <c r="B44" s="66" t="s">
        <v>18</v>
      </c>
      <c r="C44" s="82" t="s">
        <v>133</v>
      </c>
      <c r="D44" s="309" t="str">
        <f>VLOOKUP(A44,'[1]List of economies'!$B$2:$F$219,4,FALSE)</f>
        <v>HIC</v>
      </c>
      <c r="E44" s="386">
        <v>2023</v>
      </c>
      <c r="F44" s="120">
        <f t="shared" si="0"/>
        <v>0.85353757937749231</v>
      </c>
      <c r="G44" s="134">
        <v>1.1278243064880371</v>
      </c>
      <c r="H44" s="103">
        <v>1.1028708219528198</v>
      </c>
      <c r="I44" s="91">
        <v>1.1527777910232544</v>
      </c>
      <c r="J44" s="126">
        <v>0.78165203332901001</v>
      </c>
      <c r="K44" s="103">
        <v>0.68859648704528809</v>
      </c>
      <c r="L44" s="110">
        <v>0.23684209585189819</v>
      </c>
      <c r="M44" s="110">
        <v>1.3999999761581421</v>
      </c>
      <c r="N44" s="18">
        <v>0.80116957426071167</v>
      </c>
      <c r="O44" s="29">
        <v>0.65113639831542969</v>
      </c>
      <c r="P44" s="103">
        <v>0.57499998807907104</v>
      </c>
      <c r="Q44" s="91">
        <v>0.72727274894714355</v>
      </c>
      <c r="R44" s="19"/>
      <c r="S44" s="19"/>
      <c r="T44" s="19"/>
    </row>
    <row r="45" spans="1:20" ht="14.25" x14ac:dyDescent="0.2">
      <c r="A45" s="83" t="s">
        <v>108</v>
      </c>
      <c r="B45" s="66" t="s">
        <v>232</v>
      </c>
      <c r="C45" s="82" t="s">
        <v>133</v>
      </c>
      <c r="D45" s="309" t="str">
        <f>VLOOKUP(A45,'[1]List of economies'!$B$2:$F$219,4,FALSE)</f>
        <v>HIC</v>
      </c>
      <c r="E45" s="386">
        <v>2023</v>
      </c>
      <c r="F45" s="120">
        <f t="shared" si="0"/>
        <v>1.6604732275009155</v>
      </c>
      <c r="G45" s="134">
        <v>2.3842105865478516</v>
      </c>
      <c r="H45" s="103">
        <v>2.3842105865478516</v>
      </c>
      <c r="I45" s="91" t="s">
        <v>173</v>
      </c>
      <c r="J45" s="126">
        <v>1.242165207862854</v>
      </c>
      <c r="K45" s="103" t="s">
        <v>173</v>
      </c>
      <c r="L45" s="110">
        <v>2</v>
      </c>
      <c r="M45" s="110">
        <v>1.615384578704834</v>
      </c>
      <c r="N45" s="18">
        <v>0.1111111119389534</v>
      </c>
      <c r="O45" s="29">
        <v>1.355043888092041</v>
      </c>
      <c r="P45" s="103">
        <v>1.3592104911804199</v>
      </c>
      <c r="Q45" s="91">
        <v>1.3508771657943726</v>
      </c>
      <c r="R45" s="19"/>
      <c r="S45" s="19"/>
      <c r="T45" s="19"/>
    </row>
    <row r="46" spans="1:20" x14ac:dyDescent="0.2">
      <c r="A46" s="83" t="s">
        <v>118</v>
      </c>
      <c r="B46" s="66" t="s">
        <v>117</v>
      </c>
      <c r="C46" s="82" t="s">
        <v>133</v>
      </c>
      <c r="D46" s="309" t="str">
        <f>VLOOKUP(A46,'[1]List of economies'!$B$2:$F$219,4,FALSE)</f>
        <v>UMC</v>
      </c>
      <c r="E46" s="386">
        <v>2023</v>
      </c>
      <c r="F46" s="120">
        <f t="shared" si="0"/>
        <v>3.0616637468338013</v>
      </c>
      <c r="G46" s="134">
        <v>3.4780092239379883</v>
      </c>
      <c r="H46" s="104">
        <v>3.4305555820465088</v>
      </c>
      <c r="I46" s="92">
        <v>3.5254628658294678</v>
      </c>
      <c r="J46" s="126">
        <v>1.7687243223190308</v>
      </c>
      <c r="K46" s="103">
        <v>1.8611111640930176</v>
      </c>
      <c r="L46" s="110">
        <v>1.3816872835159302</v>
      </c>
      <c r="M46" s="110">
        <v>2.0203704833984375</v>
      </c>
      <c r="N46" s="18">
        <v>1.8117283582687378</v>
      </c>
      <c r="O46" s="29">
        <v>3.9382576942443848</v>
      </c>
      <c r="P46" s="104">
        <v>4.0305557250976563</v>
      </c>
      <c r="Q46" s="92">
        <v>3.8459596633911133</v>
      </c>
      <c r="R46" s="19"/>
      <c r="S46" s="19"/>
      <c r="T46" s="19"/>
    </row>
    <row r="47" spans="1:20" x14ac:dyDescent="0.2">
      <c r="A47" s="83" t="s">
        <v>120</v>
      </c>
      <c r="B47" s="66" t="s">
        <v>119</v>
      </c>
      <c r="C47" s="82" t="s">
        <v>133</v>
      </c>
      <c r="D47" s="309" t="str">
        <f>VLOOKUP(A47,'[1]List of economies'!$B$2:$F$219,4,FALSE)</f>
        <v>HIC</v>
      </c>
      <c r="E47" s="386">
        <v>2023</v>
      </c>
      <c r="F47" s="120">
        <f t="shared" si="0"/>
        <v>1.9356848200162251</v>
      </c>
      <c r="G47" s="134">
        <v>3.5355262756347656</v>
      </c>
      <c r="H47" s="104">
        <v>3.5355262756347656</v>
      </c>
      <c r="I47" s="92" t="s">
        <v>173</v>
      </c>
      <c r="J47" s="126">
        <v>0.77834635972976685</v>
      </c>
      <c r="K47" s="103" t="s">
        <v>173</v>
      </c>
      <c r="L47" s="110">
        <v>0</v>
      </c>
      <c r="M47" s="110">
        <v>1.125</v>
      </c>
      <c r="N47" s="18">
        <v>1.2100390195846558</v>
      </c>
      <c r="O47" s="29">
        <v>1.4931818246841431</v>
      </c>
      <c r="P47" s="104">
        <v>1.3500000238418579</v>
      </c>
      <c r="Q47" s="92">
        <v>1.6363636255264282</v>
      </c>
      <c r="R47" s="19"/>
      <c r="S47" s="19"/>
      <c r="T47" s="19"/>
    </row>
    <row r="48" spans="1:20" x14ac:dyDescent="0.2">
      <c r="A48" s="83" t="s">
        <v>115</v>
      </c>
      <c r="B48" s="66" t="s">
        <v>152</v>
      </c>
      <c r="C48" s="82" t="s">
        <v>134</v>
      </c>
      <c r="D48" s="309" t="str">
        <f>VLOOKUP(A48,'[1]List of economies'!$B$2:$F$219,4,FALSE)</f>
        <v>UMC</v>
      </c>
      <c r="E48" s="386">
        <v>2023</v>
      </c>
      <c r="F48" s="120">
        <f t="shared" si="0"/>
        <v>2.0154040257136026</v>
      </c>
      <c r="G48" s="134">
        <v>2.3204545974731445</v>
      </c>
      <c r="H48" s="104">
        <v>1.5499999523162842</v>
      </c>
      <c r="I48" s="92">
        <v>3.0909090042114258</v>
      </c>
      <c r="J48" s="126">
        <v>1.6499999761581421</v>
      </c>
      <c r="K48" s="103">
        <v>1</v>
      </c>
      <c r="L48" s="110">
        <v>2</v>
      </c>
      <c r="M48" s="110">
        <v>2.0999999046325684</v>
      </c>
      <c r="N48" s="18">
        <v>1.5</v>
      </c>
      <c r="O48" s="29">
        <v>2.0757575035095215</v>
      </c>
      <c r="P48" s="104">
        <v>3</v>
      </c>
      <c r="Q48" s="92">
        <v>1.1515151262283325</v>
      </c>
      <c r="R48" s="19"/>
      <c r="S48" s="19"/>
      <c r="T48" s="19"/>
    </row>
    <row r="49" spans="1:20" x14ac:dyDescent="0.2">
      <c r="A49" s="83" t="s">
        <v>271</v>
      </c>
      <c r="B49" s="66" t="s">
        <v>272</v>
      </c>
      <c r="C49" s="82" t="s">
        <v>133</v>
      </c>
      <c r="D49" s="309" t="str">
        <f>VLOOKUP(A49,'[1]List of economies'!$B$2:$F$219,4,FALSE)</f>
        <v>HIC</v>
      </c>
      <c r="E49" s="386">
        <v>2023</v>
      </c>
      <c r="F49" s="120">
        <f t="shared" si="0"/>
        <v>0.9712813297907511</v>
      </c>
      <c r="G49" s="134">
        <v>1.3845694065093994</v>
      </c>
      <c r="H49" s="103">
        <v>1.0980861186981201</v>
      </c>
      <c r="I49" s="91">
        <v>1.6710526943206787</v>
      </c>
      <c r="J49" s="126">
        <v>1.1110928058624268</v>
      </c>
      <c r="K49" s="103">
        <v>0.79824560880661011</v>
      </c>
      <c r="L49" s="110">
        <v>0.78362572193145752</v>
      </c>
      <c r="M49" s="110">
        <v>1.7999999523162842</v>
      </c>
      <c r="N49" s="18">
        <v>1.0625</v>
      </c>
      <c r="O49" s="29">
        <v>0.41818177700042725</v>
      </c>
      <c r="P49" s="103">
        <v>0.53333330154418945</v>
      </c>
      <c r="Q49" s="91">
        <v>0.30303028225898743</v>
      </c>
      <c r="R49" s="19"/>
      <c r="S49" s="19"/>
      <c r="T49" s="19"/>
    </row>
    <row r="50" spans="1:20" x14ac:dyDescent="0.2">
      <c r="A50" s="83" t="s">
        <v>94</v>
      </c>
      <c r="B50" s="66" t="s">
        <v>53</v>
      </c>
      <c r="C50" s="82" t="s">
        <v>133</v>
      </c>
      <c r="D50" s="309" t="str">
        <f>VLOOKUP(A50,'[1]List of economies'!$B$2:$F$219,4,FALSE)</f>
        <v>UMC</v>
      </c>
      <c r="E50" s="386">
        <v>2023</v>
      </c>
      <c r="F50" s="120">
        <f t="shared" si="0"/>
        <v>2.6698122819264731</v>
      </c>
      <c r="G50" s="134">
        <v>3.8280863761901855</v>
      </c>
      <c r="H50" s="104">
        <v>4.0111112594604492</v>
      </c>
      <c r="I50" s="92">
        <v>3.645061731338501</v>
      </c>
      <c r="J50" s="126">
        <v>1.4853909015655518</v>
      </c>
      <c r="K50" s="103">
        <v>2.5185184478759766</v>
      </c>
      <c r="L50" s="110">
        <v>0.78189301490783691</v>
      </c>
      <c r="M50" s="110">
        <v>2.303703784942627</v>
      </c>
      <c r="N50" s="18">
        <v>0.33744856715202332</v>
      </c>
      <c r="O50" s="29">
        <v>2.6959595680236816</v>
      </c>
      <c r="P50" s="104">
        <v>2.7555556297302246</v>
      </c>
      <c r="Q50" s="92">
        <v>2.6363637447357178</v>
      </c>
      <c r="R50" s="19"/>
      <c r="S50" s="19"/>
      <c r="T50" s="19"/>
    </row>
    <row r="51" spans="1:20" ht="14.45" customHeight="1" x14ac:dyDescent="0.2">
      <c r="A51" s="83" t="s">
        <v>274</v>
      </c>
      <c r="B51" s="66" t="s">
        <v>273</v>
      </c>
      <c r="C51" s="82" t="s">
        <v>275</v>
      </c>
      <c r="D51" s="309" t="str">
        <f>VLOOKUP(A51,'[1]List of economies'!$B$2:$F$219,4,FALSE)</f>
        <v>UMC</v>
      </c>
      <c r="E51" s="386">
        <v>2023</v>
      </c>
      <c r="F51" s="120">
        <f t="shared" si="0"/>
        <v>3.3193404674530029</v>
      </c>
      <c r="G51" s="134">
        <v>4.0891227722167969</v>
      </c>
      <c r="H51" s="104">
        <v>4.6057896614074707</v>
      </c>
      <c r="I51" s="92">
        <v>3.5724561214447021</v>
      </c>
      <c r="J51" s="126">
        <v>2.6160037517547607</v>
      </c>
      <c r="K51" s="103">
        <v>4.342982292175293</v>
      </c>
      <c r="L51" s="110">
        <v>1.4095516204833984</v>
      </c>
      <c r="M51" s="110">
        <v>2.9685964584350586</v>
      </c>
      <c r="N51" s="18">
        <v>1.7428849935531616</v>
      </c>
      <c r="O51" s="29">
        <v>3.2528948783874512</v>
      </c>
      <c r="P51" s="104">
        <v>3.5057895183563232</v>
      </c>
      <c r="Q51" s="92">
        <v>3</v>
      </c>
      <c r="R51" s="19"/>
      <c r="S51" s="19"/>
      <c r="T51" s="19"/>
    </row>
    <row r="52" spans="1:20" x14ac:dyDescent="0.2">
      <c r="A52" s="83" t="s">
        <v>258</v>
      </c>
      <c r="B52" s="66" t="s">
        <v>257</v>
      </c>
      <c r="C52" s="82" t="s">
        <v>133</v>
      </c>
      <c r="D52" s="309" t="str">
        <f>VLOOKUP(A52,'[1]List of economies'!$B$2:$F$219,4,FALSE)</f>
        <v>HIC</v>
      </c>
      <c r="E52" s="386">
        <v>2023</v>
      </c>
      <c r="F52" s="120">
        <f t="shared" si="0"/>
        <v>3.207163174947103</v>
      </c>
      <c r="G52" s="134">
        <v>4.2226076126098633</v>
      </c>
      <c r="H52" s="104">
        <v>3.4236841201782227</v>
      </c>
      <c r="I52" s="92">
        <v>5.0215311050415039</v>
      </c>
      <c r="J52" s="126">
        <v>3.1524105072021484</v>
      </c>
      <c r="K52" s="103">
        <v>5.247368335723877</v>
      </c>
      <c r="L52" s="110">
        <v>3.4161794185638428</v>
      </c>
      <c r="M52" s="110">
        <v>2.307692289352417</v>
      </c>
      <c r="N52" s="18">
        <v>1.6384015083312988</v>
      </c>
      <c r="O52" s="29">
        <v>2.2464714050292969</v>
      </c>
      <c r="P52" s="104">
        <v>2.1986842155456543</v>
      </c>
      <c r="Q52" s="92">
        <v>2.2942583560943604</v>
      </c>
      <c r="R52" s="19"/>
      <c r="S52" s="19"/>
      <c r="T52" s="19"/>
    </row>
    <row r="53" spans="1:20" x14ac:dyDescent="0.2">
      <c r="A53" s="169" t="s">
        <v>208</v>
      </c>
      <c r="B53" s="66" t="s">
        <v>171</v>
      </c>
      <c r="D53" s="309" t="str">
        <f>VLOOKUP(A53,'[1]List of economies'!$B$2:$F$219,4,FALSE)</f>
        <v>UMC</v>
      </c>
      <c r="E53" s="10">
        <v>2018</v>
      </c>
      <c r="F53" s="254">
        <f>IF(AND(H53=".",I53=".",K53=".",L53=".",M53=".",N53=".",P53=".",Q53="."),".",AVERAGE(H53,I53,K53,L53,M53,N53,P53,Q53))</f>
        <v>1.7638365067541599</v>
      </c>
      <c r="G53" s="172">
        <v>2.6031746864318852</v>
      </c>
      <c r="H53" s="257">
        <v>2.428571462631226</v>
      </c>
      <c r="I53" s="258">
        <v>2.7777776718139648</v>
      </c>
      <c r="J53" s="172">
        <v>2.1830358505249019</v>
      </c>
      <c r="K53" s="257">
        <v>4.7142858505249023</v>
      </c>
      <c r="L53" s="258">
        <v>1</v>
      </c>
      <c r="M53" s="258">
        <v>2.1428570747375488</v>
      </c>
      <c r="N53" s="91">
        <v>0.875</v>
      </c>
      <c r="O53" s="172">
        <v>8.6099997162818909E-2</v>
      </c>
      <c r="P53" s="258">
        <v>0.17219999432563779</v>
      </c>
      <c r="Q53" s="258">
        <v>0</v>
      </c>
    </row>
    <row r="54" spans="1:20" x14ac:dyDescent="0.2">
      <c r="A54" s="169" t="s">
        <v>209</v>
      </c>
      <c r="B54" s="66" t="s">
        <v>172</v>
      </c>
      <c r="D54" s="309" t="str">
        <f>VLOOKUP(A54,'[1]List of economies'!$B$2:$F$219,4,FALSE)</f>
        <v>UMC</v>
      </c>
      <c r="E54" s="10">
        <v>2018</v>
      </c>
      <c r="F54" s="254">
        <f>IF(AND(H54=".",I54=".",K54=".",L54=".",M54=".",N54=".",P54=".",Q54="."),".",AVERAGE(H54,I54,K54,L54,M54,N54,P54,Q54))</f>
        <v>3.3524118917328969</v>
      </c>
      <c r="G54" s="172">
        <v>5.1607141494750977</v>
      </c>
      <c r="H54" s="257">
        <v>5.0714287757873544</v>
      </c>
      <c r="I54" s="258">
        <v>5.25</v>
      </c>
      <c r="J54" s="172">
        <v>1.5151515007019041</v>
      </c>
      <c r="K54" s="257" t="s">
        <v>173</v>
      </c>
      <c r="L54" s="258">
        <v>0.54545456171035767</v>
      </c>
      <c r="M54" s="258">
        <v>2</v>
      </c>
      <c r="N54" s="91">
        <v>2</v>
      </c>
      <c r="O54" s="172">
        <v>4.3000001907348633</v>
      </c>
      <c r="P54" s="258">
        <v>5.0999999046325684</v>
      </c>
      <c r="Q54" s="258">
        <v>3.5</v>
      </c>
    </row>
    <row r="55" spans="1:20" x14ac:dyDescent="0.2">
      <c r="A55" s="169" t="s">
        <v>210</v>
      </c>
      <c r="B55" s="66" t="s">
        <v>192</v>
      </c>
      <c r="D55" s="309" t="str">
        <f>VLOOKUP(A55,'[1]List of economies'!$B$2:$F$219,4,FALSE)</f>
        <v>UMC</v>
      </c>
      <c r="E55" s="10">
        <v>2018</v>
      </c>
      <c r="F55" s="254">
        <v>2.5995297282934189</v>
      </c>
      <c r="G55" s="172">
        <v>2.6607141494750981</v>
      </c>
      <c r="H55" s="257">
        <v>2.821428537368774</v>
      </c>
      <c r="I55" s="258">
        <v>2.5</v>
      </c>
      <c r="J55" s="172">
        <v>2.3922023773193359</v>
      </c>
      <c r="K55" s="257">
        <v>3</v>
      </c>
      <c r="L55" s="258">
        <v>3.086666584014893</v>
      </c>
      <c r="M55" s="258">
        <v>1.3571428060531621</v>
      </c>
      <c r="N55" s="91">
        <v>2.125</v>
      </c>
      <c r="O55" s="172">
        <v>2.9530000686645508</v>
      </c>
      <c r="P55" s="258">
        <v>3.6059999465942378</v>
      </c>
      <c r="Q55" s="258">
        <v>2.2999999523162842</v>
      </c>
    </row>
    <row r="56" spans="1:20" x14ac:dyDescent="0.2">
      <c r="A56" s="169" t="s">
        <v>295</v>
      </c>
      <c r="B56" s="66" t="s">
        <v>174</v>
      </c>
      <c r="D56" s="309" t="str">
        <f>VLOOKUP(A56,'[1]List of economies'!$B$2:$F$219,4,FALSE)</f>
        <v>UMC</v>
      </c>
      <c r="E56" s="10">
        <v>2018</v>
      </c>
      <c r="F56" s="254">
        <f t="shared" ref="F56:F63" si="1">IF(AND(H56=".",I56=".",K56=".",L56=".",M56=".",N56=".",P56=".",Q56="."),".",AVERAGE(H56,I56,K56,L56,M56,N56,P56,Q56))</f>
        <v>1.8220237890879314</v>
      </c>
      <c r="G56" s="172">
        <v>1.8571428060531621</v>
      </c>
      <c r="H56" s="257">
        <v>1.8571428060531621</v>
      </c>
      <c r="I56" s="258" t="s">
        <v>173</v>
      </c>
      <c r="J56" s="172">
        <v>2</v>
      </c>
      <c r="K56" s="257">
        <v>3</v>
      </c>
      <c r="L56" s="258">
        <v>2</v>
      </c>
      <c r="M56" s="258">
        <v>1</v>
      </c>
      <c r="N56" s="91" t="s">
        <v>173</v>
      </c>
      <c r="O56" s="172">
        <v>1.5374999046325679</v>
      </c>
      <c r="P56" s="258">
        <v>0.97500002384185791</v>
      </c>
      <c r="Q56" s="258">
        <v>2.0999999046325679</v>
      </c>
    </row>
    <row r="57" spans="1:20" ht="14.25" x14ac:dyDescent="0.2">
      <c r="A57" s="169" t="s">
        <v>211</v>
      </c>
      <c r="B57" s="66" t="s">
        <v>175</v>
      </c>
      <c r="D57" s="309" t="str">
        <f>VLOOKUP(A57,'[1]List of economies'!$B$2:$F$219,4,FALSE)</f>
        <v>UMC</v>
      </c>
      <c r="E57" s="10">
        <v>2018</v>
      </c>
      <c r="F57" s="254">
        <f t="shared" si="1"/>
        <v>2.7872337773442268</v>
      </c>
      <c r="G57" s="172">
        <v>4.0142087936401367</v>
      </c>
      <c r="H57" s="257">
        <v>4.7225713729858398</v>
      </c>
      <c r="I57" s="258">
        <v>3.305846214294434</v>
      </c>
      <c r="J57" s="172">
        <v>2.831863164901733</v>
      </c>
      <c r="K57" s="257">
        <v>3.428571462631226</v>
      </c>
      <c r="L57" s="258">
        <v>2.8180000782012939</v>
      </c>
      <c r="M57" s="258">
        <v>2.2857143878936772</v>
      </c>
      <c r="N57" s="91">
        <v>2.7951667308807369</v>
      </c>
      <c r="O57" s="172">
        <v>1.470999956130981</v>
      </c>
      <c r="P57" s="258">
        <v>1.984799981117249</v>
      </c>
      <c r="Q57" s="258">
        <v>0.95719999074935913</v>
      </c>
    </row>
    <row r="58" spans="1:20" x14ac:dyDescent="0.2">
      <c r="A58" s="169" t="s">
        <v>212</v>
      </c>
      <c r="B58" s="66" t="s">
        <v>176</v>
      </c>
      <c r="D58" s="309" t="str">
        <f>VLOOKUP(A58,'[1]List of economies'!$B$2:$F$219,4,FALSE)</f>
        <v>UMC</v>
      </c>
      <c r="E58" s="10">
        <v>2018</v>
      </c>
      <c r="F58" s="254">
        <f t="shared" si="1"/>
        <v>2.3712239414453506</v>
      </c>
      <c r="G58" s="172">
        <v>1.7723956108093259</v>
      </c>
      <c r="H58" s="257">
        <v>2.0357143878936772</v>
      </c>
      <c r="I58" s="258">
        <v>1.5090769529342649</v>
      </c>
      <c r="J58" s="172">
        <v>2.9375</v>
      </c>
      <c r="K58" s="257">
        <v>5.5714287757873544</v>
      </c>
      <c r="L58" s="258">
        <v>2.25</v>
      </c>
      <c r="M58" s="258">
        <v>1.428571462631226</v>
      </c>
      <c r="N58" s="91">
        <v>2.5</v>
      </c>
      <c r="O58" s="172">
        <v>1.8374999761581421</v>
      </c>
      <c r="P58" s="258">
        <v>1.875</v>
      </c>
      <c r="Q58" s="258">
        <v>1.799999952316284</v>
      </c>
    </row>
    <row r="59" spans="1:20" x14ac:dyDescent="0.2">
      <c r="A59" s="169" t="s">
        <v>213</v>
      </c>
      <c r="B59" s="66" t="s">
        <v>177</v>
      </c>
      <c r="D59" s="309" t="str">
        <f>VLOOKUP(A59,'[1]List of economies'!$B$2:$F$219,4,FALSE)</f>
        <v>UMC</v>
      </c>
      <c r="E59" s="10">
        <v>2018</v>
      </c>
      <c r="F59" s="254">
        <f t="shared" si="1"/>
        <v>2.7196915745735168</v>
      </c>
      <c r="G59" s="172">
        <v>3.522571325302124</v>
      </c>
      <c r="H59" s="257">
        <v>3.522571325302124</v>
      </c>
      <c r="I59" s="258" t="s">
        <v>173</v>
      </c>
      <c r="J59" s="172">
        <v>3.5600674152374272</v>
      </c>
      <c r="K59" s="257">
        <v>4.6118569374084473</v>
      </c>
      <c r="L59" s="258">
        <v>4.25</v>
      </c>
      <c r="M59" s="258">
        <v>2.1428570747375488</v>
      </c>
      <c r="N59" s="91">
        <v>3.2355556488037109</v>
      </c>
      <c r="O59" s="172">
        <v>0.63750004768371582</v>
      </c>
      <c r="P59" s="258">
        <v>0.67500001192092896</v>
      </c>
      <c r="Q59" s="258">
        <v>0.60000002384185791</v>
      </c>
    </row>
    <row r="60" spans="1:20" x14ac:dyDescent="0.2">
      <c r="A60" s="169" t="s">
        <v>214</v>
      </c>
      <c r="B60" s="66" t="s">
        <v>205</v>
      </c>
      <c r="D60" s="309" t="str">
        <f>VLOOKUP(A60,'[1]List of economies'!$B$2:$F$219,4,FALSE)</f>
        <v>HIC</v>
      </c>
      <c r="E60" s="10">
        <v>2018</v>
      </c>
      <c r="F60" s="254">
        <v>3.0432802736759186</v>
      </c>
      <c r="G60" s="172">
        <v>3.312012910842896</v>
      </c>
      <c r="H60" s="257">
        <v>2.7896924018859859</v>
      </c>
      <c r="I60" s="258">
        <v>3.8343334197998051</v>
      </c>
      <c r="J60" s="172">
        <v>2.476054191589355</v>
      </c>
      <c r="K60" s="257">
        <v>4.1999998092651367</v>
      </c>
      <c r="L60" s="258">
        <v>2.5873334407806401</v>
      </c>
      <c r="M60" s="258">
        <v>1.071428537368774</v>
      </c>
      <c r="N60" s="91">
        <v>2.0454545021057129</v>
      </c>
      <c r="O60" s="172">
        <v>3.908999919891357</v>
      </c>
      <c r="P60" s="258">
        <v>5.1180000305175781</v>
      </c>
      <c r="Q60" s="258">
        <v>2.7000000476837158</v>
      </c>
    </row>
    <row r="61" spans="1:20" x14ac:dyDescent="0.2">
      <c r="A61" s="169" t="s">
        <v>215</v>
      </c>
      <c r="B61" s="66" t="s">
        <v>178</v>
      </c>
      <c r="D61" s="309" t="str">
        <f>VLOOKUP(A61,'[1]List of economies'!$B$2:$F$219,4,FALSE)</f>
        <v>UMC</v>
      </c>
      <c r="E61" s="10">
        <v>2018</v>
      </c>
      <c r="F61" s="254">
        <f t="shared" si="1"/>
        <v>2.6278878450393677</v>
      </c>
      <c r="G61" s="29">
        <v>2.2126538753509521</v>
      </c>
      <c r="H61" s="258">
        <v>2.5</v>
      </c>
      <c r="I61" s="258">
        <v>1.925307631492615</v>
      </c>
      <c r="J61" s="29">
        <v>2.9772322177886958</v>
      </c>
      <c r="K61" s="258">
        <v>4.2857141494750977</v>
      </c>
      <c r="L61" s="258">
        <v>3.9210000038146968</v>
      </c>
      <c r="M61" s="258">
        <v>2.2857143878936772</v>
      </c>
      <c r="N61" s="258">
        <v>1.416499972343445</v>
      </c>
      <c r="O61" s="29">
        <v>2.3444333076477051</v>
      </c>
      <c r="P61" s="258">
        <v>2.1735999584197998</v>
      </c>
      <c r="Q61" s="258">
        <v>2.5152666568756099</v>
      </c>
    </row>
    <row r="62" spans="1:20" x14ac:dyDescent="0.2">
      <c r="A62" s="169" t="s">
        <v>216</v>
      </c>
      <c r="B62" s="66" t="s">
        <v>179</v>
      </c>
      <c r="D62" s="309" t="str">
        <f>VLOOKUP(A62,'[1]List of economies'!$B$2:$F$219,4,FALSE)</f>
        <v>LMC</v>
      </c>
      <c r="E62" s="10">
        <v>2018</v>
      </c>
      <c r="F62" s="254">
        <f t="shared" si="1"/>
        <v>2.7400438274656023</v>
      </c>
      <c r="G62" s="29">
        <v>2.307692289352417</v>
      </c>
      <c r="H62" s="258">
        <v>2.307692289352417</v>
      </c>
      <c r="I62" s="258" t="s">
        <v>173</v>
      </c>
      <c r="J62" s="29">
        <v>2.5614035129547119</v>
      </c>
      <c r="K62" s="258">
        <v>3.5</v>
      </c>
      <c r="L62" s="258">
        <v>2.2916667461395259</v>
      </c>
      <c r="M62" s="258">
        <v>1.5789474248886111</v>
      </c>
      <c r="N62" s="258">
        <v>2.875</v>
      </c>
      <c r="O62" s="29">
        <v>3.3135001659393311</v>
      </c>
      <c r="P62" s="258">
        <v>4.2270002365112296</v>
      </c>
      <c r="Q62" s="258">
        <v>2.4000000953674321</v>
      </c>
    </row>
    <row r="63" spans="1:20" x14ac:dyDescent="0.2">
      <c r="A63" s="251" t="s">
        <v>217</v>
      </c>
      <c r="B63" s="244" t="s">
        <v>180</v>
      </c>
      <c r="D63" s="309" t="str">
        <f>VLOOKUP(A63,'[1]List of economies'!$B$2:$F$219,4,FALSE)</f>
        <v>LMC</v>
      </c>
      <c r="E63" s="10">
        <v>2018</v>
      </c>
      <c r="F63" s="255">
        <f t="shared" si="1"/>
        <v>3.8835362941026688</v>
      </c>
      <c r="G63" s="256">
        <v>4.4099998474121094</v>
      </c>
      <c r="H63" s="259">
        <v>3.5</v>
      </c>
      <c r="I63" s="259">
        <v>5.320000171661377</v>
      </c>
      <c r="J63" s="256">
        <v>3.212072610855103</v>
      </c>
      <c r="K63" s="259">
        <v>5.5</v>
      </c>
      <c r="L63" s="259">
        <v>3.5716667175292969</v>
      </c>
      <c r="M63" s="259">
        <v>1.785714268684387</v>
      </c>
      <c r="N63" s="259">
        <v>1.990909099578857</v>
      </c>
      <c r="O63" s="256">
        <v>4.6999998092651367</v>
      </c>
      <c r="P63" s="259">
        <v>5.0999999046325684</v>
      </c>
      <c r="Q63" s="259">
        <v>4.3000001907348633</v>
      </c>
    </row>
    <row r="64" spans="1:20" x14ac:dyDescent="0.2">
      <c r="A64" s="83" t="s">
        <v>62</v>
      </c>
      <c r="B64" s="46" t="s">
        <v>61</v>
      </c>
      <c r="C64" s="82" t="s">
        <v>133</v>
      </c>
      <c r="D64" s="309" t="str">
        <f>VLOOKUP(A64,'[1]List of economies'!$B$2:$F$219,4,FALSE)</f>
        <v>HIC</v>
      </c>
      <c r="E64" s="10">
        <v>2018</v>
      </c>
      <c r="F64" s="120">
        <f t="shared" ref="F64:F101" si="2">IF(AND(G64=".",J64=".",O64="."),".",AVERAGE(G64,J64,O64))</f>
        <v>1.2357669472694397</v>
      </c>
      <c r="G64" s="134">
        <v>0.95896470546722412</v>
      </c>
      <c r="H64" s="103">
        <v>0.18181818723678589</v>
      </c>
      <c r="I64" s="91">
        <v>1.7361111640930176</v>
      </c>
      <c r="J64" s="126">
        <v>1.8634278774261475</v>
      </c>
      <c r="K64" s="103">
        <v>3.8184211254119873</v>
      </c>
      <c r="L64" s="110">
        <v>0.66666668653488159</v>
      </c>
      <c r="M64" s="110">
        <v>1.4686235189437866</v>
      </c>
      <c r="N64" s="18">
        <v>1.5</v>
      </c>
      <c r="O64" s="29">
        <v>0.88490825891494751</v>
      </c>
      <c r="P64" s="103">
        <v>0.70921051502227783</v>
      </c>
      <c r="Q64" s="91">
        <v>1.0606060028076172</v>
      </c>
    </row>
    <row r="65" spans="1:17" x14ac:dyDescent="0.2">
      <c r="A65" s="83" t="s">
        <v>76</v>
      </c>
      <c r="B65" s="46" t="s">
        <v>37</v>
      </c>
      <c r="C65" s="82" t="s">
        <v>133</v>
      </c>
      <c r="D65" s="309" t="str">
        <f>VLOOKUP(A65,'[1]List of economies'!$B$2:$F$219,4,FALSE)</f>
        <v>HIC</v>
      </c>
      <c r="E65" s="10">
        <v>2018</v>
      </c>
      <c r="F65" s="120">
        <f t="shared" si="2"/>
        <v>0.87904924154281616</v>
      </c>
      <c r="G65" s="134">
        <v>1.0178428888320923</v>
      </c>
      <c r="H65" s="103">
        <v>0.82296651601791382</v>
      </c>
      <c r="I65" s="91">
        <v>1.2127193212509155</v>
      </c>
      <c r="J65" s="126">
        <v>1.1045321226119995</v>
      </c>
      <c r="K65" s="103">
        <v>0.67543858289718628</v>
      </c>
      <c r="L65" s="110">
        <v>0.66666668653488159</v>
      </c>
      <c r="M65" s="110">
        <v>1.5</v>
      </c>
      <c r="N65" s="18">
        <v>1.5760233402252197</v>
      </c>
      <c r="O65" s="29">
        <v>0.51477271318435669</v>
      </c>
      <c r="P65" s="103">
        <v>0.57499998807907104</v>
      </c>
      <c r="Q65" s="91">
        <v>0.45454546809196472</v>
      </c>
    </row>
    <row r="66" spans="1:17" x14ac:dyDescent="0.2">
      <c r="A66" s="83" t="s">
        <v>114</v>
      </c>
      <c r="B66" s="46" t="s">
        <v>113</v>
      </c>
      <c r="C66" s="82" t="s">
        <v>133</v>
      </c>
      <c r="D66" s="309" t="str">
        <f>VLOOKUP(A66,'[1]List of economies'!$B$2:$F$219,4,FALSE)</f>
        <v>HIC</v>
      </c>
      <c r="E66" s="10">
        <v>2018</v>
      </c>
      <c r="F66" s="120">
        <f t="shared" si="2"/>
        <v>1.2734030087788899</v>
      </c>
      <c r="G66" s="134">
        <v>1.5333333015441895</v>
      </c>
      <c r="H66" s="103">
        <v>1.3999999761581421</v>
      </c>
      <c r="I66" s="91">
        <v>1.6666666269302368</v>
      </c>
      <c r="J66" s="126">
        <v>1.1502314805984497</v>
      </c>
      <c r="K66" s="103">
        <v>0.46759259700775146</v>
      </c>
      <c r="L66" s="110">
        <v>2</v>
      </c>
      <c r="M66" s="111">
        <v>1.7999999523162842</v>
      </c>
      <c r="N66" s="18">
        <v>0.3333333432674408</v>
      </c>
      <c r="O66" s="29">
        <v>1.1366442441940308</v>
      </c>
      <c r="P66" s="103">
        <v>1.3086420297622681</v>
      </c>
      <c r="Q66" s="91">
        <v>0.96464645862579346</v>
      </c>
    </row>
    <row r="67" spans="1:17" x14ac:dyDescent="0.2">
      <c r="A67" s="83" t="s">
        <v>63</v>
      </c>
      <c r="B67" s="46" t="s">
        <v>31</v>
      </c>
      <c r="C67" s="82" t="s">
        <v>133</v>
      </c>
      <c r="D67" s="309" t="str">
        <f>VLOOKUP(A67,'[1]List of economies'!$B$2:$F$219,4,FALSE)</f>
        <v>HIC</v>
      </c>
      <c r="E67" s="10">
        <v>2018</v>
      </c>
      <c r="F67" s="120">
        <f t="shared" si="2"/>
        <v>1.4254511594772339</v>
      </c>
      <c r="G67" s="134">
        <v>1.579744815826416</v>
      </c>
      <c r="H67" s="103">
        <v>1.0382775068283081</v>
      </c>
      <c r="I67" s="91">
        <v>2.1212120056152344</v>
      </c>
      <c r="J67" s="126">
        <v>1.3397904634475708</v>
      </c>
      <c r="K67" s="103">
        <v>1.2850877046585083</v>
      </c>
      <c r="L67" s="110">
        <v>0.66666668653488159</v>
      </c>
      <c r="M67" s="110">
        <v>2.1140351295471191</v>
      </c>
      <c r="N67" s="18">
        <v>1.2933722734451294</v>
      </c>
      <c r="O67" s="29">
        <v>1.3568181991577148</v>
      </c>
      <c r="P67" s="103">
        <v>1.3500000238418579</v>
      </c>
      <c r="Q67" s="91">
        <v>1.3636363744735718</v>
      </c>
    </row>
    <row r="68" spans="1:17" x14ac:dyDescent="0.2">
      <c r="A68" s="83" t="s">
        <v>77</v>
      </c>
      <c r="B68" s="46" t="s">
        <v>47</v>
      </c>
      <c r="C68" s="82" t="s">
        <v>133</v>
      </c>
      <c r="D68" s="309" t="str">
        <f>VLOOKUP(A68,'[1]List of economies'!$B$2:$F$219,4,FALSE)</f>
        <v>HIC</v>
      </c>
      <c r="E68" s="10">
        <v>2018</v>
      </c>
      <c r="F68" s="120">
        <f t="shared" si="2"/>
        <v>1.7850589354832966</v>
      </c>
      <c r="G68" s="134">
        <v>1.9313397407531738</v>
      </c>
      <c r="H68" s="103">
        <v>0.69999998807907104</v>
      </c>
      <c r="I68" s="91">
        <v>3.1626794338226318</v>
      </c>
      <c r="J68" s="126">
        <v>1.5715643167495728</v>
      </c>
      <c r="K68" s="103">
        <v>3.1973683834075928</v>
      </c>
      <c r="L68" s="110">
        <v>0.66666668653488159</v>
      </c>
      <c r="M68" s="110">
        <v>0.69999998807907104</v>
      </c>
      <c r="N68" s="18">
        <v>1.7222222089767456</v>
      </c>
      <c r="O68" s="29">
        <v>1.8522727489471436</v>
      </c>
      <c r="P68" s="103">
        <v>1.25</v>
      </c>
      <c r="Q68" s="91">
        <v>2.4545454978942871</v>
      </c>
    </row>
    <row r="69" spans="1:17" x14ac:dyDescent="0.2">
      <c r="A69" s="83" t="s">
        <v>98</v>
      </c>
      <c r="B69" s="46" t="s">
        <v>97</v>
      </c>
      <c r="C69" s="305" t="s">
        <v>134</v>
      </c>
      <c r="D69" s="309" t="str">
        <f>VLOOKUP(A69,'[1]List of economies'!$B$2:$F$219,4,FALSE)</f>
        <v>UMC</v>
      </c>
      <c r="E69" s="10">
        <v>2018</v>
      </c>
      <c r="F69" s="120">
        <f t="shared" si="2"/>
        <v>1.9969741900761921</v>
      </c>
      <c r="G69" s="134">
        <v>2.1224880218505859</v>
      </c>
      <c r="H69" s="103">
        <v>2.1684210300445557</v>
      </c>
      <c r="I69" s="91">
        <v>2.0765550136566162</v>
      </c>
      <c r="J69" s="126">
        <v>1.6916667222976685</v>
      </c>
      <c r="K69" s="103">
        <v>2</v>
      </c>
      <c r="L69" s="110">
        <v>0.66666668653488159</v>
      </c>
      <c r="M69" s="110">
        <v>2.4333333969116211</v>
      </c>
      <c r="N69" s="18">
        <v>1.6666666269302368</v>
      </c>
      <c r="O69" s="29">
        <v>2.1767678260803223</v>
      </c>
      <c r="P69" s="103">
        <v>2.1111111640930176</v>
      </c>
      <c r="Q69" s="91">
        <v>2.2424242496490479</v>
      </c>
    </row>
    <row r="70" spans="1:17" x14ac:dyDescent="0.2">
      <c r="A70" s="83" t="s">
        <v>78</v>
      </c>
      <c r="B70" s="46" t="s">
        <v>28</v>
      </c>
      <c r="C70" s="305" t="s">
        <v>134</v>
      </c>
      <c r="D70" s="309" t="str">
        <f>VLOOKUP(A70,'[1]List of economies'!$B$2:$F$219,4,FALSE)</f>
        <v>HIC</v>
      </c>
      <c r="E70" s="10">
        <v>2018</v>
      </c>
      <c r="F70" s="120">
        <f t="shared" si="2"/>
        <v>3.1937852700551352</v>
      </c>
      <c r="G70" s="134">
        <v>4.2189474105834961</v>
      </c>
      <c r="H70" s="103">
        <v>4.2189474105834961</v>
      </c>
      <c r="I70" s="91" t="s">
        <v>173</v>
      </c>
      <c r="J70" s="126">
        <v>3.5428071022033691</v>
      </c>
      <c r="K70" s="103">
        <v>5.4378948211669922</v>
      </c>
      <c r="L70" s="110">
        <v>3.3333332538604736</v>
      </c>
      <c r="M70" s="110">
        <v>2.4000000953674316</v>
      </c>
      <c r="N70" s="18">
        <v>3</v>
      </c>
      <c r="O70" s="29">
        <v>1.81960129737854</v>
      </c>
      <c r="P70" s="103">
        <v>1.9856140613555908</v>
      </c>
      <c r="Q70" s="91">
        <v>1.6535885334014893</v>
      </c>
    </row>
    <row r="71" spans="1:17" x14ac:dyDescent="0.2">
      <c r="A71" s="83" t="s">
        <v>64</v>
      </c>
      <c r="B71" s="46" t="s">
        <v>60</v>
      </c>
      <c r="C71" s="82" t="s">
        <v>133</v>
      </c>
      <c r="D71" s="309" t="str">
        <f>VLOOKUP(A71,'[1]List of economies'!$B$2:$F$219,4,FALSE)</f>
        <v>HIC</v>
      </c>
      <c r="E71" s="10">
        <v>2018</v>
      </c>
      <c r="F71" s="120">
        <f t="shared" si="2"/>
        <v>1.2349392970403035</v>
      </c>
      <c r="G71" s="134">
        <v>0.82336521148681641</v>
      </c>
      <c r="H71" s="103">
        <v>0.8133971095085144</v>
      </c>
      <c r="I71" s="91">
        <v>0.83333331346511841</v>
      </c>
      <c r="J71" s="126">
        <v>1.2079678773880005</v>
      </c>
      <c r="K71" s="103">
        <v>0.74122804403305054</v>
      </c>
      <c r="L71" s="110">
        <v>0.75730991363525391</v>
      </c>
      <c r="M71" s="110">
        <v>2</v>
      </c>
      <c r="N71" s="18">
        <v>1.3333333730697632</v>
      </c>
      <c r="O71" s="29">
        <v>1.6734848022460938</v>
      </c>
      <c r="P71" s="103">
        <v>1.6499999761581421</v>
      </c>
      <c r="Q71" s="91">
        <v>1.696969747543335</v>
      </c>
    </row>
    <row r="72" spans="1:17" x14ac:dyDescent="0.2">
      <c r="A72" s="83" t="s">
        <v>79</v>
      </c>
      <c r="B72" s="46" t="s">
        <v>54</v>
      </c>
      <c r="C72" s="82" t="s">
        <v>133</v>
      </c>
      <c r="D72" s="309" t="str">
        <f>VLOOKUP(A72,'[1]List of economies'!$B$2:$F$219,4,FALSE)</f>
        <v>HIC</v>
      </c>
      <c r="E72" s="10">
        <v>2018</v>
      </c>
      <c r="F72" s="120">
        <f t="shared" si="2"/>
        <v>0.92040324211120605</v>
      </c>
      <c r="G72" s="134">
        <v>0.75312334299087524</v>
      </c>
      <c r="H72" s="103">
        <v>0.50478470325469971</v>
      </c>
      <c r="I72" s="91">
        <v>1.0014619827270508</v>
      </c>
      <c r="J72" s="126">
        <v>0.68005603551864624</v>
      </c>
      <c r="K72" s="103">
        <v>0.46271929144859314</v>
      </c>
      <c r="L72" s="110">
        <v>0</v>
      </c>
      <c r="M72" s="110">
        <v>1.7000000476837158</v>
      </c>
      <c r="N72" s="18">
        <v>0.55750489234924316</v>
      </c>
      <c r="O72" s="29">
        <v>1.3280303478240967</v>
      </c>
      <c r="P72" s="103">
        <v>1.0499999523162842</v>
      </c>
      <c r="Q72" s="91">
        <v>1.6060606241226196</v>
      </c>
    </row>
    <row r="73" spans="1:17" x14ac:dyDescent="0.2">
      <c r="A73" s="83" t="s">
        <v>65</v>
      </c>
      <c r="B73" s="46" t="s">
        <v>34</v>
      </c>
      <c r="C73" s="82" t="s">
        <v>133</v>
      </c>
      <c r="D73" s="309" t="str">
        <f>VLOOKUP(A73,'[1]List of economies'!$B$2:$F$219,4,FALSE)</f>
        <v>HIC</v>
      </c>
      <c r="E73" s="10">
        <v>2018</v>
      </c>
      <c r="F73" s="120">
        <f t="shared" si="2"/>
        <v>1.1550504763921101</v>
      </c>
      <c r="G73" s="135">
        <v>0.97412276268005371</v>
      </c>
      <c r="H73" s="103">
        <v>1.0315788984298706</v>
      </c>
      <c r="I73" s="91">
        <v>0.91666668653488159</v>
      </c>
      <c r="J73" s="127">
        <v>1.0050438642501831</v>
      </c>
      <c r="K73" s="103">
        <v>0.55789476633071899</v>
      </c>
      <c r="L73" s="110">
        <v>0.86228072643280029</v>
      </c>
      <c r="M73" s="110">
        <v>2.0999999046325684</v>
      </c>
      <c r="N73" s="18">
        <v>0.5</v>
      </c>
      <c r="O73" s="29">
        <v>1.4859848022460938</v>
      </c>
      <c r="P73" s="103">
        <v>1.2749999761581421</v>
      </c>
      <c r="Q73" s="91">
        <v>1.696969747543335</v>
      </c>
    </row>
    <row r="74" spans="1:17" x14ac:dyDescent="0.2">
      <c r="A74" s="83" t="s">
        <v>66</v>
      </c>
      <c r="B74" s="46" t="s">
        <v>38</v>
      </c>
      <c r="C74" s="82" t="s">
        <v>133</v>
      </c>
      <c r="D74" s="309" t="str">
        <f>VLOOKUP(A74,'[1]List of economies'!$B$2:$F$219,4,FALSE)</f>
        <v>HIC</v>
      </c>
      <c r="E74" s="10">
        <v>2018</v>
      </c>
      <c r="F74" s="120">
        <f t="shared" si="2"/>
        <v>1.601747711499532</v>
      </c>
      <c r="G74" s="135">
        <v>2.0095694065093994</v>
      </c>
      <c r="H74" s="103">
        <v>0.83732056617736816</v>
      </c>
      <c r="I74" s="91">
        <v>3.1818182468414307</v>
      </c>
      <c r="J74" s="127">
        <v>1.0528508424758911</v>
      </c>
      <c r="K74" s="103">
        <v>1.4517543315887451</v>
      </c>
      <c r="L74" s="110">
        <v>7.8947365283966064E-2</v>
      </c>
      <c r="M74" s="110">
        <v>1.8473684787750244</v>
      </c>
      <c r="N74" s="18">
        <v>0.83333331346511841</v>
      </c>
      <c r="O74" s="31">
        <v>1.7428228855133057</v>
      </c>
      <c r="P74" s="103">
        <v>1.4210525751113892</v>
      </c>
      <c r="Q74" s="91">
        <v>2.0645933151245117</v>
      </c>
    </row>
    <row r="75" spans="1:17" x14ac:dyDescent="0.2">
      <c r="A75" s="83" t="s">
        <v>67</v>
      </c>
      <c r="B75" s="46" t="s">
        <v>48</v>
      </c>
      <c r="C75" s="82" t="s">
        <v>133</v>
      </c>
      <c r="D75" s="309" t="str">
        <f>VLOOKUP(A75,'[1]List of economies'!$B$2:$F$219,4,FALSE)</f>
        <v>HIC</v>
      </c>
      <c r="E75" s="10">
        <v>2018</v>
      </c>
      <c r="F75" s="120">
        <f t="shared" si="2"/>
        <v>1.2605617046356201</v>
      </c>
      <c r="G75" s="135">
        <v>1.2837917804718018</v>
      </c>
      <c r="H75" s="103">
        <v>1.1004784107208252</v>
      </c>
      <c r="I75" s="91">
        <v>1.4671052694320679</v>
      </c>
      <c r="J75" s="127">
        <v>1.1488304138183594</v>
      </c>
      <c r="K75" s="103">
        <v>2.6210527420043945</v>
      </c>
      <c r="L75" s="110">
        <v>0.12280701100826263</v>
      </c>
      <c r="M75" s="110">
        <v>1.5736842155456543</v>
      </c>
      <c r="N75" s="18">
        <v>0.27777779102325439</v>
      </c>
      <c r="O75" s="31">
        <v>1.3490629196166992</v>
      </c>
      <c r="P75" s="103">
        <v>1.3855262994766235</v>
      </c>
      <c r="Q75" s="91">
        <v>1.3125996589660645</v>
      </c>
    </row>
    <row r="76" spans="1:17" x14ac:dyDescent="0.2">
      <c r="A76" s="83" t="s">
        <v>80</v>
      </c>
      <c r="B76" s="46" t="s">
        <v>51</v>
      </c>
      <c r="C76" s="82" t="s">
        <v>133</v>
      </c>
      <c r="D76" s="309" t="str">
        <f>VLOOKUP(A76,'[1]List of economies'!$B$2:$F$219,4,FALSE)</f>
        <v>HIC</v>
      </c>
      <c r="E76" s="10">
        <v>2018</v>
      </c>
      <c r="F76" s="120">
        <f t="shared" si="2"/>
        <v>0.9596037666002909</v>
      </c>
      <c r="G76" s="135">
        <v>0.69868826866149902</v>
      </c>
      <c r="H76" s="103">
        <v>0.5</v>
      </c>
      <c r="I76" s="91">
        <v>0.89737653732299805</v>
      </c>
      <c r="J76" s="127">
        <v>0.78731995820999146</v>
      </c>
      <c r="K76" s="103">
        <v>0.63425928354263306</v>
      </c>
      <c r="L76" s="110">
        <v>6.6872432827949524E-2</v>
      </c>
      <c r="M76" s="110">
        <v>1.92037034034729</v>
      </c>
      <c r="N76" s="18">
        <v>0.52777779102325439</v>
      </c>
      <c r="O76" s="31">
        <v>1.3928030729293823</v>
      </c>
      <c r="P76" s="103">
        <v>1.5305556058883667</v>
      </c>
      <c r="Q76" s="91">
        <v>1.2550505399703979</v>
      </c>
    </row>
    <row r="77" spans="1:17" x14ac:dyDescent="0.2">
      <c r="A77" s="83" t="s">
        <v>92</v>
      </c>
      <c r="B77" s="46" t="s">
        <v>46</v>
      </c>
      <c r="C77" s="82" t="s">
        <v>133</v>
      </c>
      <c r="D77" s="309" t="str">
        <f>VLOOKUP(A77,'[1]List of economies'!$B$2:$F$219,4,FALSE)</f>
        <v>HIC</v>
      </c>
      <c r="E77" s="10">
        <v>2018</v>
      </c>
      <c r="F77" s="120">
        <f t="shared" si="2"/>
        <v>1.6833797693252563</v>
      </c>
      <c r="G77" s="134">
        <v>2.0456538200378418</v>
      </c>
      <c r="H77" s="103">
        <v>1.6746411323547363</v>
      </c>
      <c r="I77" s="91">
        <v>2.4166667461395264</v>
      </c>
      <c r="J77" s="127">
        <v>1.4131578207015991</v>
      </c>
      <c r="K77" s="103">
        <v>2</v>
      </c>
      <c r="L77" s="110">
        <v>0.71929824352264404</v>
      </c>
      <c r="M77" s="110">
        <v>2.0999999046325684</v>
      </c>
      <c r="N77" s="18">
        <v>0.83333331346511841</v>
      </c>
      <c r="O77" s="31">
        <v>1.5913276672363281</v>
      </c>
      <c r="P77" s="103">
        <v>1.4171051979064941</v>
      </c>
      <c r="Q77" s="91">
        <v>1.7655502557754517</v>
      </c>
    </row>
    <row r="78" spans="1:17" x14ac:dyDescent="0.2">
      <c r="A78" s="83" t="s">
        <v>122</v>
      </c>
      <c r="B78" s="46" t="s">
        <v>121</v>
      </c>
      <c r="C78" s="82" t="s">
        <v>133</v>
      </c>
      <c r="D78" s="309" t="str">
        <f>VLOOKUP(A78,'[1]List of economies'!$B$2:$F$219,4,FALSE)</f>
        <v>HIC</v>
      </c>
      <c r="E78" s="10">
        <v>2018</v>
      </c>
      <c r="F78" s="120">
        <f t="shared" si="2"/>
        <v>1.398761510848999</v>
      </c>
      <c r="G78" s="134">
        <v>1.6439814567565918</v>
      </c>
      <c r="H78" s="103">
        <v>1.0055555105209351</v>
      </c>
      <c r="I78" s="91">
        <v>2.2824075222015381</v>
      </c>
      <c r="J78" s="127">
        <v>1.5238940715789795</v>
      </c>
      <c r="K78" s="103">
        <v>0.42129629850387573</v>
      </c>
      <c r="L78" s="110">
        <v>2</v>
      </c>
      <c r="M78" s="110">
        <v>2.1351852416992188</v>
      </c>
      <c r="N78" s="18">
        <v>1.5390946865081787</v>
      </c>
      <c r="O78" s="31">
        <v>1.0284090042114258</v>
      </c>
      <c r="P78" s="103">
        <v>0.875</v>
      </c>
      <c r="Q78" s="91">
        <v>1.1818181276321411</v>
      </c>
    </row>
    <row r="79" spans="1:17" x14ac:dyDescent="0.2">
      <c r="A79" s="83" t="s">
        <v>82</v>
      </c>
      <c r="B79" s="46" t="s">
        <v>45</v>
      </c>
      <c r="C79" s="82" t="s">
        <v>133</v>
      </c>
      <c r="D79" s="309" t="str">
        <f>VLOOKUP(A79,'[1]List of economies'!$B$2:$F$219,4,FALSE)</f>
        <v>HIC</v>
      </c>
      <c r="E79" s="10">
        <v>2018</v>
      </c>
      <c r="F79" s="120">
        <f t="shared" si="2"/>
        <v>1.4068174362182617</v>
      </c>
      <c r="G79" s="134">
        <v>1.3875597715377808</v>
      </c>
      <c r="H79" s="103">
        <v>1.3875597715377808</v>
      </c>
      <c r="I79" s="91" t="s">
        <v>173</v>
      </c>
      <c r="J79" s="126">
        <v>1.1044834852218628</v>
      </c>
      <c r="K79" s="103" t="s">
        <v>173</v>
      </c>
      <c r="L79" s="110">
        <v>0.71345031261444092</v>
      </c>
      <c r="M79" s="110">
        <v>1.6000000238418579</v>
      </c>
      <c r="N79" s="18">
        <v>1</v>
      </c>
      <c r="O79" s="31">
        <v>1.7284090518951416</v>
      </c>
      <c r="P79" s="103">
        <v>1.2749999761581421</v>
      </c>
      <c r="Q79" s="91">
        <v>2.1818182468414307</v>
      </c>
    </row>
    <row r="80" spans="1:17" x14ac:dyDescent="0.2">
      <c r="A80" s="83" t="s">
        <v>95</v>
      </c>
      <c r="B80" s="46" t="s">
        <v>42</v>
      </c>
      <c r="C80" s="82" t="s">
        <v>133</v>
      </c>
      <c r="D80" s="309" t="str">
        <f>VLOOKUP(A80,'[1]List of economies'!$B$2:$F$219,4,FALSE)</f>
        <v>HIC</v>
      </c>
      <c r="E80" s="10">
        <v>2018</v>
      </c>
      <c r="F80" s="120">
        <f t="shared" si="2"/>
        <v>1.2828555901845295</v>
      </c>
      <c r="G80" s="134">
        <v>1.2372407913208008</v>
      </c>
      <c r="H80" s="103">
        <v>1.1411483287811279</v>
      </c>
      <c r="I80" s="91">
        <v>1.3333333730697632</v>
      </c>
      <c r="J80" s="126">
        <v>1.1253411769866943</v>
      </c>
      <c r="K80" s="103">
        <v>1.9254386425018311</v>
      </c>
      <c r="L80" s="110">
        <v>5.7504873722791672E-2</v>
      </c>
      <c r="M80" s="110">
        <v>1.8517544269561768</v>
      </c>
      <c r="N80" s="18">
        <v>0.66666668653488159</v>
      </c>
      <c r="O80" s="29">
        <v>1.4859848022460938</v>
      </c>
      <c r="P80" s="103">
        <v>1.2749999761581421</v>
      </c>
      <c r="Q80" s="91">
        <v>1.696969747543335</v>
      </c>
    </row>
    <row r="81" spans="1:17" ht="14.25" x14ac:dyDescent="0.2">
      <c r="A81" s="83" t="s">
        <v>68</v>
      </c>
      <c r="B81" s="46" t="s">
        <v>57</v>
      </c>
      <c r="C81" s="82" t="s">
        <v>133</v>
      </c>
      <c r="D81" s="309" t="str">
        <f>VLOOKUP(A81,'[1]List of economies'!$B$2:$F$219,4,FALSE)</f>
        <v>HIC</v>
      </c>
      <c r="E81" s="10">
        <v>2018</v>
      </c>
      <c r="F81" s="120">
        <f t="shared" si="2"/>
        <v>2.5593213240305581</v>
      </c>
      <c r="G81" s="134">
        <v>2.7174639701843262</v>
      </c>
      <c r="H81" s="103">
        <v>2.8894736766815186</v>
      </c>
      <c r="I81" s="91">
        <v>2.5454545021057129</v>
      </c>
      <c r="J81" s="126">
        <v>2.4195907115936279</v>
      </c>
      <c r="K81" s="103">
        <v>5.1789474487304688</v>
      </c>
      <c r="L81" s="110">
        <v>1.4736841917037964</v>
      </c>
      <c r="M81" s="110">
        <v>2.4000000953674316</v>
      </c>
      <c r="N81" s="18">
        <v>0.62573099136352539</v>
      </c>
      <c r="O81" s="29">
        <v>2.5409092903137207</v>
      </c>
      <c r="P81" s="103">
        <v>2.9000000953674316</v>
      </c>
      <c r="Q81" s="91">
        <v>2.1818182468414307</v>
      </c>
    </row>
    <row r="82" spans="1:17" x14ac:dyDescent="0.2">
      <c r="A82" s="83" t="s">
        <v>69</v>
      </c>
      <c r="B82" s="46" t="s">
        <v>30</v>
      </c>
      <c r="C82" s="82" t="s">
        <v>133</v>
      </c>
      <c r="D82" s="309" t="str">
        <f>VLOOKUP(A82,'[1]List of economies'!$B$2:$F$219,4,FALSE)</f>
        <v>HIC</v>
      </c>
      <c r="E82" s="10">
        <v>2018</v>
      </c>
      <c r="F82" s="120">
        <f t="shared" si="2"/>
        <v>0.89519757032394409</v>
      </c>
      <c r="G82" s="134">
        <v>0.85134238004684448</v>
      </c>
      <c r="H82" s="103">
        <v>0.5550239086151123</v>
      </c>
      <c r="I82" s="91">
        <v>1.1476608514785767</v>
      </c>
      <c r="J82" s="126">
        <v>0.80526316165924072</v>
      </c>
      <c r="K82" s="103">
        <v>0.76754385232925415</v>
      </c>
      <c r="L82" s="110">
        <v>0</v>
      </c>
      <c r="M82" s="110">
        <v>1.6201754808425903</v>
      </c>
      <c r="N82" s="18">
        <v>0.83333331346511841</v>
      </c>
      <c r="O82" s="29">
        <v>1.0289871692657471</v>
      </c>
      <c r="P82" s="103">
        <v>0.76052629947662354</v>
      </c>
      <c r="Q82" s="91">
        <v>1.2974481582641602</v>
      </c>
    </row>
    <row r="83" spans="1:17" x14ac:dyDescent="0.2">
      <c r="A83" s="83" t="s">
        <v>83</v>
      </c>
      <c r="B83" s="46" t="s">
        <v>29</v>
      </c>
      <c r="C83" s="82" t="s">
        <v>133</v>
      </c>
      <c r="D83" s="309" t="str">
        <f>VLOOKUP(A83,'[1]List of economies'!$B$2:$F$219,4,FALSE)</f>
        <v>HIC</v>
      </c>
      <c r="E83" s="10">
        <v>2018</v>
      </c>
      <c r="F83" s="120">
        <f t="shared" si="2"/>
        <v>1.8657029469807942</v>
      </c>
      <c r="G83" s="134">
        <v>1.9252393245697021</v>
      </c>
      <c r="H83" s="103">
        <v>1.6004785299301147</v>
      </c>
      <c r="I83" s="91">
        <v>2.25</v>
      </c>
      <c r="J83" s="126">
        <v>1.5322761535644531</v>
      </c>
      <c r="K83" s="103">
        <v>1.4605263471603394</v>
      </c>
      <c r="L83" s="110">
        <v>1.3333333730697632</v>
      </c>
      <c r="M83" s="110">
        <v>1.9463562965393066</v>
      </c>
      <c r="N83" s="18">
        <v>1.3888888359069824</v>
      </c>
      <c r="O83" s="29">
        <v>2.1395933628082275</v>
      </c>
      <c r="P83" s="103">
        <v>1.8605263233184814</v>
      </c>
      <c r="Q83" s="91">
        <v>2.4186604022979736</v>
      </c>
    </row>
    <row r="84" spans="1:17" x14ac:dyDescent="0.2">
      <c r="A84" s="83" t="s">
        <v>70</v>
      </c>
      <c r="B84" s="46" t="s">
        <v>33</v>
      </c>
      <c r="C84" s="82" t="s">
        <v>133</v>
      </c>
      <c r="D84" s="309" t="str">
        <f>VLOOKUP(A84,'[1]List of economies'!$B$2:$F$219,4,FALSE)</f>
        <v>HIC</v>
      </c>
      <c r="E84" s="10">
        <v>2018</v>
      </c>
      <c r="F84" s="120">
        <f t="shared" si="2"/>
        <v>2.1728843450546265</v>
      </c>
      <c r="G84" s="135">
        <v>3.2354068756103516</v>
      </c>
      <c r="H84" s="103">
        <v>2.5736842155456543</v>
      </c>
      <c r="I84" s="91">
        <v>3.8971292972564697</v>
      </c>
      <c r="J84" s="127">
        <v>1.5165795087814331</v>
      </c>
      <c r="K84" s="103">
        <v>1.5473684072494507</v>
      </c>
      <c r="L84" s="110">
        <v>0.82236844301223755</v>
      </c>
      <c r="M84" s="110">
        <v>2.307692289352417</v>
      </c>
      <c r="N84" s="18">
        <v>1.3888888359069824</v>
      </c>
      <c r="O84" s="31">
        <v>1.7666666507720947</v>
      </c>
      <c r="P84" s="103">
        <v>2.2000000476837158</v>
      </c>
      <c r="Q84" s="91">
        <v>1.3333333730697632</v>
      </c>
    </row>
    <row r="85" spans="1:17" x14ac:dyDescent="0.2">
      <c r="A85" s="83" t="s">
        <v>84</v>
      </c>
      <c r="B85" s="46" t="s">
        <v>43</v>
      </c>
      <c r="C85" s="82" t="s">
        <v>133</v>
      </c>
      <c r="D85" s="309" t="str">
        <f>VLOOKUP(A85,'[1]List of economies'!$B$2:$F$219,4,FALSE)</f>
        <v>HIC</v>
      </c>
      <c r="E85" s="10">
        <v>2018</v>
      </c>
      <c r="F85" s="120">
        <f t="shared" si="2"/>
        <v>1.2931496699651082</v>
      </c>
      <c r="G85" s="134">
        <v>1.6802730560302734</v>
      </c>
      <c r="H85" s="103">
        <v>1.4186602830886841</v>
      </c>
      <c r="I85" s="91">
        <v>1.9418859481811523</v>
      </c>
      <c r="J85" s="126">
        <v>1.0781432390213013</v>
      </c>
      <c r="K85" s="103">
        <v>0.60087716579437256</v>
      </c>
      <c r="L85" s="110">
        <v>0.84502923488616943</v>
      </c>
      <c r="M85" s="110">
        <v>1.7000000476837158</v>
      </c>
      <c r="N85" s="18">
        <v>1.1666666269302368</v>
      </c>
      <c r="O85" s="29">
        <v>1.12103271484375</v>
      </c>
      <c r="P85" s="103">
        <v>1.0355262756347656</v>
      </c>
      <c r="Q85" s="91">
        <v>1.2065390348434448</v>
      </c>
    </row>
    <row r="86" spans="1:17" x14ac:dyDescent="0.2">
      <c r="A86" s="83" t="s">
        <v>85</v>
      </c>
      <c r="B86" s="46" t="s">
        <v>36</v>
      </c>
      <c r="C86" s="82" t="s">
        <v>133</v>
      </c>
      <c r="D86" s="309" t="str">
        <f>VLOOKUP(A86,'[1]List of economies'!$B$2:$F$219,4,FALSE)</f>
        <v>HIC</v>
      </c>
      <c r="E86" s="10">
        <v>2018</v>
      </c>
      <c r="F86" s="120">
        <f t="shared" si="2"/>
        <v>1.4789938926696777</v>
      </c>
      <c r="G86" s="134">
        <v>1.8569378852844238</v>
      </c>
      <c r="H86" s="103">
        <v>2.3263158798217773</v>
      </c>
      <c r="I86" s="91">
        <v>1.3875597715377808</v>
      </c>
      <c r="J86" s="126">
        <v>1.4258770942687988</v>
      </c>
      <c r="K86" s="103">
        <v>0.87719297409057617</v>
      </c>
      <c r="L86" s="110">
        <v>2.2105262279510498</v>
      </c>
      <c r="M86" s="110">
        <v>1.7999999523162842</v>
      </c>
      <c r="N86" s="18">
        <v>0.81578946113586426</v>
      </c>
      <c r="O86" s="29">
        <v>1.1541666984558105</v>
      </c>
      <c r="P86" s="103">
        <v>0.97500002384185791</v>
      </c>
      <c r="Q86" s="91">
        <v>1.3333333730697632</v>
      </c>
    </row>
    <row r="87" spans="1:17" x14ac:dyDescent="0.2">
      <c r="A87" s="83" t="s">
        <v>71</v>
      </c>
      <c r="B87" s="46" t="s">
        <v>24</v>
      </c>
      <c r="C87" s="82" t="s">
        <v>133</v>
      </c>
      <c r="D87" s="309" t="str">
        <f>VLOOKUP(A87,'[1]List of economies'!$B$2:$F$219,4,FALSE)</f>
        <v>HIC</v>
      </c>
      <c r="E87" s="10">
        <v>2018</v>
      </c>
      <c r="F87" s="120">
        <f t="shared" si="2"/>
        <v>1.5149321953455608</v>
      </c>
      <c r="G87" s="134">
        <v>1.1601873636245728</v>
      </c>
      <c r="H87" s="103">
        <v>0.94976073503494263</v>
      </c>
      <c r="I87" s="91">
        <v>1.3706140518188477</v>
      </c>
      <c r="J87" s="126">
        <v>1.522587776184082</v>
      </c>
      <c r="K87" s="103">
        <v>3.0745613574981689</v>
      </c>
      <c r="L87" s="110">
        <v>0.81578946113586426</v>
      </c>
      <c r="M87" s="110">
        <v>1.2000000476837158</v>
      </c>
      <c r="N87" s="18">
        <v>1</v>
      </c>
      <c r="O87" s="29">
        <v>1.8620214462280273</v>
      </c>
      <c r="P87" s="103">
        <v>1.3197368383407593</v>
      </c>
      <c r="Q87" s="91">
        <v>2.404306173324585</v>
      </c>
    </row>
    <row r="88" spans="1:17" x14ac:dyDescent="0.2">
      <c r="A88" s="83" t="s">
        <v>110</v>
      </c>
      <c r="B88" s="46" t="s">
        <v>109</v>
      </c>
      <c r="C88" s="82" t="s">
        <v>133</v>
      </c>
      <c r="D88" s="309" t="str">
        <f>VLOOKUP(A88,'[1]List of economies'!$B$2:$F$219,4,FALSE)</f>
        <v>UMC</v>
      </c>
      <c r="E88" s="10">
        <v>2018</v>
      </c>
      <c r="F88" s="120">
        <f t="shared" si="2"/>
        <v>2.1680134932200112</v>
      </c>
      <c r="G88" s="134">
        <v>2.6087121963500977</v>
      </c>
      <c r="H88" s="103">
        <v>1.9249999523162842</v>
      </c>
      <c r="I88" s="91">
        <v>3.292424201965332</v>
      </c>
      <c r="J88" s="126">
        <v>2.2638888359069824</v>
      </c>
      <c r="K88" s="103">
        <v>4</v>
      </c>
      <c r="L88" s="110">
        <v>1.3333333730697632</v>
      </c>
      <c r="M88" s="110">
        <v>2</v>
      </c>
      <c r="N88" s="18">
        <v>1.7222222089767456</v>
      </c>
      <c r="O88" s="29">
        <v>1.6314394474029541</v>
      </c>
      <c r="P88" s="103">
        <v>1.4750000238418579</v>
      </c>
      <c r="Q88" s="91">
        <v>1.7878787517547607</v>
      </c>
    </row>
    <row r="89" spans="1:17" x14ac:dyDescent="0.2">
      <c r="A89" s="83" t="s">
        <v>123</v>
      </c>
      <c r="B89" s="46" t="s">
        <v>124</v>
      </c>
      <c r="C89" s="82" t="s">
        <v>133</v>
      </c>
      <c r="D89" s="309" t="str">
        <f>VLOOKUP(A89,'[1]List of economies'!$B$2:$F$219,4,FALSE)</f>
        <v>HIC</v>
      </c>
      <c r="E89" s="10">
        <v>2018</v>
      </c>
      <c r="F89" s="120">
        <f t="shared" si="2"/>
        <v>0.66055512428283691</v>
      </c>
      <c r="G89" s="134">
        <v>0.53535354137420654</v>
      </c>
      <c r="H89" s="103">
        <v>0.18181818723678589</v>
      </c>
      <c r="I89" s="91">
        <v>0.8888888955116272</v>
      </c>
      <c r="J89" s="126">
        <v>0.80767548084259033</v>
      </c>
      <c r="K89" s="103">
        <v>1.0657894611358643</v>
      </c>
      <c r="L89" s="110">
        <v>0.1315789520740509</v>
      </c>
      <c r="M89" s="110">
        <v>1.7000000476837158</v>
      </c>
      <c r="N89" s="18">
        <v>0.3333333432674408</v>
      </c>
      <c r="O89" s="29">
        <v>0.63863635063171387</v>
      </c>
      <c r="P89" s="103">
        <v>0.55000001192092896</v>
      </c>
      <c r="Q89" s="91">
        <v>0.72727274894714355</v>
      </c>
    </row>
    <row r="90" spans="1:17" x14ac:dyDescent="0.2">
      <c r="A90" s="83" t="s">
        <v>86</v>
      </c>
      <c r="B90" s="46" t="s">
        <v>35</v>
      </c>
      <c r="C90" s="82" t="s">
        <v>133</v>
      </c>
      <c r="D90" s="309" t="str">
        <f>VLOOKUP(A90,'[1]List of economies'!$B$2:$F$219,4,FALSE)</f>
        <v>HIC</v>
      </c>
      <c r="E90" s="10">
        <v>2018</v>
      </c>
      <c r="F90" s="120">
        <f t="shared" si="2"/>
        <v>1.7097380757331848</v>
      </c>
      <c r="G90" s="134">
        <v>2.022860050201416</v>
      </c>
      <c r="H90" s="103">
        <v>1.6626794338226318</v>
      </c>
      <c r="I90" s="91">
        <v>2.3830409049987793</v>
      </c>
      <c r="J90" s="126">
        <v>0.97828382253646851</v>
      </c>
      <c r="K90" s="103">
        <v>1.9578946828842163</v>
      </c>
      <c r="L90" s="110">
        <v>0.13255360722541809</v>
      </c>
      <c r="M90" s="110">
        <v>0.92307692766189575</v>
      </c>
      <c r="N90" s="18">
        <v>0.89961016178131104</v>
      </c>
      <c r="O90" s="29">
        <v>2.1280703544616699</v>
      </c>
      <c r="P90" s="103">
        <v>2.2561404705047607</v>
      </c>
      <c r="Q90" s="91">
        <v>2</v>
      </c>
    </row>
    <row r="91" spans="1:17" x14ac:dyDescent="0.2">
      <c r="A91" s="83" t="s">
        <v>72</v>
      </c>
      <c r="B91" s="46" t="s">
        <v>40</v>
      </c>
      <c r="C91" s="82" t="s">
        <v>133</v>
      </c>
      <c r="D91" s="309" t="str">
        <f>VLOOKUP(A91,'[1]List of economies'!$B$2:$F$219,4,FALSE)</f>
        <v>HIC</v>
      </c>
      <c r="E91" s="10">
        <v>2018</v>
      </c>
      <c r="F91" s="120">
        <f t="shared" si="2"/>
        <v>1.3797736565272014</v>
      </c>
      <c r="G91" s="134">
        <v>1.5828948020935059</v>
      </c>
      <c r="H91" s="103">
        <v>0.70789474248886108</v>
      </c>
      <c r="I91" s="91">
        <v>2.4578948020935059</v>
      </c>
      <c r="J91" s="126">
        <v>1.0856724977493286</v>
      </c>
      <c r="K91" s="103">
        <v>1.0263158082962036</v>
      </c>
      <c r="L91" s="110">
        <v>0.67251461744308472</v>
      </c>
      <c r="M91" s="110">
        <v>1.8105263710021973</v>
      </c>
      <c r="N91" s="18">
        <v>0.83333331346511841</v>
      </c>
      <c r="O91" s="29">
        <v>1.4707536697387695</v>
      </c>
      <c r="P91" s="103">
        <v>1.2907894849777222</v>
      </c>
      <c r="Q91" s="91">
        <v>1.6507177352905273</v>
      </c>
    </row>
    <row r="92" spans="1:17" x14ac:dyDescent="0.2">
      <c r="A92" s="83" t="s">
        <v>73</v>
      </c>
      <c r="B92" s="46" t="s">
        <v>44</v>
      </c>
      <c r="C92" s="82" t="s">
        <v>133</v>
      </c>
      <c r="D92" s="309" t="str">
        <f>VLOOKUP(A92,'[1]List of economies'!$B$2:$F$219,4,FALSE)</f>
        <v>HIC</v>
      </c>
      <c r="E92" s="10">
        <v>2018</v>
      </c>
      <c r="F92" s="120">
        <f t="shared" si="2"/>
        <v>1.4068924188613892</v>
      </c>
      <c r="G92" s="134">
        <v>1.8778908252716064</v>
      </c>
      <c r="H92" s="103">
        <v>1.4377990961074829</v>
      </c>
      <c r="I92" s="91">
        <v>2.3179824352264404</v>
      </c>
      <c r="J92" s="126">
        <v>1.1431652307510376</v>
      </c>
      <c r="K92" s="103">
        <v>0.63596493005752563</v>
      </c>
      <c r="L92" s="110">
        <v>0.80116957426071167</v>
      </c>
      <c r="M92" s="110">
        <v>1.7605262994766235</v>
      </c>
      <c r="N92" s="18">
        <v>1.375</v>
      </c>
      <c r="O92" s="29">
        <v>1.1996212005615234</v>
      </c>
      <c r="P92" s="103">
        <v>0.97500002384185791</v>
      </c>
      <c r="Q92" s="91">
        <v>1.424242377281189</v>
      </c>
    </row>
    <row r="93" spans="1:17" x14ac:dyDescent="0.2">
      <c r="A93" s="83" t="s">
        <v>87</v>
      </c>
      <c r="B93" s="46" t="s">
        <v>50</v>
      </c>
      <c r="C93" s="82" t="s">
        <v>133</v>
      </c>
      <c r="D93" s="309" t="str">
        <f>VLOOKUP(A93,'[1]List of economies'!$B$2:$F$219,4,FALSE)</f>
        <v>HIC</v>
      </c>
      <c r="E93" s="10">
        <v>2018</v>
      </c>
      <c r="F93" s="120">
        <f t="shared" si="2"/>
        <v>1.0108342170715332</v>
      </c>
      <c r="G93" s="134">
        <v>0.97348487377166748</v>
      </c>
      <c r="H93" s="103">
        <v>0.36363637447357178</v>
      </c>
      <c r="I93" s="91">
        <v>1.5833333730697632</v>
      </c>
      <c r="J93" s="126">
        <v>1.4624269008636475</v>
      </c>
      <c r="K93" s="103">
        <v>2.4780702590942383</v>
      </c>
      <c r="L93" s="110">
        <v>0.19298246502876282</v>
      </c>
      <c r="M93" s="110">
        <v>1.7999999523162842</v>
      </c>
      <c r="N93" s="18">
        <v>1.378654956817627</v>
      </c>
      <c r="O93" s="29">
        <v>0.59659087657928467</v>
      </c>
      <c r="P93" s="103">
        <v>0.375</v>
      </c>
      <c r="Q93" s="91">
        <v>0.81818181276321411</v>
      </c>
    </row>
    <row r="94" spans="1:17" x14ac:dyDescent="0.2">
      <c r="A94" s="83" t="s">
        <v>99</v>
      </c>
      <c r="B94" s="46" t="s">
        <v>100</v>
      </c>
      <c r="C94" s="82" t="s">
        <v>133</v>
      </c>
      <c r="D94" s="309" t="str">
        <f>VLOOKUP(A94,'[1]List of economies'!$B$2:$F$219,4,FALSE)</f>
        <v>HIC</v>
      </c>
      <c r="E94" s="10">
        <v>2018</v>
      </c>
      <c r="F94" s="120">
        <f t="shared" si="2"/>
        <v>1.2101768652598064</v>
      </c>
      <c r="G94" s="134">
        <v>1.3587021827697754</v>
      </c>
      <c r="H94" s="103">
        <v>1.1351674795150757</v>
      </c>
      <c r="I94" s="91">
        <v>1.5822368860244751</v>
      </c>
      <c r="J94" s="126">
        <v>1.0044041872024536</v>
      </c>
      <c r="K94" s="103">
        <v>0.66228067874908447</v>
      </c>
      <c r="L94" s="110">
        <v>8.2236841320991516E-2</v>
      </c>
      <c r="M94" s="110">
        <v>1.7000000476837158</v>
      </c>
      <c r="N94" s="18">
        <v>1.5730993747711182</v>
      </c>
      <c r="O94" s="29">
        <v>1.2674242258071899</v>
      </c>
      <c r="P94" s="103">
        <v>1.0499999523162842</v>
      </c>
      <c r="Q94" s="91">
        <v>1.4848484992980957</v>
      </c>
    </row>
    <row r="95" spans="1:17" x14ac:dyDescent="0.2">
      <c r="A95" s="83" t="s">
        <v>88</v>
      </c>
      <c r="B95" s="46" t="s">
        <v>41</v>
      </c>
      <c r="C95" s="82" t="s">
        <v>133</v>
      </c>
      <c r="D95" s="309" t="str">
        <f>VLOOKUP(A95,'[1]List of economies'!$B$2:$F$219,4,FALSE)</f>
        <v>HIC</v>
      </c>
      <c r="E95" s="10">
        <v>2018</v>
      </c>
      <c r="F95" s="120">
        <f t="shared" si="2"/>
        <v>1.3580387036005657</v>
      </c>
      <c r="G95" s="134">
        <v>0.99720895290374756</v>
      </c>
      <c r="H95" s="103">
        <v>0.80143541097640991</v>
      </c>
      <c r="I95" s="91">
        <v>1.1929824352264404</v>
      </c>
      <c r="J95" s="126">
        <v>1.5910818576812744</v>
      </c>
      <c r="K95" s="103">
        <v>1.0526316165924072</v>
      </c>
      <c r="L95" s="110">
        <v>2</v>
      </c>
      <c r="M95" s="110">
        <v>2.7999999523162842</v>
      </c>
      <c r="N95" s="18">
        <v>0.51169592142105103</v>
      </c>
      <c r="O95" s="29">
        <v>1.4858253002166748</v>
      </c>
      <c r="P95" s="103">
        <v>1.3065789937973022</v>
      </c>
      <c r="Q95" s="91">
        <v>1.6650717258453369</v>
      </c>
    </row>
    <row r="96" spans="1:17" x14ac:dyDescent="0.2">
      <c r="A96" s="83" t="s">
        <v>89</v>
      </c>
      <c r="B96" s="46" t="s">
        <v>39</v>
      </c>
      <c r="C96" s="82" t="s">
        <v>133</v>
      </c>
      <c r="D96" s="309" t="str">
        <f>VLOOKUP(A96,'[1]List of economies'!$B$2:$F$219,4,FALSE)</f>
        <v>HIC</v>
      </c>
      <c r="E96" s="10">
        <v>2018</v>
      </c>
      <c r="F96" s="120">
        <f t="shared" si="2"/>
        <v>1.0788520971934001</v>
      </c>
      <c r="G96" s="134">
        <v>0.61742424964904785</v>
      </c>
      <c r="H96" s="103">
        <v>0.31818181276321411</v>
      </c>
      <c r="I96" s="91">
        <v>0.91666668653488159</v>
      </c>
      <c r="J96" s="126">
        <v>1.1634502410888672</v>
      </c>
      <c r="K96" s="103">
        <v>2.6228070259094238</v>
      </c>
      <c r="L96" s="110">
        <v>6.4327485859394073E-2</v>
      </c>
      <c r="M96" s="110">
        <v>1.7999999523162842</v>
      </c>
      <c r="N96" s="18">
        <v>0.1666666716337204</v>
      </c>
      <c r="O96" s="29">
        <v>1.4556818008422852</v>
      </c>
      <c r="P96" s="103">
        <v>1.2749999761581421</v>
      </c>
      <c r="Q96" s="91">
        <v>1.6363636255264282</v>
      </c>
    </row>
    <row r="97" spans="1:17" x14ac:dyDescent="0.2">
      <c r="A97" s="83" t="s">
        <v>74</v>
      </c>
      <c r="B97" s="46" t="s">
        <v>32</v>
      </c>
      <c r="C97" s="82" t="s">
        <v>133</v>
      </c>
      <c r="D97" s="309" t="str">
        <f>VLOOKUP(A97,'[1]List of economies'!$B$2:$F$219,4,FALSE)</f>
        <v>HIC</v>
      </c>
      <c r="E97" s="10">
        <v>2018</v>
      </c>
      <c r="F97" s="120">
        <f t="shared" si="2"/>
        <v>1.1728490988413494</v>
      </c>
      <c r="G97" s="134">
        <v>1.3421052694320679</v>
      </c>
      <c r="H97" s="103">
        <v>0.93421053886413574</v>
      </c>
      <c r="I97" s="91">
        <v>1.75</v>
      </c>
      <c r="J97" s="126">
        <v>0.68326020240783691</v>
      </c>
      <c r="K97" s="103">
        <v>0.42543858289718628</v>
      </c>
      <c r="L97" s="110">
        <v>0.6871345043182373</v>
      </c>
      <c r="M97" s="110">
        <v>1.1000000238418579</v>
      </c>
      <c r="N97" s="18">
        <v>0.52046781778335571</v>
      </c>
      <c r="O97" s="29">
        <v>1.4931818246841431</v>
      </c>
      <c r="P97" s="103">
        <v>1.3500000238418579</v>
      </c>
      <c r="Q97" s="91">
        <v>1.6363636255264282</v>
      </c>
    </row>
    <row r="98" spans="1:17" x14ac:dyDescent="0.2">
      <c r="A98" s="83" t="s">
        <v>90</v>
      </c>
      <c r="B98" s="46" t="s">
        <v>26</v>
      </c>
      <c r="C98" s="82" t="s">
        <v>133</v>
      </c>
      <c r="D98" s="309" t="str">
        <f>VLOOKUP(A98,'[1]List of economies'!$B$2:$F$219,4,FALSE)</f>
        <v>HIC</v>
      </c>
      <c r="E98" s="10">
        <v>2018</v>
      </c>
      <c r="F98" s="120">
        <f t="shared" si="2"/>
        <v>2.1122762759526572</v>
      </c>
      <c r="G98" s="134">
        <v>2.5529904365539551</v>
      </c>
      <c r="H98" s="103">
        <v>1.50789475440979</v>
      </c>
      <c r="I98" s="91">
        <v>3.5980861186981201</v>
      </c>
      <c r="J98" s="126">
        <v>1.5891813039779663</v>
      </c>
      <c r="K98" s="103">
        <v>1.9157894849777222</v>
      </c>
      <c r="L98" s="110">
        <v>0.72514617443084717</v>
      </c>
      <c r="M98" s="110">
        <v>2.9000000953674316</v>
      </c>
      <c r="N98" s="18">
        <v>0.81578946113586426</v>
      </c>
      <c r="O98" s="29">
        <v>2.1946570873260498</v>
      </c>
      <c r="P98" s="103">
        <v>1.7912280559539795</v>
      </c>
      <c r="Q98" s="91">
        <v>2.5980861186981201</v>
      </c>
    </row>
    <row r="99" spans="1:17" x14ac:dyDescent="0.2">
      <c r="A99" s="83" t="s">
        <v>91</v>
      </c>
      <c r="B99" s="46" t="s">
        <v>52</v>
      </c>
      <c r="C99" s="82" t="s">
        <v>133</v>
      </c>
      <c r="D99" s="309" t="str">
        <f>VLOOKUP(A99,'[1]List of economies'!$B$2:$F$219,4,FALSE)</f>
        <v>UMC</v>
      </c>
      <c r="E99" s="10">
        <v>2018</v>
      </c>
      <c r="F99" s="120">
        <f t="shared" si="2"/>
        <v>1.8712355295817058</v>
      </c>
      <c r="G99" s="134">
        <v>2.4242424964904785</v>
      </c>
      <c r="H99" s="103">
        <v>2.1616160869598389</v>
      </c>
      <c r="I99" s="91">
        <v>2.6868686676025391</v>
      </c>
      <c r="J99" s="126">
        <v>1.8469135761260986</v>
      </c>
      <c r="K99" s="103">
        <v>0.92592591047286987</v>
      </c>
      <c r="L99" s="110">
        <v>1.7283951044082642</v>
      </c>
      <c r="M99" s="110">
        <v>2.9000000953674316</v>
      </c>
      <c r="N99" s="18">
        <v>1.8333333730697632</v>
      </c>
      <c r="O99" s="29">
        <v>1.34255051612854</v>
      </c>
      <c r="P99" s="103">
        <v>1.230555534362793</v>
      </c>
      <c r="Q99" s="91">
        <v>1.4545454978942871</v>
      </c>
    </row>
    <row r="100" spans="1:17" x14ac:dyDescent="0.2">
      <c r="A100" s="83" t="s">
        <v>81</v>
      </c>
      <c r="B100" s="46" t="s">
        <v>49</v>
      </c>
      <c r="C100" s="82" t="s">
        <v>133</v>
      </c>
      <c r="D100" s="309" t="str">
        <f>VLOOKUP(A100,'[1]List of economies'!$B$2:$F$219,4,FALSE)</f>
        <v>HIC</v>
      </c>
      <c r="E100" s="10">
        <v>2018</v>
      </c>
      <c r="F100" s="120">
        <f t="shared" si="2"/>
        <v>0.63320708274841309</v>
      </c>
      <c r="G100" s="134">
        <v>0.3125</v>
      </c>
      <c r="H100" s="103">
        <v>0</v>
      </c>
      <c r="I100" s="91">
        <v>0.625</v>
      </c>
      <c r="J100" s="126">
        <v>0.59166669845581055</v>
      </c>
      <c r="K100" s="103">
        <v>0.3333333432674408</v>
      </c>
      <c r="L100" s="110">
        <v>0</v>
      </c>
      <c r="M100" s="110">
        <v>1.2000000476837158</v>
      </c>
      <c r="N100" s="18">
        <v>0.83333331346511841</v>
      </c>
      <c r="O100" s="29">
        <v>0.99545454978942871</v>
      </c>
      <c r="P100" s="103">
        <v>0.89999997615814209</v>
      </c>
      <c r="Q100" s="91">
        <v>1.0909091234207153</v>
      </c>
    </row>
    <row r="101" spans="1:17" x14ac:dyDescent="0.2">
      <c r="A101" s="83" t="s">
        <v>105</v>
      </c>
      <c r="B101" s="46" t="s">
        <v>104</v>
      </c>
      <c r="C101" s="82" t="s">
        <v>133</v>
      </c>
      <c r="D101" s="309" t="str">
        <f>VLOOKUP(A101,'[1]List of economies'!$B$2:$F$219,4,FALSE)</f>
        <v>HIC</v>
      </c>
      <c r="E101" s="10">
        <v>2018</v>
      </c>
      <c r="F101" s="120">
        <f t="shared" si="2"/>
        <v>1.2378446261088054</v>
      </c>
      <c r="G101" s="134">
        <v>0.96464645862579346</v>
      </c>
      <c r="H101" s="103">
        <v>0.81818181276321411</v>
      </c>
      <c r="I101" s="91">
        <v>1.1111111640930176</v>
      </c>
      <c r="J101" s="126">
        <v>1.2882813215255737</v>
      </c>
      <c r="K101" s="103">
        <v>1.2864583730697632</v>
      </c>
      <c r="L101" s="110">
        <v>0.66666668653488159</v>
      </c>
      <c r="M101" s="110">
        <v>1.7000000476837158</v>
      </c>
      <c r="N101" s="18">
        <v>1.5</v>
      </c>
      <c r="O101" s="29">
        <v>1.4606060981750488</v>
      </c>
      <c r="P101" s="103">
        <v>1.4666666984558105</v>
      </c>
      <c r="Q101" s="91">
        <v>1.4545454978942871</v>
      </c>
    </row>
    <row r="102" spans="1:17" x14ac:dyDescent="0.2">
      <c r="A102" s="83" t="s">
        <v>270</v>
      </c>
      <c r="B102" s="46" t="s">
        <v>269</v>
      </c>
      <c r="C102" s="82" t="s">
        <v>134</v>
      </c>
      <c r="D102" s="309" t="str">
        <f>VLOOKUP(A102,'[1]List of economies'!$B$2:$F$219,4,FALSE)</f>
        <v>UMC</v>
      </c>
      <c r="E102" s="10">
        <v>2018</v>
      </c>
      <c r="F102" s="120">
        <f t="shared" ref="F102:F112" si="3">IF(AND(G102=".",J102=".",O102="."),".",AVERAGE(G102,J102,O102))</f>
        <v>2.8089624245961509</v>
      </c>
      <c r="G102" s="134">
        <v>2.6946172714233398</v>
      </c>
      <c r="H102" s="103">
        <v>2.1500000953674316</v>
      </c>
      <c r="I102" s="91">
        <v>3.239234447479248</v>
      </c>
      <c r="J102" s="126">
        <v>2.2209064960479736</v>
      </c>
      <c r="K102" s="103">
        <v>1.9912281036376953</v>
      </c>
      <c r="L102" s="110">
        <v>2.8128654956817627</v>
      </c>
      <c r="M102" s="110">
        <v>2.2666666507720947</v>
      </c>
      <c r="N102" s="18">
        <v>1.8128654956817627</v>
      </c>
      <c r="O102" s="29">
        <v>3.5113635063171387</v>
      </c>
      <c r="P102" s="103">
        <v>3.75</v>
      </c>
      <c r="Q102" s="91">
        <v>3.2727272510528564</v>
      </c>
    </row>
    <row r="103" spans="1:17" x14ac:dyDescent="0.2">
      <c r="A103" s="83" t="s">
        <v>75</v>
      </c>
      <c r="B103" s="46" t="s">
        <v>27</v>
      </c>
      <c r="C103" s="82" t="s">
        <v>133</v>
      </c>
      <c r="D103" s="309" t="str">
        <f>VLOOKUP(A103,'[1]List of economies'!$B$2:$F$219,4,FALSE)</f>
        <v>UMC</v>
      </c>
      <c r="E103" s="10">
        <v>2018</v>
      </c>
      <c r="F103" s="120">
        <f t="shared" si="3"/>
        <v>2.153866171836853</v>
      </c>
      <c r="G103" s="134">
        <v>2.7332534790039063</v>
      </c>
      <c r="H103" s="103">
        <v>2.3110048770904541</v>
      </c>
      <c r="I103" s="91">
        <v>3.1555023193359375</v>
      </c>
      <c r="J103" s="126">
        <v>1.5260721445083618</v>
      </c>
      <c r="K103" s="103">
        <v>1.4035087823867798</v>
      </c>
      <c r="L103" s="110">
        <v>8.9668616652488708E-2</v>
      </c>
      <c r="M103" s="110">
        <v>2.5</v>
      </c>
      <c r="N103" s="18">
        <v>2.1111111640930176</v>
      </c>
      <c r="O103" s="29">
        <v>2.202272891998291</v>
      </c>
      <c r="P103" s="103">
        <v>1.9500000476837158</v>
      </c>
      <c r="Q103" s="91">
        <v>2.4545454978942871</v>
      </c>
    </row>
    <row r="104" spans="1:17" x14ac:dyDescent="0.2">
      <c r="A104" s="83" t="s">
        <v>103</v>
      </c>
      <c r="B104" s="46" t="s">
        <v>102</v>
      </c>
      <c r="C104" s="82" t="s">
        <v>133</v>
      </c>
      <c r="D104" s="309" t="str">
        <f>VLOOKUP(A104,'[1]List of economies'!$B$2:$F$219,4,FALSE)</f>
        <v>HIC</v>
      </c>
      <c r="E104" s="10">
        <v>2018</v>
      </c>
      <c r="F104" s="120">
        <f t="shared" si="3"/>
        <v>1.2843145926793416</v>
      </c>
      <c r="G104" s="134">
        <v>1.7039473056793213</v>
      </c>
      <c r="H104" s="103">
        <v>1.1423444747924805</v>
      </c>
      <c r="I104" s="91">
        <v>2.2655501365661621</v>
      </c>
      <c r="J104" s="126">
        <v>0.94217836856842041</v>
      </c>
      <c r="K104" s="103">
        <v>0.68859648704528809</v>
      </c>
      <c r="L104" s="110">
        <v>0.74561405181884766</v>
      </c>
      <c r="M104" s="110">
        <v>1.7000000476837158</v>
      </c>
      <c r="N104" s="18">
        <v>0.63450294733047485</v>
      </c>
      <c r="O104" s="29">
        <v>1.2068181037902832</v>
      </c>
      <c r="P104" s="103">
        <v>1.0499999523162842</v>
      </c>
      <c r="Q104" s="91">
        <v>1.3636363744735718</v>
      </c>
    </row>
    <row r="105" spans="1:17" x14ac:dyDescent="0.2">
      <c r="A105" s="83" t="s">
        <v>106</v>
      </c>
      <c r="B105" s="46" t="s">
        <v>151</v>
      </c>
      <c r="C105" s="82" t="s">
        <v>134</v>
      </c>
      <c r="D105" s="309" t="str">
        <f>VLOOKUP(A105,'[1]List of economies'!$B$2:$F$219,4,FALSE)</f>
        <v>UMC</v>
      </c>
      <c r="E105" s="10">
        <v>2018</v>
      </c>
      <c r="F105" s="120">
        <f t="shared" si="3"/>
        <v>3.5260964234670005</v>
      </c>
      <c r="G105" s="134">
        <v>3.1413874626159668</v>
      </c>
      <c r="H105" s="103">
        <v>3.005263090133667</v>
      </c>
      <c r="I105" s="91">
        <v>3.2775118350982666</v>
      </c>
      <c r="J105" s="126">
        <v>2.92960524559021</v>
      </c>
      <c r="K105" s="103">
        <v>4.425438404083252</v>
      </c>
      <c r="L105" s="110">
        <v>3.6169590950012207</v>
      </c>
      <c r="M105" s="110">
        <v>2.1701755523681641</v>
      </c>
      <c r="N105" s="18">
        <v>1.5058479309082031</v>
      </c>
      <c r="O105" s="29">
        <v>4.5072965621948242</v>
      </c>
      <c r="P105" s="103">
        <v>5.0552630424499512</v>
      </c>
      <c r="Q105" s="91">
        <v>3.9593300819396973</v>
      </c>
    </row>
    <row r="106" spans="1:17" x14ac:dyDescent="0.2">
      <c r="A106" s="83" t="s">
        <v>93</v>
      </c>
      <c r="B106" s="46" t="s">
        <v>18</v>
      </c>
      <c r="C106" s="82" t="s">
        <v>133</v>
      </c>
      <c r="D106" s="309" t="str">
        <f>VLOOKUP(A106,'[1]List of economies'!$B$2:$F$219,4,FALSE)</f>
        <v>HIC</v>
      </c>
      <c r="E106" s="10">
        <v>2018</v>
      </c>
      <c r="F106" s="120">
        <f t="shared" si="3"/>
        <v>1.1523059407869976</v>
      </c>
      <c r="G106" s="134">
        <v>1.617457389831543</v>
      </c>
      <c r="H106" s="103">
        <v>1.2224880456924438</v>
      </c>
      <c r="I106" s="91">
        <v>2.0124268531799316</v>
      </c>
      <c r="J106" s="126">
        <v>0.80650585889816284</v>
      </c>
      <c r="K106" s="103">
        <v>0.74122804403305054</v>
      </c>
      <c r="L106" s="110">
        <v>0.27192983031272888</v>
      </c>
      <c r="M106" s="110">
        <v>1.3999999761581421</v>
      </c>
      <c r="N106" s="18">
        <v>0.8128654956817627</v>
      </c>
      <c r="O106" s="29">
        <v>1.0329545736312866</v>
      </c>
      <c r="P106" s="103">
        <v>0.97500002384185791</v>
      </c>
      <c r="Q106" s="91">
        <v>1.0909091234207153</v>
      </c>
    </row>
    <row r="107" spans="1:17" ht="14.25" x14ac:dyDescent="0.2">
      <c r="A107" s="83" t="s">
        <v>108</v>
      </c>
      <c r="B107" s="46" t="s">
        <v>232</v>
      </c>
      <c r="C107" s="82" t="s">
        <v>133</v>
      </c>
      <c r="D107" s="309" t="str">
        <f>VLOOKUP(A107,'[1]List of economies'!$B$2:$F$219,4,FALSE)</f>
        <v>HIC</v>
      </c>
      <c r="E107" s="10">
        <v>2018</v>
      </c>
      <c r="F107" s="120">
        <f t="shared" si="3"/>
        <v>1.7660287618637085</v>
      </c>
      <c r="G107" s="134">
        <v>2.3842105865478516</v>
      </c>
      <c r="H107" s="103">
        <v>2.3842105865478516</v>
      </c>
      <c r="I107" s="91" t="s">
        <v>173</v>
      </c>
      <c r="J107" s="126">
        <v>1.242165207862854</v>
      </c>
      <c r="K107" s="103" t="s">
        <v>173</v>
      </c>
      <c r="L107" s="110">
        <v>2</v>
      </c>
      <c r="M107" s="110">
        <v>1.615384578704834</v>
      </c>
      <c r="N107" s="18">
        <v>0.1111111119389534</v>
      </c>
      <c r="O107" s="29">
        <v>1.6717104911804199</v>
      </c>
      <c r="P107" s="103">
        <v>1.5592105388641357</v>
      </c>
      <c r="Q107" s="91">
        <v>1.7842105627059937</v>
      </c>
    </row>
    <row r="108" spans="1:17" x14ac:dyDescent="0.2">
      <c r="A108" s="83" t="s">
        <v>118</v>
      </c>
      <c r="B108" s="46" t="s">
        <v>117</v>
      </c>
      <c r="C108" s="82" t="s">
        <v>133</v>
      </c>
      <c r="D108" s="309" t="str">
        <f>VLOOKUP(A108,'[1]List of economies'!$B$2:$F$219,4,FALSE)</f>
        <v>UMC</v>
      </c>
      <c r="E108" s="10">
        <v>2018</v>
      </c>
      <c r="F108" s="120">
        <f t="shared" si="3"/>
        <v>3.1144415537516275</v>
      </c>
      <c r="G108" s="134">
        <v>3.436342716217041</v>
      </c>
      <c r="H108" s="104">
        <v>3.4305555820465088</v>
      </c>
      <c r="I108" s="92">
        <v>3.4421296119689941</v>
      </c>
      <c r="J108" s="126">
        <v>1.968724250793457</v>
      </c>
      <c r="K108" s="103">
        <v>2.6611111164093018</v>
      </c>
      <c r="L108" s="110">
        <v>1.3816872835159302</v>
      </c>
      <c r="M108" s="110">
        <v>2.0203704833984375</v>
      </c>
      <c r="N108" s="18">
        <v>1.8117283582687378</v>
      </c>
      <c r="O108" s="29">
        <v>3.9382576942443848</v>
      </c>
      <c r="P108" s="104">
        <v>4.0305557250976563</v>
      </c>
      <c r="Q108" s="92">
        <v>3.8459596633911133</v>
      </c>
    </row>
    <row r="109" spans="1:17" x14ac:dyDescent="0.2">
      <c r="A109" s="83" t="s">
        <v>120</v>
      </c>
      <c r="B109" s="46" t="s">
        <v>119</v>
      </c>
      <c r="C109" s="82" t="s">
        <v>133</v>
      </c>
      <c r="D109" s="309" t="str">
        <f>VLOOKUP(A109,'[1]List of economies'!$B$2:$F$219,4,FALSE)</f>
        <v>HIC</v>
      </c>
      <c r="E109" s="10">
        <v>2018</v>
      </c>
      <c r="F109" s="120">
        <f t="shared" si="3"/>
        <v>1.9690181612968445</v>
      </c>
      <c r="G109" s="134">
        <v>3.5355262756347656</v>
      </c>
      <c r="H109" s="104">
        <v>3.5355262756347656</v>
      </c>
      <c r="I109" s="92" t="s">
        <v>173</v>
      </c>
      <c r="J109" s="126">
        <v>0.77834635972976685</v>
      </c>
      <c r="K109" s="103" t="s">
        <v>173</v>
      </c>
      <c r="L109" s="110">
        <v>0</v>
      </c>
      <c r="M109" s="110">
        <v>1.125</v>
      </c>
      <c r="N109" s="18">
        <v>1.2100390195846558</v>
      </c>
      <c r="O109" s="29">
        <v>1.593181848526001</v>
      </c>
      <c r="P109" s="104">
        <v>1.5499999523162842</v>
      </c>
      <c r="Q109" s="92">
        <v>1.6363636255264282</v>
      </c>
    </row>
    <row r="110" spans="1:17" x14ac:dyDescent="0.2">
      <c r="A110" s="83" t="s">
        <v>115</v>
      </c>
      <c r="B110" s="46" t="s">
        <v>152</v>
      </c>
      <c r="C110" s="82" t="s">
        <v>134</v>
      </c>
      <c r="D110" s="309" t="str">
        <f>VLOOKUP(A110,'[1]List of economies'!$B$2:$F$219,4,FALSE)</f>
        <v>UMC</v>
      </c>
      <c r="E110" s="10">
        <v>2018</v>
      </c>
      <c r="F110" s="120">
        <f t="shared" si="3"/>
        <v>2.2063130935033164</v>
      </c>
      <c r="G110" s="134">
        <v>2.3204545974731445</v>
      </c>
      <c r="H110" s="104">
        <v>1.5499999523162842</v>
      </c>
      <c r="I110" s="92">
        <v>3.0909090042114258</v>
      </c>
      <c r="J110" s="126">
        <v>1.6499999761581421</v>
      </c>
      <c r="K110" s="103">
        <v>1</v>
      </c>
      <c r="L110" s="110">
        <v>2</v>
      </c>
      <c r="M110" s="110">
        <v>2.0999999046325684</v>
      </c>
      <c r="N110" s="18">
        <v>1.5</v>
      </c>
      <c r="O110" s="29">
        <v>2.6484847068786621</v>
      </c>
      <c r="P110" s="104">
        <v>3.5999999046325684</v>
      </c>
      <c r="Q110" s="92">
        <v>1.696969747543335</v>
      </c>
    </row>
    <row r="111" spans="1:17" x14ac:dyDescent="0.2">
      <c r="A111" s="83" t="s">
        <v>271</v>
      </c>
      <c r="B111" s="46" t="s">
        <v>272</v>
      </c>
      <c r="C111" s="82" t="s">
        <v>133</v>
      </c>
      <c r="D111" s="309" t="str">
        <f>VLOOKUP(A111,'[1]List of economies'!$B$2:$F$219,4,FALSE)</f>
        <v>HIC</v>
      </c>
      <c r="E111" s="10">
        <v>2018</v>
      </c>
      <c r="F111" s="120">
        <f t="shared" si="3"/>
        <v>1.0935124158859253</v>
      </c>
      <c r="G111" s="134">
        <v>1.5629984140396118</v>
      </c>
      <c r="H111" s="103">
        <v>1.3540669679641724</v>
      </c>
      <c r="I111" s="91">
        <v>1.7719298601150513</v>
      </c>
      <c r="J111" s="126">
        <v>1.1629934310913086</v>
      </c>
      <c r="K111" s="103">
        <v>0.98245614767074585</v>
      </c>
      <c r="L111" s="110">
        <v>0.80701756477355957</v>
      </c>
      <c r="M111" s="110">
        <v>1.7999999523162842</v>
      </c>
      <c r="N111" s="18">
        <v>1.0625</v>
      </c>
      <c r="O111" s="29">
        <v>0.55454540252685547</v>
      </c>
      <c r="P111" s="103">
        <v>0.53333330154418945</v>
      </c>
      <c r="Q111" s="91">
        <v>0.57575756311416626</v>
      </c>
    </row>
    <row r="112" spans="1:17" x14ac:dyDescent="0.2">
      <c r="A112" s="83" t="s">
        <v>94</v>
      </c>
      <c r="B112" s="46" t="s">
        <v>53</v>
      </c>
      <c r="C112" s="82" t="s">
        <v>133</v>
      </c>
      <c r="D112" s="309" t="str">
        <f>VLOOKUP(A112,'[1]List of economies'!$B$2:$F$219,4,FALSE)</f>
        <v>UMC</v>
      </c>
      <c r="E112" s="10">
        <v>2018</v>
      </c>
      <c r="F112" s="120">
        <f t="shared" si="3"/>
        <v>2.722350001335144</v>
      </c>
      <c r="G112" s="134">
        <v>3.9280862808227539</v>
      </c>
      <c r="H112" s="104">
        <v>4.2111110687255859</v>
      </c>
      <c r="I112" s="92">
        <v>3.645061731338501</v>
      </c>
      <c r="J112" s="126">
        <v>1.5430041551589966</v>
      </c>
      <c r="K112" s="103">
        <v>2.5185184478759766</v>
      </c>
      <c r="L112" s="110">
        <v>1.0123456716537476</v>
      </c>
      <c r="M112" s="110">
        <v>2.303703784942627</v>
      </c>
      <c r="N112" s="18">
        <v>0.33744856715202332</v>
      </c>
      <c r="O112" s="29">
        <v>2.6959595680236816</v>
      </c>
      <c r="P112" s="104">
        <v>2.7555556297302246</v>
      </c>
      <c r="Q112" s="92">
        <v>2.6363637447357178</v>
      </c>
    </row>
  </sheetData>
  <pageMargins left="0.7" right="0.7" top="0.75" bottom="0.75" header="0.3" footer="0.3"/>
  <pageSetup paperSize="9" scale="96" fitToWidth="0" orientation="landscape" r:id="rId1"/>
  <headerFooter>
    <oddFooter>&amp;R_x000D_&amp;1#&amp;"Calibri"&amp;10&amp;K000000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26DDB-0C17-4B2D-9B30-FA121A38AEDD}">
  <dimension ref="A1:T63"/>
  <sheetViews>
    <sheetView zoomScaleNormal="100" workbookViewId="0">
      <pane xSplit="2" ySplit="1" topLeftCell="C15" activePane="bottomRight" state="frozen"/>
      <selection pane="topRight" activeCell="B1" sqref="B1"/>
      <selection pane="bottomLeft" activeCell="A10" sqref="A10"/>
      <selection pane="bottomRight" activeCell="A69" sqref="A69:P119"/>
    </sheetView>
  </sheetViews>
  <sheetFormatPr defaultColWidth="9.140625" defaultRowHeight="12.75" x14ac:dyDescent="0.2"/>
  <cols>
    <col min="1" max="1" width="19.140625" style="15" bestFit="1" customWidth="1"/>
    <col min="2" max="2" width="27.85546875" style="15" customWidth="1"/>
    <col min="3" max="3" width="19.140625" style="77" bestFit="1" customWidth="1"/>
    <col min="4" max="4" width="19.140625" style="77" customWidth="1"/>
    <col min="5" max="5" width="26.85546875" style="10" customWidth="1"/>
    <col min="6" max="6" width="17.85546875" style="16" customWidth="1"/>
    <col min="7" max="7" width="13.42578125" style="16" customWidth="1"/>
    <col min="8" max="8" width="15.5703125" style="16" customWidth="1"/>
    <col min="9" max="9" width="15.85546875" style="16" customWidth="1"/>
    <col min="10" max="10" width="10.28515625" style="16" customWidth="1"/>
    <col min="11" max="11" width="9.5703125" style="16" customWidth="1"/>
    <col min="12" max="12" width="10.140625" style="16" customWidth="1"/>
    <col min="13" max="13" width="9.140625" style="16" customWidth="1"/>
    <col min="14" max="14" width="12.28515625" style="16" customWidth="1"/>
    <col min="15" max="15" width="13.28515625" style="16" customWidth="1"/>
    <col min="16" max="16" width="14" style="16" customWidth="1"/>
    <col min="17" max="17" width="13.42578125" style="16" customWidth="1"/>
    <col min="18" max="20" width="6.7109375" style="15" customWidth="1"/>
    <col min="21" max="16384" width="9.140625" style="15"/>
  </cols>
  <sheetData>
    <row r="1" spans="1:20" s="73" customFormat="1" ht="52.5" customHeight="1" x14ac:dyDescent="0.25">
      <c r="A1" s="87" t="s">
        <v>278</v>
      </c>
      <c r="B1" s="225" t="s">
        <v>279</v>
      </c>
      <c r="C1" s="84" t="s">
        <v>280</v>
      </c>
      <c r="D1" s="308" t="s">
        <v>281</v>
      </c>
      <c r="E1" s="306" t="s">
        <v>282</v>
      </c>
      <c r="F1" s="307" t="s">
        <v>283</v>
      </c>
      <c r="G1" s="131" t="s">
        <v>284</v>
      </c>
      <c r="H1" s="101" t="s">
        <v>285</v>
      </c>
      <c r="I1" s="89" t="s">
        <v>286</v>
      </c>
      <c r="J1" s="124" t="s">
        <v>287</v>
      </c>
      <c r="K1" s="101" t="s">
        <v>288</v>
      </c>
      <c r="L1" s="108" t="s">
        <v>289</v>
      </c>
      <c r="M1" s="108" t="s">
        <v>290</v>
      </c>
      <c r="N1" s="75" t="s">
        <v>291</v>
      </c>
      <c r="O1" s="116" t="s">
        <v>292</v>
      </c>
      <c r="P1" s="101" t="s">
        <v>293</v>
      </c>
      <c r="Q1" s="89" t="s">
        <v>294</v>
      </c>
    </row>
    <row r="2" spans="1:20" x14ac:dyDescent="0.2">
      <c r="A2" s="83" t="s">
        <v>62</v>
      </c>
      <c r="B2" s="66" t="s">
        <v>61</v>
      </c>
      <c r="C2" s="82" t="s">
        <v>133</v>
      </c>
      <c r="D2" s="309" t="str">
        <f>VLOOKUP(A2,'[1]List of economies'!$B$2:$F$219,4,FALSE)</f>
        <v>HIC</v>
      </c>
      <c r="E2" s="144">
        <v>44927</v>
      </c>
      <c r="F2" s="120">
        <f t="shared" ref="F2:F39" si="0">IF(AND(G2=".",J2=".",O2="."),".",AVERAGE(G2,J2,O2))</f>
        <v>1.1524336139361064</v>
      </c>
      <c r="G2" s="134">
        <v>0.79987376928329468</v>
      </c>
      <c r="H2" s="103">
        <v>0.36363637447357178</v>
      </c>
      <c r="I2" s="91">
        <v>1.2361111640930176</v>
      </c>
      <c r="J2" s="126">
        <v>1.8634278774261475</v>
      </c>
      <c r="K2" s="103">
        <v>3.8184211254119873</v>
      </c>
      <c r="L2" s="110">
        <v>0.66666668653488159</v>
      </c>
      <c r="M2" s="110">
        <v>1.4686235189437866</v>
      </c>
      <c r="N2" s="18">
        <v>1.5</v>
      </c>
      <c r="O2" s="29">
        <v>0.79399919509887695</v>
      </c>
      <c r="P2" s="103">
        <v>0.70921051502227783</v>
      </c>
      <c r="Q2" s="91">
        <v>0.87878787517547607</v>
      </c>
      <c r="R2" s="19"/>
      <c r="S2" s="19"/>
      <c r="T2" s="19"/>
    </row>
    <row r="3" spans="1:20" x14ac:dyDescent="0.2">
      <c r="A3" s="83" t="s">
        <v>76</v>
      </c>
      <c r="B3" s="66" t="s">
        <v>37</v>
      </c>
      <c r="C3" s="82" t="s">
        <v>133</v>
      </c>
      <c r="D3" s="309" t="str">
        <f>VLOOKUP(A3,'[1]List of economies'!$B$2:$F$219,4,FALSE)</f>
        <v>HIC</v>
      </c>
      <c r="E3" s="144">
        <v>44927</v>
      </c>
      <c r="F3" s="120">
        <f t="shared" si="0"/>
        <v>0.78079404433568322</v>
      </c>
      <c r="G3" s="134">
        <v>0.76325756311416626</v>
      </c>
      <c r="H3" s="103">
        <v>0.81818181276321411</v>
      </c>
      <c r="I3" s="91">
        <v>0.70833331346511841</v>
      </c>
      <c r="J3" s="126">
        <v>1.1018518209457397</v>
      </c>
      <c r="K3" s="103">
        <v>0.66666668653488159</v>
      </c>
      <c r="L3" s="110">
        <v>0.66666668653488159</v>
      </c>
      <c r="M3" s="110">
        <v>1.5</v>
      </c>
      <c r="N3" s="18">
        <v>1.5740740299224854</v>
      </c>
      <c r="O3" s="29">
        <v>0.47727274894714355</v>
      </c>
      <c r="P3" s="103">
        <v>0.5</v>
      </c>
      <c r="Q3" s="91">
        <v>0.45454546809196472</v>
      </c>
      <c r="R3" s="19"/>
      <c r="S3" s="19"/>
      <c r="T3" s="19"/>
    </row>
    <row r="4" spans="1:20" x14ac:dyDescent="0.2">
      <c r="A4" s="83" t="s">
        <v>114</v>
      </c>
      <c r="B4" s="66" t="s">
        <v>113</v>
      </c>
      <c r="C4" s="82" t="s">
        <v>133</v>
      </c>
      <c r="D4" s="309" t="str">
        <f>VLOOKUP(A4,'[1]List of economies'!$B$2:$F$219,4,FALSE)</f>
        <v>HIC</v>
      </c>
      <c r="E4" s="144">
        <v>44927</v>
      </c>
      <c r="F4" s="120">
        <f t="shared" si="0"/>
        <v>1.0804737408955891</v>
      </c>
      <c r="G4" s="134">
        <v>1</v>
      </c>
      <c r="H4" s="103">
        <v>1</v>
      </c>
      <c r="I4" s="91">
        <v>1</v>
      </c>
      <c r="J4" s="126">
        <v>1.1502314805984497</v>
      </c>
      <c r="K4" s="103">
        <v>0.46759259700775146</v>
      </c>
      <c r="L4" s="110">
        <v>2</v>
      </c>
      <c r="M4" s="111">
        <v>1.7999999523162842</v>
      </c>
      <c r="N4" s="18">
        <v>0.3333333432674408</v>
      </c>
      <c r="O4" s="29">
        <v>1.0911897420883179</v>
      </c>
      <c r="P4" s="103">
        <v>1.3086420297622681</v>
      </c>
      <c r="Q4" s="91">
        <v>0.8737373948097229</v>
      </c>
      <c r="R4" s="19"/>
      <c r="S4" s="19"/>
      <c r="T4" s="19"/>
    </row>
    <row r="5" spans="1:20" x14ac:dyDescent="0.2">
      <c r="A5" s="83" t="s">
        <v>63</v>
      </c>
      <c r="B5" s="66" t="s">
        <v>31</v>
      </c>
      <c r="C5" s="82" t="s">
        <v>133</v>
      </c>
      <c r="D5" s="309" t="str">
        <f>VLOOKUP(A5,'[1]List of economies'!$B$2:$F$219,4,FALSE)</f>
        <v>HIC</v>
      </c>
      <c r="E5" s="144">
        <v>44927</v>
      </c>
      <c r="F5" s="120">
        <f t="shared" si="0"/>
        <v>1.3754511674245198</v>
      </c>
      <c r="G5" s="134">
        <v>1.579744815826416</v>
      </c>
      <c r="H5" s="103">
        <v>1.0382775068283081</v>
      </c>
      <c r="I5" s="91">
        <v>2.1212120056152344</v>
      </c>
      <c r="J5" s="126">
        <v>1.1897904872894287</v>
      </c>
      <c r="K5" s="103">
        <v>1.2850877046585083</v>
      </c>
      <c r="L5" s="110">
        <v>0.66666668653488159</v>
      </c>
      <c r="M5" s="110">
        <v>1.5140351057052612</v>
      </c>
      <c r="N5" s="18">
        <v>1.2933722734451294</v>
      </c>
      <c r="O5" s="29">
        <v>1.3568181991577148</v>
      </c>
      <c r="P5" s="103">
        <v>1.3500000238418579</v>
      </c>
      <c r="Q5" s="91">
        <v>1.3636363744735718</v>
      </c>
      <c r="R5" s="19"/>
      <c r="S5" s="19"/>
      <c r="T5" s="19"/>
    </row>
    <row r="6" spans="1:20" x14ac:dyDescent="0.2">
      <c r="A6" s="83" t="s">
        <v>77</v>
      </c>
      <c r="B6" s="66" t="s">
        <v>47</v>
      </c>
      <c r="C6" s="82" t="s">
        <v>133</v>
      </c>
      <c r="D6" s="309" t="str">
        <f>VLOOKUP(A6,'[1]List of economies'!$B$2:$F$219,4,FALSE)</f>
        <v>HIC</v>
      </c>
      <c r="E6" s="144">
        <v>44927</v>
      </c>
      <c r="F6" s="120">
        <f t="shared" si="0"/>
        <v>1.7380892435709636</v>
      </c>
      <c r="G6" s="134">
        <v>1.8813397884368896</v>
      </c>
      <c r="H6" s="103">
        <v>0.60000002384185791</v>
      </c>
      <c r="I6" s="91">
        <v>3.1626794338226318</v>
      </c>
      <c r="J6" s="126">
        <v>1.5715643167495728</v>
      </c>
      <c r="K6" s="103">
        <v>3.1973683834075928</v>
      </c>
      <c r="L6" s="110">
        <v>0.66666668653488159</v>
      </c>
      <c r="M6" s="110">
        <v>0.69999998807907104</v>
      </c>
      <c r="N6" s="18">
        <v>1.7222222089767456</v>
      </c>
      <c r="O6" s="29">
        <v>1.7613636255264282</v>
      </c>
      <c r="P6" s="103">
        <v>1.25</v>
      </c>
      <c r="Q6" s="91">
        <v>2.2727272510528564</v>
      </c>
      <c r="R6" s="19"/>
      <c r="S6" s="19"/>
      <c r="T6" s="19"/>
    </row>
    <row r="7" spans="1:20" x14ac:dyDescent="0.2">
      <c r="A7" s="83" t="s">
        <v>98</v>
      </c>
      <c r="B7" s="66" t="s">
        <v>97</v>
      </c>
      <c r="C7" s="85" t="s">
        <v>134</v>
      </c>
      <c r="D7" s="309" t="str">
        <f>VLOOKUP(A7,'[1]List of economies'!$B$2:$F$219,4,FALSE)</f>
        <v>UMC</v>
      </c>
      <c r="E7" s="144">
        <v>44927</v>
      </c>
      <c r="F7" s="120">
        <f t="shared" si="0"/>
        <v>1.9617889324824016</v>
      </c>
      <c r="G7" s="134">
        <v>2.1224880218505859</v>
      </c>
      <c r="H7" s="103">
        <v>2.1684210300445557</v>
      </c>
      <c r="I7" s="91">
        <v>2.0765550136566162</v>
      </c>
      <c r="J7" s="126">
        <v>1.6916667222976685</v>
      </c>
      <c r="K7" s="103">
        <v>2</v>
      </c>
      <c r="L7" s="110">
        <v>0.66666668653488159</v>
      </c>
      <c r="M7" s="110">
        <v>2.4333333969116211</v>
      </c>
      <c r="N7" s="18">
        <v>1.6666666269302368</v>
      </c>
      <c r="O7" s="29">
        <v>2.0712120532989502</v>
      </c>
      <c r="P7" s="103">
        <v>1.8999999761581421</v>
      </c>
      <c r="Q7" s="91">
        <v>2.2424242496490479</v>
      </c>
      <c r="R7" s="19"/>
      <c r="S7" s="19"/>
      <c r="T7" s="19"/>
    </row>
    <row r="8" spans="1:20" x14ac:dyDescent="0.2">
      <c r="A8" s="83" t="s">
        <v>78</v>
      </c>
      <c r="B8" s="66" t="s">
        <v>28</v>
      </c>
      <c r="C8" s="85" t="s">
        <v>134</v>
      </c>
      <c r="D8" s="309" t="str">
        <f>VLOOKUP(A8,'[1]List of economies'!$B$2:$F$219,4,FALSE)</f>
        <v>HIC</v>
      </c>
      <c r="E8" s="144">
        <v>44927</v>
      </c>
      <c r="F8" s="120">
        <f t="shared" si="0"/>
        <v>3.064556042353312</v>
      </c>
      <c r="G8" s="134">
        <v>4.1778945922851563</v>
      </c>
      <c r="H8" s="103">
        <v>4.1778945922851563</v>
      </c>
      <c r="I8" s="91" t="s">
        <v>173</v>
      </c>
      <c r="J8" s="126">
        <v>3.5222806930541992</v>
      </c>
      <c r="K8" s="103">
        <v>5.3557896614074707</v>
      </c>
      <c r="L8" s="110">
        <v>3.3333332538604736</v>
      </c>
      <c r="M8" s="110">
        <v>2.4000000953674316</v>
      </c>
      <c r="N8" s="18">
        <v>3</v>
      </c>
      <c r="O8" s="29">
        <v>1.4934928417205811</v>
      </c>
      <c r="P8" s="103">
        <v>1.7445614337921143</v>
      </c>
      <c r="Q8" s="91">
        <v>1.2424242496490479</v>
      </c>
      <c r="R8" s="19"/>
      <c r="S8" s="19"/>
      <c r="T8" s="19"/>
    </row>
    <row r="9" spans="1:20" x14ac:dyDescent="0.2">
      <c r="A9" s="83" t="s">
        <v>64</v>
      </c>
      <c r="B9" s="66" t="s">
        <v>60</v>
      </c>
      <c r="C9" s="82" t="s">
        <v>133</v>
      </c>
      <c r="D9" s="309" t="str">
        <f>VLOOKUP(A9,'[1]List of economies'!$B$2:$F$219,4,FALSE)</f>
        <v>HIC</v>
      </c>
      <c r="E9" s="144">
        <v>44927</v>
      </c>
      <c r="F9" s="120">
        <f t="shared" si="0"/>
        <v>1.1672182480494182</v>
      </c>
      <c r="G9" s="134">
        <v>0.78628385066986084</v>
      </c>
      <c r="H9" s="103">
        <v>0.73923444747924805</v>
      </c>
      <c r="I9" s="91">
        <v>0.83333331346511841</v>
      </c>
      <c r="J9" s="126">
        <v>1.1918859481811523</v>
      </c>
      <c r="K9" s="103">
        <v>0.68859648704528809</v>
      </c>
      <c r="L9" s="110">
        <v>0.74561405181884766</v>
      </c>
      <c r="M9" s="110">
        <v>2</v>
      </c>
      <c r="N9" s="18">
        <v>1.3333333730697632</v>
      </c>
      <c r="O9" s="29">
        <v>1.5234849452972412</v>
      </c>
      <c r="P9" s="103">
        <v>1.3500000238418579</v>
      </c>
      <c r="Q9" s="91">
        <v>1.696969747543335</v>
      </c>
      <c r="R9" s="19"/>
      <c r="S9" s="19"/>
      <c r="T9" s="19"/>
    </row>
    <row r="10" spans="1:20" x14ac:dyDescent="0.2">
      <c r="A10" s="83" t="s">
        <v>79</v>
      </c>
      <c r="B10" s="66" t="s">
        <v>54</v>
      </c>
      <c r="C10" s="82" t="s">
        <v>133</v>
      </c>
      <c r="D10" s="309" t="str">
        <f>VLOOKUP(A10,'[1]List of economies'!$B$2:$F$219,4,FALSE)</f>
        <v>HIC</v>
      </c>
      <c r="E10" s="144">
        <v>44927</v>
      </c>
      <c r="F10" s="120">
        <f t="shared" si="0"/>
        <v>0.84134880701700843</v>
      </c>
      <c r="G10" s="134">
        <v>0.53033626079559326</v>
      </c>
      <c r="H10" s="103">
        <v>0.43421053886413574</v>
      </c>
      <c r="I10" s="91">
        <v>0.62646198272705078</v>
      </c>
      <c r="J10" s="126">
        <v>0.66567981243133545</v>
      </c>
      <c r="K10" s="103">
        <v>0.46271929144859314</v>
      </c>
      <c r="L10" s="110">
        <v>0</v>
      </c>
      <c r="M10" s="110">
        <v>1.7000000476837158</v>
      </c>
      <c r="N10" s="18">
        <v>0.5</v>
      </c>
      <c r="O10" s="29">
        <v>1.3280303478240967</v>
      </c>
      <c r="P10" s="103">
        <v>1.0499999523162842</v>
      </c>
      <c r="Q10" s="91">
        <v>1.6060606241226196</v>
      </c>
      <c r="R10" s="19"/>
      <c r="S10" s="19"/>
      <c r="T10" s="19"/>
    </row>
    <row r="11" spans="1:20" x14ac:dyDescent="0.2">
      <c r="A11" s="83" t="s">
        <v>65</v>
      </c>
      <c r="B11" s="66" t="s">
        <v>34</v>
      </c>
      <c r="C11" s="82" t="s">
        <v>133</v>
      </c>
      <c r="D11" s="309" t="str">
        <f>VLOOKUP(A11,'[1]List of economies'!$B$2:$F$219,4,FALSE)</f>
        <v>HIC</v>
      </c>
      <c r="E11" s="144">
        <v>44927</v>
      </c>
      <c r="F11" s="120">
        <f t="shared" si="0"/>
        <v>1.0628787676493328</v>
      </c>
      <c r="G11" s="135">
        <v>0.7239234447479248</v>
      </c>
      <c r="H11" s="103">
        <v>0.44784688949584961</v>
      </c>
      <c r="I11" s="91">
        <v>1</v>
      </c>
      <c r="J11" s="127">
        <v>0.97872805595397949</v>
      </c>
      <c r="K11" s="103">
        <v>0.48771929740905762</v>
      </c>
      <c r="L11" s="110">
        <v>0.82719296216964722</v>
      </c>
      <c r="M11" s="110">
        <v>2.0999999046325684</v>
      </c>
      <c r="N11" s="18">
        <v>0.5</v>
      </c>
      <c r="O11" s="29">
        <v>1.4859848022460938</v>
      </c>
      <c r="P11" s="103">
        <v>1.2749999761581421</v>
      </c>
      <c r="Q11" s="91">
        <v>1.696969747543335</v>
      </c>
      <c r="R11" s="19"/>
      <c r="S11" s="19"/>
      <c r="T11" s="19"/>
    </row>
    <row r="12" spans="1:20" x14ac:dyDescent="0.2">
      <c r="A12" s="83" t="s">
        <v>66</v>
      </c>
      <c r="B12" s="66" t="s">
        <v>38</v>
      </c>
      <c r="C12" s="82" t="s">
        <v>133</v>
      </c>
      <c r="D12" s="309" t="str">
        <f>VLOOKUP(A12,'[1]List of economies'!$B$2:$F$219,4,FALSE)</f>
        <v>HIC</v>
      </c>
      <c r="E12" s="144">
        <v>44927</v>
      </c>
      <c r="F12" s="120">
        <f t="shared" si="0"/>
        <v>1.1270467440287273</v>
      </c>
      <c r="G12" s="135">
        <v>1.2292662858963013</v>
      </c>
      <c r="H12" s="103">
        <v>0.7918660044670105</v>
      </c>
      <c r="I12" s="91">
        <v>1.6666666269302368</v>
      </c>
      <c r="J12" s="127">
        <v>0.94692981243133545</v>
      </c>
      <c r="K12" s="103">
        <v>1.4517543315887451</v>
      </c>
      <c r="L12" s="110">
        <v>7.8947365283966064E-2</v>
      </c>
      <c r="M12" s="110">
        <v>1.4236842393875122</v>
      </c>
      <c r="N12" s="18">
        <v>0.83333331346511841</v>
      </c>
      <c r="O12" s="31">
        <v>1.2049441337585449</v>
      </c>
      <c r="P12" s="103">
        <v>0.92105263471603394</v>
      </c>
      <c r="Q12" s="91">
        <v>1.4888356924057007</v>
      </c>
      <c r="R12" s="19"/>
      <c r="S12" s="19"/>
      <c r="T12" s="19"/>
    </row>
    <row r="13" spans="1:20" x14ac:dyDescent="0.2">
      <c r="A13" s="83" t="s">
        <v>67</v>
      </c>
      <c r="B13" s="66" t="s">
        <v>48</v>
      </c>
      <c r="C13" s="82" t="s">
        <v>133</v>
      </c>
      <c r="D13" s="309" t="str">
        <f>VLOOKUP(A13,'[1]List of economies'!$B$2:$F$219,4,FALSE)</f>
        <v>HIC</v>
      </c>
      <c r="E13" s="144">
        <v>44927</v>
      </c>
      <c r="F13" s="120">
        <f t="shared" si="0"/>
        <v>0.91481480995814002</v>
      </c>
      <c r="G13" s="135">
        <v>0.80273127555847168</v>
      </c>
      <c r="H13" s="103">
        <v>0.5550239086151123</v>
      </c>
      <c r="I13" s="91">
        <v>1.0504386425018311</v>
      </c>
      <c r="J13" s="127">
        <v>0.62295323610305786</v>
      </c>
      <c r="K13" s="103">
        <v>0.51754385232925415</v>
      </c>
      <c r="L13" s="110">
        <v>0.12280701100826263</v>
      </c>
      <c r="M13" s="110">
        <v>1.5736842155456543</v>
      </c>
      <c r="N13" s="18">
        <v>0.27777779102325439</v>
      </c>
      <c r="O13" s="31">
        <v>1.3187599182128906</v>
      </c>
      <c r="P13" s="103">
        <v>1.3855262994766235</v>
      </c>
      <c r="Q13" s="91">
        <v>1.2519936561584473</v>
      </c>
      <c r="R13" s="19"/>
      <c r="S13" s="19"/>
      <c r="T13" s="19"/>
    </row>
    <row r="14" spans="1:20" x14ac:dyDescent="0.2">
      <c r="A14" s="83" t="s">
        <v>80</v>
      </c>
      <c r="B14" s="66" t="s">
        <v>51</v>
      </c>
      <c r="C14" s="82" t="s">
        <v>133</v>
      </c>
      <c r="D14" s="309" t="str">
        <f>VLOOKUP(A14,'[1]List of economies'!$B$2:$F$219,4,FALSE)</f>
        <v>HIC</v>
      </c>
      <c r="E14" s="144">
        <v>44927</v>
      </c>
      <c r="F14" s="120">
        <f t="shared" si="0"/>
        <v>0.87311971187591553</v>
      </c>
      <c r="G14" s="135">
        <v>0.45428240299224854</v>
      </c>
      <c r="H14" s="103">
        <v>0.5</v>
      </c>
      <c r="I14" s="91">
        <v>0.40856480598449707</v>
      </c>
      <c r="J14" s="127">
        <v>0.77227365970611572</v>
      </c>
      <c r="K14" s="103">
        <v>0.63425928354263306</v>
      </c>
      <c r="L14" s="110">
        <v>6.6872432827949524E-2</v>
      </c>
      <c r="M14" s="110">
        <v>1.8601851463317871</v>
      </c>
      <c r="N14" s="18">
        <v>0.52777779102325439</v>
      </c>
      <c r="O14" s="31">
        <v>1.3928030729293823</v>
      </c>
      <c r="P14" s="103">
        <v>1.5305556058883667</v>
      </c>
      <c r="Q14" s="91">
        <v>1.2550505399703979</v>
      </c>
      <c r="R14" s="19"/>
      <c r="S14" s="19"/>
      <c r="T14" s="19"/>
    </row>
    <row r="15" spans="1:20" x14ac:dyDescent="0.2">
      <c r="A15" s="83" t="s">
        <v>92</v>
      </c>
      <c r="B15" s="66" t="s">
        <v>46</v>
      </c>
      <c r="C15" s="82" t="s">
        <v>133</v>
      </c>
      <c r="D15" s="309" t="str">
        <f>VLOOKUP(A15,'[1]List of economies'!$B$2:$F$219,4,FALSE)</f>
        <v>HIC</v>
      </c>
      <c r="E15" s="144">
        <v>44927</v>
      </c>
      <c r="F15" s="120">
        <f t="shared" si="0"/>
        <v>1.1098949909210205</v>
      </c>
      <c r="G15" s="134">
        <v>1.0645933151245117</v>
      </c>
      <c r="H15" s="103">
        <v>0.62918657064437866</v>
      </c>
      <c r="I15" s="91">
        <v>1.5</v>
      </c>
      <c r="J15" s="127">
        <v>0.94649124145507813</v>
      </c>
      <c r="K15" s="103">
        <v>1</v>
      </c>
      <c r="L15" s="110">
        <v>5.2631575614213943E-2</v>
      </c>
      <c r="M15" s="110">
        <v>1.8999999761581421</v>
      </c>
      <c r="N15" s="18">
        <v>0.83333331346511841</v>
      </c>
      <c r="O15" s="31">
        <v>1.3186004161834717</v>
      </c>
      <c r="P15" s="103">
        <v>1.4171051979064941</v>
      </c>
      <c r="Q15" s="91">
        <v>1.2200956344604492</v>
      </c>
      <c r="R15" s="19"/>
      <c r="S15" s="19"/>
      <c r="T15" s="19"/>
    </row>
    <row r="16" spans="1:20" x14ac:dyDescent="0.2">
      <c r="A16" s="83" t="s">
        <v>122</v>
      </c>
      <c r="B16" s="66" t="s">
        <v>121</v>
      </c>
      <c r="C16" s="82" t="s">
        <v>133</v>
      </c>
      <c r="D16" s="309" t="str">
        <f>VLOOKUP(A16,'[1]List of economies'!$B$2:$F$219,4,FALSE)</f>
        <v>HIC</v>
      </c>
      <c r="E16" s="144">
        <v>45292</v>
      </c>
      <c r="F16" s="120">
        <f t="shared" si="0"/>
        <v>1.2197894255320232</v>
      </c>
      <c r="G16" s="134">
        <v>1.3320261240005493</v>
      </c>
      <c r="H16" s="103">
        <v>0.84705883264541626</v>
      </c>
      <c r="I16" s="91">
        <v>1.8169934749603271</v>
      </c>
      <c r="J16" s="127">
        <v>1.5398421287536621</v>
      </c>
      <c r="K16" s="103">
        <v>0.45588234066963196</v>
      </c>
      <c r="L16" s="110">
        <v>2</v>
      </c>
      <c r="M16" s="110">
        <v>2.149019718170166</v>
      </c>
      <c r="N16" s="18">
        <v>1.5544662475585938</v>
      </c>
      <c r="O16" s="31">
        <v>0.78750002384185791</v>
      </c>
      <c r="P16" s="103">
        <v>0.57499998807907104</v>
      </c>
      <c r="Q16" s="91">
        <v>1</v>
      </c>
      <c r="R16" s="19"/>
      <c r="S16" s="19"/>
      <c r="T16" s="19"/>
    </row>
    <row r="17" spans="1:20" x14ac:dyDescent="0.2">
      <c r="A17" s="83" t="s">
        <v>82</v>
      </c>
      <c r="B17" s="66" t="s">
        <v>45</v>
      </c>
      <c r="C17" s="82" t="s">
        <v>133</v>
      </c>
      <c r="D17" s="309" t="str">
        <f>VLOOKUP(A17,'[1]List of economies'!$B$2:$F$219,4,FALSE)</f>
        <v>HIC</v>
      </c>
      <c r="E17" s="144">
        <v>44927</v>
      </c>
      <c r="F17" s="120">
        <f t="shared" si="0"/>
        <v>1.2856053511301677</v>
      </c>
      <c r="G17" s="134">
        <v>1.296650767326355</v>
      </c>
      <c r="H17" s="103">
        <v>1.296650767326355</v>
      </c>
      <c r="I17" s="91" t="s">
        <v>173</v>
      </c>
      <c r="J17" s="126">
        <v>1.1044834852218628</v>
      </c>
      <c r="K17" s="103" t="s">
        <v>173</v>
      </c>
      <c r="L17" s="110">
        <v>0.71345031261444092</v>
      </c>
      <c r="M17" s="110">
        <v>1.6000000238418579</v>
      </c>
      <c r="N17" s="18">
        <v>1</v>
      </c>
      <c r="O17" s="31">
        <v>1.4556818008422852</v>
      </c>
      <c r="P17" s="103">
        <v>1.2749999761581421</v>
      </c>
      <c r="Q17" s="91">
        <v>1.6363636255264282</v>
      </c>
      <c r="R17" s="19"/>
      <c r="S17" s="19"/>
      <c r="T17" s="19"/>
    </row>
    <row r="18" spans="1:20" x14ac:dyDescent="0.2">
      <c r="A18" s="83" t="s">
        <v>95</v>
      </c>
      <c r="B18" s="66" t="s">
        <v>42</v>
      </c>
      <c r="C18" s="82" t="s">
        <v>133</v>
      </c>
      <c r="D18" s="309" t="str">
        <f>VLOOKUP(A18,'[1]List of economies'!$B$2:$F$219,4,FALSE)</f>
        <v>HIC</v>
      </c>
      <c r="E18" s="144">
        <v>44927</v>
      </c>
      <c r="F18" s="120">
        <f t="shared" si="0"/>
        <v>1.2351881663004558</v>
      </c>
      <c r="G18" s="134">
        <v>1.0554226636886597</v>
      </c>
      <c r="H18" s="103">
        <v>0.77751195430755615</v>
      </c>
      <c r="I18" s="91">
        <v>1.3333333730697632</v>
      </c>
      <c r="J18" s="126">
        <v>1.1253411769866943</v>
      </c>
      <c r="K18" s="103">
        <v>1.9254386425018311</v>
      </c>
      <c r="L18" s="110">
        <v>5.7504873722791672E-2</v>
      </c>
      <c r="M18" s="110">
        <v>1.8517544269561768</v>
      </c>
      <c r="N18" s="18">
        <v>0.66666668653488159</v>
      </c>
      <c r="O18" s="29">
        <v>1.5248006582260132</v>
      </c>
      <c r="P18" s="103">
        <v>1.3526315689086914</v>
      </c>
      <c r="Q18" s="91">
        <v>1.696969747543335</v>
      </c>
      <c r="R18" s="19"/>
      <c r="S18" s="19"/>
      <c r="T18" s="19"/>
    </row>
    <row r="19" spans="1:20" ht="14.25" x14ac:dyDescent="0.2">
      <c r="A19" s="83" t="s">
        <v>68</v>
      </c>
      <c r="B19" s="66" t="s">
        <v>57</v>
      </c>
      <c r="C19" s="82" t="s">
        <v>133</v>
      </c>
      <c r="D19" s="309" t="str">
        <f>VLOOKUP(A19,'[1]List of economies'!$B$2:$F$219,4,FALSE)</f>
        <v>HIC</v>
      </c>
      <c r="E19" s="144">
        <v>44927</v>
      </c>
      <c r="F19" s="120">
        <f t="shared" si="0"/>
        <v>2.1631755828857422</v>
      </c>
      <c r="G19" s="134">
        <v>2.0263156890869141</v>
      </c>
      <c r="H19" s="103">
        <v>1.5071769952774048</v>
      </c>
      <c r="I19" s="91">
        <v>2.5454545021057129</v>
      </c>
      <c r="J19" s="126">
        <v>2.3950293064117432</v>
      </c>
      <c r="K19" s="103">
        <v>5.1157894134521484</v>
      </c>
      <c r="L19" s="110">
        <v>1.4502923488616943</v>
      </c>
      <c r="M19" s="110">
        <v>2.4000000953674316</v>
      </c>
      <c r="N19" s="18">
        <v>0.61403506994247437</v>
      </c>
      <c r="O19" s="29">
        <v>2.0681817531585693</v>
      </c>
      <c r="P19" s="103">
        <v>2.5</v>
      </c>
      <c r="Q19" s="91">
        <v>1.6363636255264282</v>
      </c>
      <c r="R19" s="19"/>
      <c r="S19" s="19"/>
      <c r="T19" s="19"/>
    </row>
    <row r="20" spans="1:20" x14ac:dyDescent="0.2">
      <c r="A20" s="83" t="s">
        <v>69</v>
      </c>
      <c r="B20" s="66" t="s">
        <v>30</v>
      </c>
      <c r="C20" s="82" t="s">
        <v>133</v>
      </c>
      <c r="D20" s="309" t="str">
        <f>VLOOKUP(A20,'[1]List of economies'!$B$2:$F$219,4,FALSE)</f>
        <v>HIC</v>
      </c>
      <c r="E20" s="144">
        <v>44927</v>
      </c>
      <c r="F20" s="120">
        <f t="shared" si="0"/>
        <v>0.70062688986460364</v>
      </c>
      <c r="G20" s="134">
        <v>0.72066056728363037</v>
      </c>
      <c r="H20" s="103">
        <v>0.41866028308868408</v>
      </c>
      <c r="I20" s="91">
        <v>1.0226608514785767</v>
      </c>
      <c r="J20" s="126">
        <v>0.63859647512435913</v>
      </c>
      <c r="K20" s="103">
        <v>0.76754385232925415</v>
      </c>
      <c r="L20" s="110">
        <v>0</v>
      </c>
      <c r="M20" s="110">
        <v>1.6201754808425903</v>
      </c>
      <c r="N20" s="18">
        <v>0.1666666716337204</v>
      </c>
      <c r="O20" s="29">
        <v>0.74262362718582153</v>
      </c>
      <c r="P20" s="103">
        <v>0.46052631735801697</v>
      </c>
      <c r="Q20" s="91">
        <v>1.0247209072113037</v>
      </c>
      <c r="R20" s="19"/>
      <c r="S20" s="19"/>
      <c r="T20" s="19"/>
    </row>
    <row r="21" spans="1:20" x14ac:dyDescent="0.2">
      <c r="A21" s="83" t="s">
        <v>83</v>
      </c>
      <c r="B21" s="66" t="s">
        <v>29</v>
      </c>
      <c r="C21" s="82" t="s">
        <v>133</v>
      </c>
      <c r="D21" s="309" t="str">
        <f>VLOOKUP(A21,'[1]List of economies'!$B$2:$F$219,4,FALSE)</f>
        <v>HIC</v>
      </c>
      <c r="E21" s="144">
        <v>44927</v>
      </c>
      <c r="F21" s="120">
        <f t="shared" si="0"/>
        <v>1.6889352003733318</v>
      </c>
      <c r="G21" s="134">
        <v>1.5767543315887451</v>
      </c>
      <c r="H21" s="103">
        <v>1.236842155456543</v>
      </c>
      <c r="I21" s="91">
        <v>1.9166666269302368</v>
      </c>
      <c r="J21" s="126">
        <v>1.5322761535644531</v>
      </c>
      <c r="K21" s="103">
        <v>1.4605263471603394</v>
      </c>
      <c r="L21" s="110">
        <v>1.3333333730697632</v>
      </c>
      <c r="M21" s="110">
        <v>1.9463562965393066</v>
      </c>
      <c r="N21" s="18">
        <v>1.3888888359069824</v>
      </c>
      <c r="O21" s="29">
        <v>1.9577751159667969</v>
      </c>
      <c r="P21" s="103">
        <v>1.8605263233184814</v>
      </c>
      <c r="Q21" s="91">
        <v>2.0550239086151123</v>
      </c>
      <c r="R21" s="19"/>
      <c r="S21" s="19"/>
      <c r="T21" s="19"/>
    </row>
    <row r="22" spans="1:20" x14ac:dyDescent="0.2">
      <c r="A22" s="83" t="s">
        <v>70</v>
      </c>
      <c r="B22" s="66" t="s">
        <v>33</v>
      </c>
      <c r="C22" s="82" t="s">
        <v>133</v>
      </c>
      <c r="D22" s="309" t="str">
        <f>VLOOKUP(A22,'[1]List of economies'!$B$2:$F$219,4,FALSE)</f>
        <v>HIC</v>
      </c>
      <c r="E22" s="144">
        <v>44927</v>
      </c>
      <c r="F22" s="120">
        <f t="shared" si="0"/>
        <v>1.9958009719848633</v>
      </c>
      <c r="G22" s="135">
        <v>2.9011962413787842</v>
      </c>
      <c r="H22" s="103">
        <v>2.4578948020935059</v>
      </c>
      <c r="I22" s="91">
        <v>3.3444976806640625</v>
      </c>
      <c r="J22" s="127">
        <v>1.3195400238037109</v>
      </c>
      <c r="K22" s="103">
        <v>1.5157895088195801</v>
      </c>
      <c r="L22" s="110">
        <v>6.5789476037025452E-2</v>
      </c>
      <c r="M22" s="110">
        <v>2.307692289352417</v>
      </c>
      <c r="N22" s="18">
        <v>1.3888888359069824</v>
      </c>
      <c r="O22" s="31">
        <v>1.7666666507720947</v>
      </c>
      <c r="P22" s="103">
        <v>2.2000000476837158</v>
      </c>
      <c r="Q22" s="91">
        <v>1.3333333730697632</v>
      </c>
      <c r="R22" s="19"/>
      <c r="S22" s="19"/>
      <c r="T22" s="19"/>
    </row>
    <row r="23" spans="1:20" x14ac:dyDescent="0.2">
      <c r="A23" s="83" t="s">
        <v>84</v>
      </c>
      <c r="B23" s="66" t="s">
        <v>43</v>
      </c>
      <c r="C23" s="82" t="s">
        <v>133</v>
      </c>
      <c r="D23" s="309" t="str">
        <f>VLOOKUP(A23,'[1]List of economies'!$B$2:$F$219,4,FALSE)</f>
        <v>HIC</v>
      </c>
      <c r="E23" s="144">
        <v>44927</v>
      </c>
      <c r="F23" s="120">
        <f t="shared" si="0"/>
        <v>1.1827263832092285</v>
      </c>
      <c r="G23" s="134">
        <v>1.4183611869812012</v>
      </c>
      <c r="H23" s="103">
        <v>0.98803830146789551</v>
      </c>
      <c r="I23" s="91">
        <v>1.8486841917037964</v>
      </c>
      <c r="J23" s="126">
        <v>1.06169593334198</v>
      </c>
      <c r="K23" s="103">
        <v>0.56140351295471191</v>
      </c>
      <c r="L23" s="110">
        <v>0.81871342658996582</v>
      </c>
      <c r="M23" s="110">
        <v>1.7000000476837158</v>
      </c>
      <c r="N23" s="18">
        <v>1.1666666269302368</v>
      </c>
      <c r="O23" s="29">
        <v>1.0681220293045044</v>
      </c>
      <c r="P23" s="103">
        <v>1.0118421316146851</v>
      </c>
      <c r="Q23" s="91">
        <v>1.1244019269943237</v>
      </c>
      <c r="R23" s="19"/>
      <c r="S23" s="19"/>
      <c r="T23" s="19"/>
    </row>
    <row r="24" spans="1:20" x14ac:dyDescent="0.2">
      <c r="A24" s="83" t="s">
        <v>85</v>
      </c>
      <c r="B24" s="66" t="s">
        <v>36</v>
      </c>
      <c r="C24" s="82" t="s">
        <v>133</v>
      </c>
      <c r="D24" s="309" t="str">
        <f>VLOOKUP(A24,'[1]List of economies'!$B$2:$F$219,4,FALSE)</f>
        <v>HIC</v>
      </c>
      <c r="E24" s="144">
        <v>44927</v>
      </c>
      <c r="F24" s="120">
        <f t="shared" si="0"/>
        <v>1.0575720866521199</v>
      </c>
      <c r="G24" s="134">
        <v>1.0095694065093994</v>
      </c>
      <c r="H24" s="103">
        <v>1.1052631139755249</v>
      </c>
      <c r="I24" s="91">
        <v>0.91387557983398438</v>
      </c>
      <c r="J24" s="126">
        <v>1.3211014270782471</v>
      </c>
      <c r="K24" s="103">
        <v>0.50877195596694946</v>
      </c>
      <c r="L24" s="110">
        <v>2.1754386425018311</v>
      </c>
      <c r="M24" s="110">
        <v>1.7999999523162842</v>
      </c>
      <c r="N24" s="18">
        <v>0.80019491910934448</v>
      </c>
      <c r="O24" s="29">
        <v>0.84204542636871338</v>
      </c>
      <c r="P24" s="103">
        <v>0.77499997615814209</v>
      </c>
      <c r="Q24" s="91">
        <v>0.90909093618392944</v>
      </c>
      <c r="R24" s="19"/>
      <c r="S24" s="19"/>
      <c r="T24" s="19"/>
    </row>
    <row r="25" spans="1:20" x14ac:dyDescent="0.2">
      <c r="A25" s="83" t="s">
        <v>71</v>
      </c>
      <c r="B25" s="66" t="s">
        <v>24</v>
      </c>
      <c r="C25" s="82" t="s">
        <v>133</v>
      </c>
      <c r="D25" s="309" t="str">
        <f>VLOOKUP(A25,'[1]List of economies'!$B$2:$F$219,4,FALSE)</f>
        <v>HIC</v>
      </c>
      <c r="E25" s="144">
        <v>44927</v>
      </c>
      <c r="F25" s="120">
        <f t="shared" si="0"/>
        <v>1.2674574454625447</v>
      </c>
      <c r="G25" s="134">
        <v>1.1601873636245728</v>
      </c>
      <c r="H25" s="103">
        <v>0.94976073503494263</v>
      </c>
      <c r="I25" s="91">
        <v>1.3706140518188477</v>
      </c>
      <c r="J25" s="126">
        <v>1.022587776184082</v>
      </c>
      <c r="K25" s="103">
        <v>1.0745613574981689</v>
      </c>
      <c r="L25" s="110">
        <v>0.81578946113586426</v>
      </c>
      <c r="M25" s="110">
        <v>1.2000000476837158</v>
      </c>
      <c r="N25" s="18">
        <v>1</v>
      </c>
      <c r="O25" s="29">
        <v>1.6195971965789795</v>
      </c>
      <c r="P25" s="103">
        <v>1.3197368383407593</v>
      </c>
      <c r="Q25" s="91">
        <v>1.9194576740264893</v>
      </c>
      <c r="R25" s="19"/>
      <c r="S25" s="19"/>
      <c r="T25" s="19"/>
    </row>
    <row r="26" spans="1:20" x14ac:dyDescent="0.2">
      <c r="A26" s="83" t="s">
        <v>110</v>
      </c>
      <c r="B26" s="66" t="s">
        <v>109</v>
      </c>
      <c r="C26" s="82" t="s">
        <v>133</v>
      </c>
      <c r="D26" s="309" t="str">
        <f>VLOOKUP(A26,'[1]List of economies'!$B$2:$F$219,4,FALSE)</f>
        <v>UMC</v>
      </c>
      <c r="E26" s="144">
        <v>44927</v>
      </c>
      <c r="F26" s="120">
        <f t="shared" si="0"/>
        <v>2.1629629929860434</v>
      </c>
      <c r="G26" s="134">
        <v>2.5935606956481934</v>
      </c>
      <c r="H26" s="103">
        <v>1.9249999523162842</v>
      </c>
      <c r="I26" s="91">
        <v>3.2621212005615234</v>
      </c>
      <c r="J26" s="126">
        <v>2.2638888359069824</v>
      </c>
      <c r="K26" s="103">
        <v>4</v>
      </c>
      <c r="L26" s="110">
        <v>1.3333333730697632</v>
      </c>
      <c r="M26" s="110">
        <v>2</v>
      </c>
      <c r="N26" s="18">
        <v>1.7222222089767456</v>
      </c>
      <c r="O26" s="29">
        <v>1.6314394474029541</v>
      </c>
      <c r="P26" s="103">
        <v>1.4750000238418579</v>
      </c>
      <c r="Q26" s="91">
        <v>1.7878787517547607</v>
      </c>
      <c r="R26" s="19"/>
      <c r="S26" s="19"/>
      <c r="T26" s="19"/>
    </row>
    <row r="27" spans="1:20" x14ac:dyDescent="0.2">
      <c r="A27" s="83" t="s">
        <v>123</v>
      </c>
      <c r="B27" s="66" t="s">
        <v>124</v>
      </c>
      <c r="C27" s="82" t="s">
        <v>133</v>
      </c>
      <c r="D27" s="309" t="str">
        <f>VLOOKUP(A27,'[1]List of economies'!$B$2:$F$219,4,FALSE)</f>
        <v>HIC</v>
      </c>
      <c r="E27" s="144">
        <v>45292</v>
      </c>
      <c r="F27" s="120">
        <f t="shared" si="0"/>
        <v>0.59010058641433716</v>
      </c>
      <c r="G27" s="134">
        <v>0.53535354137420654</v>
      </c>
      <c r="H27" s="103">
        <v>0.18181818723678589</v>
      </c>
      <c r="I27" s="91">
        <v>0.8888888955116272</v>
      </c>
      <c r="J27" s="126">
        <v>0.80767548084259033</v>
      </c>
      <c r="K27" s="103">
        <v>1.0657894611358643</v>
      </c>
      <c r="L27" s="110">
        <v>0.1315789520740509</v>
      </c>
      <c r="M27" s="110">
        <v>1.7000000476837158</v>
      </c>
      <c r="N27" s="18">
        <v>0.3333333432674408</v>
      </c>
      <c r="O27" s="29">
        <v>0.4272727370262146</v>
      </c>
      <c r="P27" s="103">
        <v>0.40000000596046448</v>
      </c>
      <c r="Q27" s="91">
        <v>0.45454546809196472</v>
      </c>
      <c r="R27" s="19"/>
      <c r="S27" s="19"/>
      <c r="T27" s="19"/>
    </row>
    <row r="28" spans="1:20" x14ac:dyDescent="0.2">
      <c r="A28" s="83" t="s">
        <v>86</v>
      </c>
      <c r="B28" s="66" t="s">
        <v>35</v>
      </c>
      <c r="C28" s="82" t="s">
        <v>133</v>
      </c>
      <c r="D28" s="309" t="str">
        <f>VLOOKUP(A28,'[1]List of economies'!$B$2:$F$219,4,FALSE)</f>
        <v>HIC</v>
      </c>
      <c r="E28" s="144">
        <v>44927</v>
      </c>
      <c r="F28" s="120">
        <f t="shared" si="0"/>
        <v>1.5828374624252319</v>
      </c>
      <c r="G28" s="134">
        <v>1.7438862323760986</v>
      </c>
      <c r="H28" s="103">
        <v>1.1076555252075195</v>
      </c>
      <c r="I28" s="91">
        <v>2.3801169395446777</v>
      </c>
      <c r="J28" s="126">
        <v>0.97009670734405518</v>
      </c>
      <c r="K28" s="103">
        <v>1.9368420839309692</v>
      </c>
      <c r="L28" s="110">
        <v>0.1247563362121582</v>
      </c>
      <c r="M28" s="110">
        <v>0.92307692766189575</v>
      </c>
      <c r="N28" s="18">
        <v>0.89571148157119751</v>
      </c>
      <c r="O28" s="29">
        <v>2.034529447555542</v>
      </c>
      <c r="P28" s="103">
        <v>2.2508771419525146</v>
      </c>
      <c r="Q28" s="91">
        <v>1.8181818723678589</v>
      </c>
      <c r="R28" s="19"/>
      <c r="S28" s="19"/>
      <c r="T28" s="19"/>
    </row>
    <row r="29" spans="1:20" x14ac:dyDescent="0.2">
      <c r="A29" s="83" t="s">
        <v>72</v>
      </c>
      <c r="B29" s="66" t="s">
        <v>40</v>
      </c>
      <c r="C29" s="82" t="s">
        <v>133</v>
      </c>
      <c r="D29" s="309" t="str">
        <f>VLOOKUP(A29,'[1]List of economies'!$B$2:$F$219,4,FALSE)</f>
        <v>HIC</v>
      </c>
      <c r="E29" s="144">
        <v>44927</v>
      </c>
      <c r="F29" s="120">
        <f t="shared" si="0"/>
        <v>0.9415226777394613</v>
      </c>
      <c r="G29" s="134">
        <v>1.3257176876068115</v>
      </c>
      <c r="H29" s="103">
        <v>0.64354068040847778</v>
      </c>
      <c r="I29" s="91">
        <v>2.00789475440979</v>
      </c>
      <c r="J29" s="126">
        <v>0.9190058708190918</v>
      </c>
      <c r="K29" s="103">
        <v>0.35964912176132202</v>
      </c>
      <c r="L29" s="110">
        <v>0.67251461744308472</v>
      </c>
      <c r="M29" s="110">
        <v>1.8105263710021973</v>
      </c>
      <c r="N29" s="18">
        <v>0.83333331346511841</v>
      </c>
      <c r="O29" s="29">
        <v>0.57984447479248047</v>
      </c>
      <c r="P29" s="103">
        <v>0.35745614767074585</v>
      </c>
      <c r="Q29" s="91">
        <v>0.80223286151885986</v>
      </c>
      <c r="R29" s="19"/>
      <c r="S29" s="19"/>
      <c r="T29" s="19"/>
    </row>
    <row r="30" spans="1:20" x14ac:dyDescent="0.2">
      <c r="A30" s="83" t="s">
        <v>73</v>
      </c>
      <c r="B30" s="66" t="s">
        <v>44</v>
      </c>
      <c r="C30" s="82" t="s">
        <v>133</v>
      </c>
      <c r="D30" s="309" t="str">
        <f>VLOOKUP(A30,'[1]List of economies'!$B$2:$F$219,4,FALSE)</f>
        <v>HIC</v>
      </c>
      <c r="E30" s="144">
        <v>44927</v>
      </c>
      <c r="F30" s="120">
        <f t="shared" si="0"/>
        <v>1.1664883693059285</v>
      </c>
      <c r="G30" s="134">
        <v>1.3778908252716064</v>
      </c>
      <c r="H30" s="103">
        <v>1.4377990961074829</v>
      </c>
      <c r="I30" s="91">
        <v>1.3179824352264404</v>
      </c>
      <c r="J30" s="126">
        <v>1.1431652307510376</v>
      </c>
      <c r="K30" s="103">
        <v>0.63596493005752563</v>
      </c>
      <c r="L30" s="110">
        <v>0.80116957426071167</v>
      </c>
      <c r="M30" s="110">
        <v>1.7605262994766235</v>
      </c>
      <c r="N30" s="18">
        <v>1.375</v>
      </c>
      <c r="O30" s="29">
        <v>0.9784090518951416</v>
      </c>
      <c r="P30" s="103">
        <v>0.77499997615814209</v>
      </c>
      <c r="Q30" s="91">
        <v>1.1818181276321411</v>
      </c>
      <c r="R30" s="19"/>
      <c r="S30" s="19"/>
      <c r="T30" s="19"/>
    </row>
    <row r="31" spans="1:20" x14ac:dyDescent="0.2">
      <c r="A31" s="83" t="s">
        <v>87</v>
      </c>
      <c r="B31" s="66" t="s">
        <v>50</v>
      </c>
      <c r="C31" s="82" t="s">
        <v>133</v>
      </c>
      <c r="D31" s="309" t="str">
        <f>VLOOKUP(A31,'[1]List of economies'!$B$2:$F$219,4,FALSE)</f>
        <v>HIC</v>
      </c>
      <c r="E31" s="144">
        <v>44927</v>
      </c>
      <c r="F31" s="120">
        <f t="shared" si="0"/>
        <v>0.65540492534637451</v>
      </c>
      <c r="G31" s="134">
        <v>0.40719699859619141</v>
      </c>
      <c r="H31" s="103">
        <v>0.27272728085517883</v>
      </c>
      <c r="I31" s="91">
        <v>0.54166668653488159</v>
      </c>
      <c r="J31" s="126">
        <v>0.96242690086364746</v>
      </c>
      <c r="K31" s="103">
        <v>0.47807016968727112</v>
      </c>
      <c r="L31" s="110">
        <v>0.19298246502876282</v>
      </c>
      <c r="M31" s="110">
        <v>1.7999999523162842</v>
      </c>
      <c r="N31" s="18">
        <v>1.378654956817627</v>
      </c>
      <c r="O31" s="29">
        <v>0.59659087657928467</v>
      </c>
      <c r="P31" s="103">
        <v>0.375</v>
      </c>
      <c r="Q31" s="91">
        <v>0.81818181276321411</v>
      </c>
      <c r="R31" s="19"/>
      <c r="S31" s="19"/>
      <c r="T31" s="19"/>
    </row>
    <row r="32" spans="1:20" x14ac:dyDescent="0.2">
      <c r="A32" s="83" t="s">
        <v>99</v>
      </c>
      <c r="B32" s="66" t="s">
        <v>100</v>
      </c>
      <c r="C32" s="82" t="s">
        <v>133</v>
      </c>
      <c r="D32" s="309" t="str">
        <f>VLOOKUP(A32,'[1]List of economies'!$B$2:$F$219,4,FALSE)</f>
        <v>HIC</v>
      </c>
      <c r="E32" s="144">
        <v>44927</v>
      </c>
      <c r="F32" s="120">
        <f t="shared" si="0"/>
        <v>1.121792991956075</v>
      </c>
      <c r="G32" s="134">
        <v>1.1541566848754883</v>
      </c>
      <c r="H32" s="103">
        <v>0.72607654333114624</v>
      </c>
      <c r="I32" s="91">
        <v>1.5822368860244751</v>
      </c>
      <c r="J32" s="126">
        <v>1.0044041872024536</v>
      </c>
      <c r="K32" s="103">
        <v>0.66228067874908447</v>
      </c>
      <c r="L32" s="110">
        <v>8.2236841320991516E-2</v>
      </c>
      <c r="M32" s="110">
        <v>1.7000000476837158</v>
      </c>
      <c r="N32" s="18">
        <v>1.5730993747711182</v>
      </c>
      <c r="O32" s="29">
        <v>1.2068181037902832</v>
      </c>
      <c r="P32" s="103">
        <v>1.0499999523162842</v>
      </c>
      <c r="Q32" s="91">
        <v>1.3636363744735718</v>
      </c>
      <c r="R32" s="19"/>
      <c r="S32" s="19"/>
      <c r="T32" s="19"/>
    </row>
    <row r="33" spans="1:20" x14ac:dyDescent="0.2">
      <c r="A33" s="83" t="s">
        <v>88</v>
      </c>
      <c r="B33" s="66" t="s">
        <v>41</v>
      </c>
      <c r="C33" s="82" t="s">
        <v>133</v>
      </c>
      <c r="D33" s="309" t="str">
        <f>VLOOKUP(A33,'[1]List of economies'!$B$2:$F$219,4,FALSE)</f>
        <v>HIC</v>
      </c>
      <c r="E33" s="144">
        <v>44927</v>
      </c>
      <c r="F33" s="120">
        <f t="shared" si="0"/>
        <v>1.1854576667149861</v>
      </c>
      <c r="G33" s="134">
        <v>0.72826957702636719</v>
      </c>
      <c r="H33" s="103">
        <v>0.84688997268676758</v>
      </c>
      <c r="I33" s="91">
        <v>0.60964912176132202</v>
      </c>
      <c r="J33" s="126">
        <v>1.5410819053649902</v>
      </c>
      <c r="K33" s="103">
        <v>1.0526316165924072</v>
      </c>
      <c r="L33" s="110">
        <v>2</v>
      </c>
      <c r="M33" s="110">
        <v>2.5999999046325684</v>
      </c>
      <c r="N33" s="18">
        <v>0.51169592142105103</v>
      </c>
      <c r="O33" s="29">
        <v>1.2870215177536011</v>
      </c>
      <c r="P33" s="103">
        <v>1.0907894372940063</v>
      </c>
      <c r="Q33" s="91">
        <v>1.4832535982131958</v>
      </c>
      <c r="R33" s="19"/>
      <c r="S33" s="19"/>
      <c r="T33" s="19"/>
    </row>
    <row r="34" spans="1:20" x14ac:dyDescent="0.2">
      <c r="A34" s="83" t="s">
        <v>89</v>
      </c>
      <c r="B34" s="66" t="s">
        <v>39</v>
      </c>
      <c r="C34" s="82" t="s">
        <v>133</v>
      </c>
      <c r="D34" s="309" t="str">
        <f>VLOOKUP(A34,'[1]List of economies'!$B$2:$F$219,4,FALSE)</f>
        <v>HIC</v>
      </c>
      <c r="E34" s="144">
        <v>44927</v>
      </c>
      <c r="F34" s="120">
        <f t="shared" si="0"/>
        <v>0.75599859158198035</v>
      </c>
      <c r="G34" s="134">
        <v>0.55492424964904785</v>
      </c>
      <c r="H34" s="103">
        <v>0.31818181276321411</v>
      </c>
      <c r="I34" s="91">
        <v>0.79166668653488159</v>
      </c>
      <c r="J34" s="126">
        <v>0.83011692762374878</v>
      </c>
      <c r="K34" s="103">
        <v>1.2894736528396606</v>
      </c>
      <c r="L34" s="110">
        <v>6.4327485859394073E-2</v>
      </c>
      <c r="M34" s="110">
        <v>1.7999999523162842</v>
      </c>
      <c r="N34" s="18">
        <v>0.1666666716337204</v>
      </c>
      <c r="O34" s="29">
        <v>0.88295459747314453</v>
      </c>
      <c r="P34" s="103">
        <v>0.67500001192092896</v>
      </c>
      <c r="Q34" s="91">
        <v>1.0909091234207153</v>
      </c>
      <c r="R34" s="19"/>
      <c r="S34" s="19"/>
      <c r="T34" s="19"/>
    </row>
    <row r="35" spans="1:20" x14ac:dyDescent="0.2">
      <c r="A35" s="83" t="s">
        <v>74</v>
      </c>
      <c r="B35" s="66" t="s">
        <v>32</v>
      </c>
      <c r="C35" s="82" t="s">
        <v>133</v>
      </c>
      <c r="D35" s="309" t="str">
        <f>VLOOKUP(A35,'[1]List of economies'!$B$2:$F$219,4,FALSE)</f>
        <v>HIC</v>
      </c>
      <c r="E35" s="144">
        <v>44927</v>
      </c>
      <c r="F35" s="120">
        <f t="shared" si="0"/>
        <v>1.1066564718882244</v>
      </c>
      <c r="G35" s="134">
        <v>1.0958931446075439</v>
      </c>
      <c r="H35" s="103">
        <v>0.5251196026802063</v>
      </c>
      <c r="I35" s="91">
        <v>1.6666666269302368</v>
      </c>
      <c r="J35" s="126">
        <v>0.67814326286315918</v>
      </c>
      <c r="K35" s="103">
        <v>0.42543858289718628</v>
      </c>
      <c r="L35" s="110">
        <v>0.6871345043182373</v>
      </c>
      <c r="M35" s="110">
        <v>1.1000000238418579</v>
      </c>
      <c r="N35" s="18">
        <v>0.5</v>
      </c>
      <c r="O35" s="29">
        <v>1.5459330081939697</v>
      </c>
      <c r="P35" s="103">
        <v>1.4052631855010986</v>
      </c>
      <c r="Q35" s="91">
        <v>1.6866028308868408</v>
      </c>
      <c r="R35" s="19"/>
      <c r="S35" s="19"/>
      <c r="T35" s="19"/>
    </row>
    <row r="36" spans="1:20" x14ac:dyDescent="0.2">
      <c r="A36" s="83" t="s">
        <v>90</v>
      </c>
      <c r="B36" s="66" t="s">
        <v>26</v>
      </c>
      <c r="C36" s="82" t="s">
        <v>133</v>
      </c>
      <c r="D36" s="309" t="str">
        <f>VLOOKUP(A36,'[1]List of economies'!$B$2:$F$219,4,FALSE)</f>
        <v>HIC</v>
      </c>
      <c r="E36" s="144">
        <v>44927</v>
      </c>
      <c r="F36" s="120">
        <f t="shared" si="0"/>
        <v>2.048003832499186</v>
      </c>
      <c r="G36" s="134">
        <v>2.5278708934783936</v>
      </c>
      <c r="H36" s="103">
        <v>1.4815789461135864</v>
      </c>
      <c r="I36" s="91">
        <v>3.5741627216339111</v>
      </c>
      <c r="J36" s="126">
        <v>1.5708456039428711</v>
      </c>
      <c r="K36" s="103">
        <v>1.8631578683853149</v>
      </c>
      <c r="L36" s="110">
        <v>0.71539962291717529</v>
      </c>
      <c r="M36" s="110">
        <v>2.9000000953674316</v>
      </c>
      <c r="N36" s="18">
        <v>0.8048245906829834</v>
      </c>
      <c r="O36" s="29">
        <v>2.0452950000762939</v>
      </c>
      <c r="P36" s="103">
        <v>1.698245644569397</v>
      </c>
      <c r="Q36" s="91">
        <v>2.3923444747924805</v>
      </c>
      <c r="R36" s="19"/>
      <c r="S36" s="19"/>
      <c r="T36" s="19"/>
    </row>
    <row r="37" spans="1:20" x14ac:dyDescent="0.2">
      <c r="A37" s="83" t="s">
        <v>91</v>
      </c>
      <c r="B37" s="66" t="s">
        <v>52</v>
      </c>
      <c r="C37" s="82" t="s">
        <v>133</v>
      </c>
      <c r="D37" s="309" t="str">
        <f>VLOOKUP(A37,'[1]List of economies'!$B$2:$F$219,4,FALSE)</f>
        <v>UMC</v>
      </c>
      <c r="E37" s="144">
        <v>44927</v>
      </c>
      <c r="F37" s="120">
        <f t="shared" si="0"/>
        <v>2.0107417106628418</v>
      </c>
      <c r="G37" s="134">
        <v>2.3787879943847656</v>
      </c>
      <c r="H37" s="103">
        <v>2.0707070827484131</v>
      </c>
      <c r="I37" s="91">
        <v>2.6868686676025391</v>
      </c>
      <c r="J37" s="126">
        <v>1.8765431642532349</v>
      </c>
      <c r="K37" s="103">
        <v>0.92592591047286987</v>
      </c>
      <c r="L37" s="110">
        <v>1.7283951044082642</v>
      </c>
      <c r="M37" s="110">
        <v>3.0185184478759766</v>
      </c>
      <c r="N37" s="18">
        <v>1.8333333730697632</v>
      </c>
      <c r="O37" s="29">
        <v>1.7768939733505249</v>
      </c>
      <c r="P37" s="103">
        <v>1.230555534362793</v>
      </c>
      <c r="Q37" s="91">
        <v>2.3232324123382568</v>
      </c>
      <c r="R37" s="19"/>
      <c r="S37" s="19"/>
      <c r="T37" s="19"/>
    </row>
    <row r="38" spans="1:20" x14ac:dyDescent="0.2">
      <c r="A38" s="83" t="s">
        <v>81</v>
      </c>
      <c r="B38" s="66" t="s">
        <v>49</v>
      </c>
      <c r="C38" s="82" t="s">
        <v>133</v>
      </c>
      <c r="D38" s="309" t="str">
        <f>VLOOKUP(A38,'[1]List of economies'!$B$2:$F$219,4,FALSE)</f>
        <v>HIC</v>
      </c>
      <c r="E38" s="144">
        <v>44927</v>
      </c>
      <c r="F38" s="120">
        <f t="shared" si="0"/>
        <v>0.64469697078069055</v>
      </c>
      <c r="G38" s="134">
        <v>0.35606062412261963</v>
      </c>
      <c r="H38" s="103">
        <v>4.5454546809196472E-2</v>
      </c>
      <c r="I38" s="91">
        <v>0.66666668653488159</v>
      </c>
      <c r="J38" s="126">
        <v>0.64166665077209473</v>
      </c>
      <c r="K38" s="103">
        <v>0.3333333432674408</v>
      </c>
      <c r="L38" s="110">
        <v>0</v>
      </c>
      <c r="M38" s="110">
        <v>1.3999999761581421</v>
      </c>
      <c r="N38" s="18">
        <v>0.83333331346511841</v>
      </c>
      <c r="O38" s="29">
        <v>0.93636363744735718</v>
      </c>
      <c r="P38" s="103">
        <v>0.60000002384185791</v>
      </c>
      <c r="Q38" s="91">
        <v>1.2727272510528564</v>
      </c>
      <c r="R38" s="19"/>
      <c r="S38" s="19"/>
      <c r="T38" s="19"/>
    </row>
    <row r="39" spans="1:20" x14ac:dyDescent="0.2">
      <c r="A39" s="83" t="s">
        <v>105</v>
      </c>
      <c r="B39" s="66" t="s">
        <v>104</v>
      </c>
      <c r="C39" s="82" t="s">
        <v>133</v>
      </c>
      <c r="D39" s="309" t="str">
        <f>VLOOKUP(A39,'[1]List of economies'!$B$2:$F$219,4,FALSE)</f>
        <v>HIC</v>
      </c>
      <c r="E39" s="144">
        <v>45292</v>
      </c>
      <c r="F39" s="120">
        <f t="shared" si="0"/>
        <v>1.2447890837987263</v>
      </c>
      <c r="G39" s="134">
        <v>0.98547983169555664</v>
      </c>
      <c r="H39" s="103">
        <v>0.81818181276321411</v>
      </c>
      <c r="I39" s="91">
        <v>1.1527777910232544</v>
      </c>
      <c r="J39" s="126">
        <v>1.2882813215255737</v>
      </c>
      <c r="K39" s="103">
        <v>1.2864583730697632</v>
      </c>
      <c r="L39" s="110">
        <v>0.66666668653488159</v>
      </c>
      <c r="M39" s="110">
        <v>1.7000000476837158</v>
      </c>
      <c r="N39" s="18">
        <v>1.5</v>
      </c>
      <c r="O39" s="29">
        <v>1.4606060981750488</v>
      </c>
      <c r="P39" s="103">
        <v>1.4666666984558105</v>
      </c>
      <c r="Q39" s="91">
        <v>1.4545454978942871</v>
      </c>
      <c r="R39" s="19"/>
      <c r="S39" s="19"/>
      <c r="T39" s="19"/>
    </row>
    <row r="40" spans="1:20" x14ac:dyDescent="0.2">
      <c r="A40" s="83" t="s">
        <v>270</v>
      </c>
      <c r="B40" s="66" t="s">
        <v>269</v>
      </c>
      <c r="C40" s="82" t="s">
        <v>134</v>
      </c>
      <c r="D40" s="309" t="str">
        <f>VLOOKUP(A40,'[1]List of economies'!$B$2:$F$219,4,FALSE)</f>
        <v>UMC</v>
      </c>
      <c r="E40" s="144">
        <v>45658</v>
      </c>
      <c r="F40" s="120">
        <f t="shared" ref="F40:F52" si="1">IF(AND(G40=".",J40=".",O40="."),".",AVERAGE(G40,J40,O40))</f>
        <v>1.7240608533223469</v>
      </c>
      <c r="G40" s="134">
        <v>2.6595296859741211</v>
      </c>
      <c r="H40" s="103">
        <v>2.1500000953674316</v>
      </c>
      <c r="I40" s="91">
        <v>3.1690590381622314</v>
      </c>
      <c r="J40" s="126">
        <v>1.277046799659729</v>
      </c>
      <c r="K40" s="103">
        <v>1.7982456684112549</v>
      </c>
      <c r="L40" s="110">
        <v>0.87329435348510742</v>
      </c>
      <c r="M40" s="110">
        <v>0.66666668653488159</v>
      </c>
      <c r="N40" s="18">
        <v>1.7699805498123169</v>
      </c>
      <c r="O40" s="29">
        <v>1.2356060743331909</v>
      </c>
      <c r="P40" s="103">
        <v>1.3500000238418579</v>
      </c>
      <c r="Q40" s="91">
        <v>1.1212121248245239</v>
      </c>
      <c r="R40" s="19"/>
      <c r="S40" s="19"/>
      <c r="T40" s="19"/>
    </row>
    <row r="41" spans="1:20" x14ac:dyDescent="0.2">
      <c r="A41" s="83" t="s">
        <v>75</v>
      </c>
      <c r="B41" s="66" t="s">
        <v>27</v>
      </c>
      <c r="C41" s="82" t="s">
        <v>133</v>
      </c>
      <c r="D41" s="309" t="str">
        <f>VLOOKUP(A41,'[1]List of economies'!$B$2:$F$219,4,FALSE)</f>
        <v>UMC</v>
      </c>
      <c r="E41" s="144">
        <v>44927</v>
      </c>
      <c r="F41" s="120">
        <f t="shared" si="1"/>
        <v>1.8947753111521404</v>
      </c>
      <c r="G41" s="134">
        <v>2.0059809684753418</v>
      </c>
      <c r="H41" s="103">
        <v>2.3110048770904541</v>
      </c>
      <c r="I41" s="91">
        <v>1.7009569406509399</v>
      </c>
      <c r="J41" s="126">
        <v>1.4760720729827881</v>
      </c>
      <c r="K41" s="103">
        <v>1.4035087823867798</v>
      </c>
      <c r="L41" s="110">
        <v>8.9668616652488708E-2</v>
      </c>
      <c r="M41" s="110">
        <v>2.2999999523162842</v>
      </c>
      <c r="N41" s="18">
        <v>2.1111111640930176</v>
      </c>
      <c r="O41" s="29">
        <v>2.202272891998291</v>
      </c>
      <c r="P41" s="103">
        <v>1.9500000476837158</v>
      </c>
      <c r="Q41" s="91">
        <v>2.4545454978942871</v>
      </c>
      <c r="R41" s="19"/>
      <c r="S41" s="19"/>
      <c r="T41" s="19"/>
    </row>
    <row r="42" spans="1:20" x14ac:dyDescent="0.2">
      <c r="A42" s="83" t="s">
        <v>103</v>
      </c>
      <c r="B42" s="66" t="s">
        <v>102</v>
      </c>
      <c r="C42" s="82" t="s">
        <v>133</v>
      </c>
      <c r="D42" s="309" t="str">
        <f>VLOOKUP(A42,'[1]List of economies'!$B$2:$F$219,4,FALSE)</f>
        <v>HIC</v>
      </c>
      <c r="E42" s="144">
        <v>45292</v>
      </c>
      <c r="F42" s="120">
        <f t="shared" si="1"/>
        <v>0.9900489250818888</v>
      </c>
      <c r="G42" s="134">
        <v>1.5556221008300781</v>
      </c>
      <c r="H42" s="103">
        <v>1.0825358629226685</v>
      </c>
      <c r="I42" s="91">
        <v>2.0287082195281982</v>
      </c>
      <c r="J42" s="126">
        <v>0.85543376207351685</v>
      </c>
      <c r="K42" s="103">
        <v>0.46929824352264404</v>
      </c>
      <c r="L42" s="110">
        <v>0.66666668653488159</v>
      </c>
      <c r="M42" s="110">
        <v>1.7000000476837158</v>
      </c>
      <c r="N42" s="18">
        <v>0.58577001094818115</v>
      </c>
      <c r="O42" s="29">
        <v>0.55909091234207153</v>
      </c>
      <c r="P42" s="103">
        <v>0.30000001192092896</v>
      </c>
      <c r="Q42" s="91">
        <v>0.81818181276321411</v>
      </c>
      <c r="R42" s="19"/>
      <c r="S42" s="19"/>
      <c r="T42" s="19"/>
    </row>
    <row r="43" spans="1:20" x14ac:dyDescent="0.2">
      <c r="A43" s="83" t="s">
        <v>106</v>
      </c>
      <c r="B43" s="66" t="s">
        <v>151</v>
      </c>
      <c r="C43" s="82" t="s">
        <v>134</v>
      </c>
      <c r="D43" s="309" t="str">
        <f>VLOOKUP(A43,'[1]List of economies'!$B$2:$F$219,4,FALSE)</f>
        <v>UMC</v>
      </c>
      <c r="E43" s="144">
        <v>45292</v>
      </c>
      <c r="F43" s="120">
        <f t="shared" si="1"/>
        <v>3.3387227853139243</v>
      </c>
      <c r="G43" s="134">
        <v>2.9701755046844482</v>
      </c>
      <c r="H43" s="103">
        <v>2.9052631855010986</v>
      </c>
      <c r="I43" s="91">
        <v>3.0350878238677979</v>
      </c>
      <c r="J43" s="126">
        <v>2.6296052932739258</v>
      </c>
      <c r="K43" s="103">
        <v>4.425438404083252</v>
      </c>
      <c r="L43" s="110">
        <v>2.9502923488616943</v>
      </c>
      <c r="M43" s="110">
        <v>1.9701753854751587</v>
      </c>
      <c r="N43" s="18">
        <v>1.1725146770477295</v>
      </c>
      <c r="O43" s="29">
        <v>4.4163875579833984</v>
      </c>
      <c r="P43" s="103">
        <v>5.0552630424499512</v>
      </c>
      <c r="Q43" s="91">
        <v>3.7775120735168457</v>
      </c>
      <c r="R43" s="19"/>
      <c r="S43" s="19"/>
      <c r="T43" s="19"/>
    </row>
    <row r="44" spans="1:20" x14ac:dyDescent="0.2">
      <c r="A44" s="83" t="s">
        <v>93</v>
      </c>
      <c r="B44" s="66" t="s">
        <v>18</v>
      </c>
      <c r="C44" s="82" t="s">
        <v>133</v>
      </c>
      <c r="D44" s="309" t="str">
        <f>VLOOKUP(A44,'[1]List of economies'!$B$2:$F$219,4,FALSE)</f>
        <v>HIC</v>
      </c>
      <c r="E44" s="144">
        <v>44927</v>
      </c>
      <c r="F44" s="120">
        <f t="shared" si="1"/>
        <v>0.85353757937749231</v>
      </c>
      <c r="G44" s="134">
        <v>1.1278243064880371</v>
      </c>
      <c r="H44" s="103">
        <v>1.1028708219528198</v>
      </c>
      <c r="I44" s="91">
        <v>1.1527777910232544</v>
      </c>
      <c r="J44" s="126">
        <v>0.78165203332901001</v>
      </c>
      <c r="K44" s="103">
        <v>0.68859648704528809</v>
      </c>
      <c r="L44" s="110">
        <v>0.23684209585189819</v>
      </c>
      <c r="M44" s="110">
        <v>1.3999999761581421</v>
      </c>
      <c r="N44" s="18">
        <v>0.80116957426071167</v>
      </c>
      <c r="O44" s="29">
        <v>0.65113639831542969</v>
      </c>
      <c r="P44" s="103">
        <v>0.57499998807907104</v>
      </c>
      <c r="Q44" s="91">
        <v>0.72727274894714355</v>
      </c>
      <c r="R44" s="19"/>
      <c r="S44" s="19"/>
      <c r="T44" s="19"/>
    </row>
    <row r="45" spans="1:20" ht="14.25" x14ac:dyDescent="0.2">
      <c r="A45" s="83" t="s">
        <v>108</v>
      </c>
      <c r="B45" s="66" t="s">
        <v>232</v>
      </c>
      <c r="C45" s="82" t="s">
        <v>133</v>
      </c>
      <c r="D45" s="309" t="str">
        <f>VLOOKUP(A45,'[1]List of economies'!$B$2:$F$219,4,FALSE)</f>
        <v>HIC</v>
      </c>
      <c r="E45" s="144">
        <v>45292</v>
      </c>
      <c r="F45" s="120">
        <f t="shared" si="1"/>
        <v>1.6604732275009155</v>
      </c>
      <c r="G45" s="134">
        <v>2.3842105865478516</v>
      </c>
      <c r="H45" s="103">
        <v>2.3842105865478516</v>
      </c>
      <c r="I45" s="91" t="s">
        <v>173</v>
      </c>
      <c r="J45" s="126">
        <v>1.242165207862854</v>
      </c>
      <c r="K45" s="103" t="s">
        <v>173</v>
      </c>
      <c r="L45" s="110">
        <v>2</v>
      </c>
      <c r="M45" s="110">
        <v>1.615384578704834</v>
      </c>
      <c r="N45" s="18">
        <v>0.1111111119389534</v>
      </c>
      <c r="O45" s="29">
        <v>1.355043888092041</v>
      </c>
      <c r="P45" s="103">
        <v>1.3592104911804199</v>
      </c>
      <c r="Q45" s="91">
        <v>1.3508771657943726</v>
      </c>
      <c r="R45" s="19"/>
      <c r="S45" s="19"/>
      <c r="T45" s="19"/>
    </row>
    <row r="46" spans="1:20" x14ac:dyDescent="0.2">
      <c r="A46" s="83" t="s">
        <v>118</v>
      </c>
      <c r="B46" s="66" t="s">
        <v>117</v>
      </c>
      <c r="C46" s="82" t="s">
        <v>133</v>
      </c>
      <c r="D46" s="309" t="str">
        <f>VLOOKUP(A46,'[1]List of economies'!$B$2:$F$219,4,FALSE)</f>
        <v>UMC</v>
      </c>
      <c r="E46" s="144">
        <v>45292</v>
      </c>
      <c r="F46" s="120">
        <f t="shared" si="1"/>
        <v>3.0616637468338013</v>
      </c>
      <c r="G46" s="134">
        <v>3.4780092239379883</v>
      </c>
      <c r="H46" s="104">
        <v>3.4305555820465088</v>
      </c>
      <c r="I46" s="92">
        <v>3.5254628658294678</v>
      </c>
      <c r="J46" s="126">
        <v>1.7687243223190308</v>
      </c>
      <c r="K46" s="103">
        <v>1.8611111640930176</v>
      </c>
      <c r="L46" s="110">
        <v>1.3816872835159302</v>
      </c>
      <c r="M46" s="110">
        <v>2.0203704833984375</v>
      </c>
      <c r="N46" s="18">
        <v>1.8117283582687378</v>
      </c>
      <c r="O46" s="29">
        <v>3.9382576942443848</v>
      </c>
      <c r="P46" s="104">
        <v>4.0305557250976563</v>
      </c>
      <c r="Q46" s="92">
        <v>3.8459596633911133</v>
      </c>
      <c r="R46" s="19"/>
      <c r="S46" s="19"/>
      <c r="T46" s="19"/>
    </row>
    <row r="47" spans="1:20" x14ac:dyDescent="0.2">
      <c r="A47" s="83" t="s">
        <v>120</v>
      </c>
      <c r="B47" s="66" t="s">
        <v>119</v>
      </c>
      <c r="C47" s="82" t="s">
        <v>133</v>
      </c>
      <c r="D47" s="309" t="str">
        <f>VLOOKUP(A47,'[1]List of economies'!$B$2:$F$219,4,FALSE)</f>
        <v>HIC</v>
      </c>
      <c r="E47" s="144">
        <v>45292</v>
      </c>
      <c r="F47" s="120">
        <f t="shared" si="1"/>
        <v>1.9356848200162251</v>
      </c>
      <c r="G47" s="134">
        <v>3.5355262756347656</v>
      </c>
      <c r="H47" s="104">
        <v>3.5355262756347656</v>
      </c>
      <c r="I47" s="92" t="s">
        <v>173</v>
      </c>
      <c r="J47" s="126">
        <v>0.77834635972976685</v>
      </c>
      <c r="K47" s="103" t="s">
        <v>173</v>
      </c>
      <c r="L47" s="110">
        <v>0</v>
      </c>
      <c r="M47" s="110">
        <v>1.125</v>
      </c>
      <c r="N47" s="18">
        <v>1.2100390195846558</v>
      </c>
      <c r="O47" s="29">
        <v>1.4931818246841431</v>
      </c>
      <c r="P47" s="104">
        <v>1.3500000238418579</v>
      </c>
      <c r="Q47" s="92">
        <v>1.6363636255264282</v>
      </c>
      <c r="R47" s="19"/>
      <c r="S47" s="19"/>
      <c r="T47" s="19"/>
    </row>
    <row r="48" spans="1:20" x14ac:dyDescent="0.2">
      <c r="A48" s="83" t="s">
        <v>115</v>
      </c>
      <c r="B48" s="66" t="s">
        <v>152</v>
      </c>
      <c r="C48" s="82" t="s">
        <v>134</v>
      </c>
      <c r="D48" s="309" t="str">
        <f>VLOOKUP(A48,'[1]List of economies'!$B$2:$F$219,4,FALSE)</f>
        <v>UMC</v>
      </c>
      <c r="E48" s="144">
        <v>45292</v>
      </c>
      <c r="F48" s="120">
        <f t="shared" si="1"/>
        <v>2.0154040257136026</v>
      </c>
      <c r="G48" s="134">
        <v>2.3204545974731445</v>
      </c>
      <c r="H48" s="104">
        <v>1.5499999523162842</v>
      </c>
      <c r="I48" s="92">
        <v>3.0909090042114258</v>
      </c>
      <c r="J48" s="126">
        <v>1.6499999761581421</v>
      </c>
      <c r="K48" s="103">
        <v>1</v>
      </c>
      <c r="L48" s="110">
        <v>2</v>
      </c>
      <c r="M48" s="110">
        <v>2.0999999046325684</v>
      </c>
      <c r="N48" s="18">
        <v>1.5</v>
      </c>
      <c r="O48" s="29">
        <v>2.0757575035095215</v>
      </c>
      <c r="P48" s="104">
        <v>3</v>
      </c>
      <c r="Q48" s="92">
        <v>1.1515151262283325</v>
      </c>
      <c r="R48" s="19"/>
      <c r="S48" s="19"/>
      <c r="T48" s="19"/>
    </row>
    <row r="49" spans="1:20" x14ac:dyDescent="0.2">
      <c r="A49" s="83" t="s">
        <v>271</v>
      </c>
      <c r="B49" s="66" t="s">
        <v>272</v>
      </c>
      <c r="C49" s="82" t="s">
        <v>133</v>
      </c>
      <c r="D49" s="309" t="str">
        <f>VLOOKUP(A49,'[1]List of economies'!$B$2:$F$219,4,FALSE)</f>
        <v>HIC</v>
      </c>
      <c r="E49" s="144">
        <v>45292</v>
      </c>
      <c r="F49" s="120">
        <f t="shared" si="1"/>
        <v>0.9712813297907511</v>
      </c>
      <c r="G49" s="134">
        <v>1.3845694065093994</v>
      </c>
      <c r="H49" s="103">
        <v>1.0980861186981201</v>
      </c>
      <c r="I49" s="91">
        <v>1.6710526943206787</v>
      </c>
      <c r="J49" s="126">
        <v>1.1110928058624268</v>
      </c>
      <c r="K49" s="103">
        <v>0.79824560880661011</v>
      </c>
      <c r="L49" s="110">
        <v>0.78362572193145752</v>
      </c>
      <c r="M49" s="110">
        <v>1.7999999523162842</v>
      </c>
      <c r="N49" s="18">
        <v>1.0625</v>
      </c>
      <c r="O49" s="29">
        <v>0.41818177700042725</v>
      </c>
      <c r="P49" s="103">
        <v>0.53333330154418945</v>
      </c>
      <c r="Q49" s="91">
        <v>0.30303028225898743</v>
      </c>
      <c r="R49" s="19"/>
      <c r="S49" s="19"/>
      <c r="T49" s="19"/>
    </row>
    <row r="50" spans="1:20" x14ac:dyDescent="0.2">
      <c r="A50" s="83" t="s">
        <v>94</v>
      </c>
      <c r="B50" s="66" t="s">
        <v>53</v>
      </c>
      <c r="C50" s="82" t="s">
        <v>133</v>
      </c>
      <c r="D50" s="309" t="str">
        <f>VLOOKUP(A50,'[1]List of economies'!$B$2:$F$219,4,FALSE)</f>
        <v>UMC</v>
      </c>
      <c r="E50" s="144">
        <v>44927</v>
      </c>
      <c r="F50" s="120">
        <f t="shared" si="1"/>
        <v>2.6698122819264731</v>
      </c>
      <c r="G50" s="134">
        <v>3.8280863761901855</v>
      </c>
      <c r="H50" s="104">
        <v>4.0111112594604492</v>
      </c>
      <c r="I50" s="92">
        <v>3.645061731338501</v>
      </c>
      <c r="J50" s="126">
        <v>1.4853909015655518</v>
      </c>
      <c r="K50" s="103">
        <v>2.5185184478759766</v>
      </c>
      <c r="L50" s="110">
        <v>0.78189301490783691</v>
      </c>
      <c r="M50" s="110">
        <v>2.303703784942627</v>
      </c>
      <c r="N50" s="18">
        <v>0.33744856715202332</v>
      </c>
      <c r="O50" s="29">
        <v>2.6959595680236816</v>
      </c>
      <c r="P50" s="104">
        <v>2.7555556297302246</v>
      </c>
      <c r="Q50" s="92">
        <v>2.6363637447357178</v>
      </c>
      <c r="R50" s="19"/>
      <c r="S50" s="19"/>
      <c r="T50" s="19"/>
    </row>
    <row r="51" spans="1:20" ht="14.45" customHeight="1" x14ac:dyDescent="0.2">
      <c r="A51" s="83" t="s">
        <v>274</v>
      </c>
      <c r="B51" s="66" t="s">
        <v>273</v>
      </c>
      <c r="C51" s="82" t="s">
        <v>275</v>
      </c>
      <c r="D51" s="309" t="str">
        <f>VLOOKUP(A51,'[1]List of economies'!$B$2:$F$219,4,FALSE)</f>
        <v>UMC</v>
      </c>
      <c r="E51" s="144">
        <v>45658</v>
      </c>
      <c r="F51" s="120">
        <f t="shared" si="1"/>
        <v>3.3193404674530029</v>
      </c>
      <c r="G51" s="134">
        <v>4.0891227722167969</v>
      </c>
      <c r="H51" s="104">
        <v>4.6057896614074707</v>
      </c>
      <c r="I51" s="92">
        <v>3.5724561214447021</v>
      </c>
      <c r="J51" s="126">
        <v>2.6160037517547607</v>
      </c>
      <c r="K51" s="103">
        <v>4.342982292175293</v>
      </c>
      <c r="L51" s="110">
        <v>1.4095516204833984</v>
      </c>
      <c r="M51" s="110">
        <v>2.9685964584350586</v>
      </c>
      <c r="N51" s="18">
        <v>1.7428849935531616</v>
      </c>
      <c r="O51" s="29">
        <v>3.2528948783874512</v>
      </c>
      <c r="P51" s="104">
        <v>3.5057895183563232</v>
      </c>
      <c r="Q51" s="92">
        <v>3</v>
      </c>
      <c r="R51" s="19"/>
      <c r="S51" s="19"/>
      <c r="T51" s="19"/>
    </row>
    <row r="52" spans="1:20" x14ac:dyDescent="0.2">
      <c r="A52" s="83" t="s">
        <v>258</v>
      </c>
      <c r="B52" s="66" t="s">
        <v>257</v>
      </c>
      <c r="C52" s="82" t="s">
        <v>133</v>
      </c>
      <c r="D52" s="309" t="str">
        <f>VLOOKUP(A52,'[1]List of economies'!$B$2:$F$219,4,FALSE)</f>
        <v>HIC</v>
      </c>
      <c r="E52" s="144">
        <v>45292</v>
      </c>
      <c r="F52" s="120">
        <f t="shared" si="1"/>
        <v>3.207163174947103</v>
      </c>
      <c r="G52" s="134">
        <v>4.2226076126098633</v>
      </c>
      <c r="H52" s="104">
        <v>3.4236841201782227</v>
      </c>
      <c r="I52" s="92">
        <v>5.0215311050415039</v>
      </c>
      <c r="J52" s="126">
        <v>3.1524105072021484</v>
      </c>
      <c r="K52" s="103">
        <v>5.247368335723877</v>
      </c>
      <c r="L52" s="110">
        <v>3.4161794185638428</v>
      </c>
      <c r="M52" s="110">
        <v>2.307692289352417</v>
      </c>
      <c r="N52" s="18">
        <v>1.6384015083312988</v>
      </c>
      <c r="O52" s="29">
        <v>2.2464714050292969</v>
      </c>
      <c r="P52" s="104">
        <v>2.1986842155456543</v>
      </c>
      <c r="Q52" s="92">
        <v>2.2942583560943604</v>
      </c>
      <c r="R52" s="19"/>
      <c r="S52" s="19"/>
      <c r="T52" s="19"/>
    </row>
    <row r="53" spans="1:20" x14ac:dyDescent="0.2">
      <c r="A53" s="169" t="s">
        <v>208</v>
      </c>
      <c r="B53" s="66" t="s">
        <v>171</v>
      </c>
      <c r="D53" s="309" t="str">
        <f>VLOOKUP(A53,'[1]List of economies'!$B$2:$F$219,4,FALSE)</f>
        <v>UMC</v>
      </c>
      <c r="F53" s="254">
        <f>IF(AND(H53=".",I53=".",K53=".",L53=".",M53=".",N53=".",P53=".",Q53="."),".",AVERAGE(H53,I53,K53,L53,M53,N53,P53,Q53))</f>
        <v>1.7638365067541599</v>
      </c>
      <c r="G53" s="172">
        <v>2.6031746864318852</v>
      </c>
      <c r="H53" s="257">
        <v>2.428571462631226</v>
      </c>
      <c r="I53" s="258">
        <v>2.7777776718139648</v>
      </c>
      <c r="J53" s="172">
        <v>2.1830358505249019</v>
      </c>
      <c r="K53" s="257">
        <v>4.7142858505249023</v>
      </c>
      <c r="L53" s="258">
        <v>1</v>
      </c>
      <c r="M53" s="258">
        <v>2.1428570747375488</v>
      </c>
      <c r="N53" s="91">
        <v>0.875</v>
      </c>
      <c r="O53" s="172">
        <v>8.6099997162818909E-2</v>
      </c>
      <c r="P53" s="258">
        <v>0.17219999432563779</v>
      </c>
      <c r="Q53" s="258">
        <v>0</v>
      </c>
    </row>
    <row r="54" spans="1:20" x14ac:dyDescent="0.2">
      <c r="A54" s="169" t="s">
        <v>209</v>
      </c>
      <c r="B54" s="66" t="s">
        <v>172</v>
      </c>
      <c r="D54" s="309" t="str">
        <f>VLOOKUP(A54,'[1]List of economies'!$B$2:$F$219,4,FALSE)</f>
        <v>UMC</v>
      </c>
      <c r="F54" s="254">
        <f>IF(AND(H54=".",I54=".",K54=".",L54=".",M54=".",N54=".",P54=".",Q54="."),".",AVERAGE(H54,I54,K54,L54,M54,N54,P54,Q54))</f>
        <v>3.3524118917328969</v>
      </c>
      <c r="G54" s="172">
        <v>5.1607141494750977</v>
      </c>
      <c r="H54" s="257">
        <v>5.0714287757873544</v>
      </c>
      <c r="I54" s="258">
        <v>5.25</v>
      </c>
      <c r="J54" s="172">
        <v>1.5151515007019041</v>
      </c>
      <c r="K54" s="257" t="s">
        <v>173</v>
      </c>
      <c r="L54" s="258">
        <v>0.54545456171035767</v>
      </c>
      <c r="M54" s="258">
        <v>2</v>
      </c>
      <c r="N54" s="91">
        <v>2</v>
      </c>
      <c r="O54" s="172">
        <v>4.3000001907348633</v>
      </c>
      <c r="P54" s="258">
        <v>5.0999999046325684</v>
      </c>
      <c r="Q54" s="258">
        <v>3.5</v>
      </c>
    </row>
    <row r="55" spans="1:20" x14ac:dyDescent="0.2">
      <c r="A55" s="169" t="s">
        <v>210</v>
      </c>
      <c r="B55" s="66" t="s">
        <v>192</v>
      </c>
      <c r="D55" s="309" t="str">
        <f>VLOOKUP(A55,'[1]List of economies'!$B$2:$F$219,4,FALSE)</f>
        <v>UMC</v>
      </c>
      <c r="F55" s="254">
        <v>2.5995297282934189</v>
      </c>
      <c r="G55" s="172">
        <v>2.6607141494750981</v>
      </c>
      <c r="H55" s="257">
        <v>2.821428537368774</v>
      </c>
      <c r="I55" s="258">
        <v>2.5</v>
      </c>
      <c r="J55" s="172">
        <v>2.3922023773193359</v>
      </c>
      <c r="K55" s="257">
        <v>3</v>
      </c>
      <c r="L55" s="258">
        <v>3.086666584014893</v>
      </c>
      <c r="M55" s="258">
        <v>1.3571428060531621</v>
      </c>
      <c r="N55" s="91">
        <v>2.125</v>
      </c>
      <c r="O55" s="172">
        <v>2.9530000686645508</v>
      </c>
      <c r="P55" s="258">
        <v>3.6059999465942378</v>
      </c>
      <c r="Q55" s="258">
        <v>2.2999999523162842</v>
      </c>
    </row>
    <row r="56" spans="1:20" x14ac:dyDescent="0.2">
      <c r="A56" s="169" t="s">
        <v>295</v>
      </c>
      <c r="B56" s="66" t="s">
        <v>174</v>
      </c>
      <c r="D56" s="309" t="str">
        <f>VLOOKUP(A56,'[1]List of economies'!$B$2:$F$219,4,FALSE)</f>
        <v>UMC</v>
      </c>
      <c r="F56" s="254">
        <f t="shared" ref="F56:F63" si="2">IF(AND(H56=".",I56=".",K56=".",L56=".",M56=".",N56=".",P56=".",Q56="."),".",AVERAGE(H56,I56,K56,L56,M56,N56,P56,Q56))</f>
        <v>1.8220237890879314</v>
      </c>
      <c r="G56" s="172">
        <v>1.8571428060531621</v>
      </c>
      <c r="H56" s="257">
        <v>1.8571428060531621</v>
      </c>
      <c r="I56" s="258" t="s">
        <v>173</v>
      </c>
      <c r="J56" s="172">
        <v>2</v>
      </c>
      <c r="K56" s="257">
        <v>3</v>
      </c>
      <c r="L56" s="258">
        <v>2</v>
      </c>
      <c r="M56" s="258">
        <v>1</v>
      </c>
      <c r="N56" s="91" t="s">
        <v>173</v>
      </c>
      <c r="O56" s="172">
        <v>1.5374999046325679</v>
      </c>
      <c r="P56" s="258">
        <v>0.97500002384185791</v>
      </c>
      <c r="Q56" s="258">
        <v>2.0999999046325679</v>
      </c>
    </row>
    <row r="57" spans="1:20" ht="14.25" x14ac:dyDescent="0.2">
      <c r="A57" s="169" t="s">
        <v>211</v>
      </c>
      <c r="B57" s="66" t="s">
        <v>175</v>
      </c>
      <c r="D57" s="309" t="str">
        <f>VLOOKUP(A57,'[1]List of economies'!$B$2:$F$219,4,FALSE)</f>
        <v>UMC</v>
      </c>
      <c r="F57" s="254">
        <f t="shared" si="2"/>
        <v>2.7872337773442268</v>
      </c>
      <c r="G57" s="172">
        <v>4.0142087936401367</v>
      </c>
      <c r="H57" s="257">
        <v>4.7225713729858398</v>
      </c>
      <c r="I57" s="258">
        <v>3.305846214294434</v>
      </c>
      <c r="J57" s="172">
        <v>2.831863164901733</v>
      </c>
      <c r="K57" s="257">
        <v>3.428571462631226</v>
      </c>
      <c r="L57" s="258">
        <v>2.8180000782012939</v>
      </c>
      <c r="M57" s="258">
        <v>2.2857143878936772</v>
      </c>
      <c r="N57" s="91">
        <v>2.7951667308807369</v>
      </c>
      <c r="O57" s="172">
        <v>1.470999956130981</v>
      </c>
      <c r="P57" s="258">
        <v>1.984799981117249</v>
      </c>
      <c r="Q57" s="258">
        <v>0.95719999074935913</v>
      </c>
    </row>
    <row r="58" spans="1:20" x14ac:dyDescent="0.2">
      <c r="A58" s="169" t="s">
        <v>212</v>
      </c>
      <c r="B58" s="66" t="s">
        <v>176</v>
      </c>
      <c r="D58" s="309" t="str">
        <f>VLOOKUP(A58,'[1]List of economies'!$B$2:$F$219,4,FALSE)</f>
        <v>UMC</v>
      </c>
      <c r="F58" s="254">
        <f t="shared" si="2"/>
        <v>2.3712239414453506</v>
      </c>
      <c r="G58" s="172">
        <v>1.7723956108093259</v>
      </c>
      <c r="H58" s="257">
        <v>2.0357143878936772</v>
      </c>
      <c r="I58" s="258">
        <v>1.5090769529342649</v>
      </c>
      <c r="J58" s="172">
        <v>2.9375</v>
      </c>
      <c r="K58" s="257">
        <v>5.5714287757873544</v>
      </c>
      <c r="L58" s="258">
        <v>2.25</v>
      </c>
      <c r="M58" s="258">
        <v>1.428571462631226</v>
      </c>
      <c r="N58" s="91">
        <v>2.5</v>
      </c>
      <c r="O58" s="172">
        <v>1.8374999761581421</v>
      </c>
      <c r="P58" s="258">
        <v>1.875</v>
      </c>
      <c r="Q58" s="258">
        <v>1.799999952316284</v>
      </c>
    </row>
    <row r="59" spans="1:20" x14ac:dyDescent="0.2">
      <c r="A59" s="169" t="s">
        <v>213</v>
      </c>
      <c r="B59" s="66" t="s">
        <v>177</v>
      </c>
      <c r="D59" s="309" t="str">
        <f>VLOOKUP(A59,'[1]List of economies'!$B$2:$F$219,4,FALSE)</f>
        <v>UMC</v>
      </c>
      <c r="F59" s="254">
        <f t="shared" si="2"/>
        <v>2.7196915745735168</v>
      </c>
      <c r="G59" s="172">
        <v>3.522571325302124</v>
      </c>
      <c r="H59" s="257">
        <v>3.522571325302124</v>
      </c>
      <c r="I59" s="258" t="s">
        <v>173</v>
      </c>
      <c r="J59" s="172">
        <v>3.5600674152374272</v>
      </c>
      <c r="K59" s="257">
        <v>4.6118569374084473</v>
      </c>
      <c r="L59" s="258">
        <v>4.25</v>
      </c>
      <c r="M59" s="258">
        <v>2.1428570747375488</v>
      </c>
      <c r="N59" s="91">
        <v>3.2355556488037109</v>
      </c>
      <c r="O59" s="172">
        <v>0.63750004768371582</v>
      </c>
      <c r="P59" s="258">
        <v>0.67500001192092896</v>
      </c>
      <c r="Q59" s="258">
        <v>0.60000002384185791</v>
      </c>
    </row>
    <row r="60" spans="1:20" x14ac:dyDescent="0.2">
      <c r="A60" s="169" t="s">
        <v>214</v>
      </c>
      <c r="B60" s="66" t="s">
        <v>205</v>
      </c>
      <c r="D60" s="309" t="str">
        <f>VLOOKUP(A60,'[1]List of economies'!$B$2:$F$219,4,FALSE)</f>
        <v>HIC</v>
      </c>
      <c r="F60" s="254">
        <v>3.0432802736759186</v>
      </c>
      <c r="G60" s="172">
        <v>3.312012910842896</v>
      </c>
      <c r="H60" s="257">
        <v>2.7896924018859859</v>
      </c>
      <c r="I60" s="258">
        <v>3.8343334197998051</v>
      </c>
      <c r="J60" s="172">
        <v>2.476054191589355</v>
      </c>
      <c r="K60" s="257">
        <v>4.1999998092651367</v>
      </c>
      <c r="L60" s="258">
        <v>2.5873334407806401</v>
      </c>
      <c r="M60" s="258">
        <v>1.071428537368774</v>
      </c>
      <c r="N60" s="91">
        <v>2.0454545021057129</v>
      </c>
      <c r="O60" s="172">
        <v>3.908999919891357</v>
      </c>
      <c r="P60" s="258">
        <v>5.1180000305175781</v>
      </c>
      <c r="Q60" s="258">
        <v>2.7000000476837158</v>
      </c>
    </row>
    <row r="61" spans="1:20" x14ac:dyDescent="0.2">
      <c r="A61" s="169" t="s">
        <v>215</v>
      </c>
      <c r="B61" s="66" t="s">
        <v>178</v>
      </c>
      <c r="D61" s="309" t="str">
        <f>VLOOKUP(A61,'[1]List of economies'!$B$2:$F$219,4,FALSE)</f>
        <v>UMC</v>
      </c>
      <c r="F61" s="254">
        <f t="shared" si="2"/>
        <v>2.6278878450393677</v>
      </c>
      <c r="G61" s="29">
        <v>2.2126538753509521</v>
      </c>
      <c r="H61" s="258">
        <v>2.5</v>
      </c>
      <c r="I61" s="258">
        <v>1.925307631492615</v>
      </c>
      <c r="J61" s="29">
        <v>2.9772322177886958</v>
      </c>
      <c r="K61" s="258">
        <v>4.2857141494750977</v>
      </c>
      <c r="L61" s="258">
        <v>3.9210000038146968</v>
      </c>
      <c r="M61" s="258">
        <v>2.2857143878936772</v>
      </c>
      <c r="N61" s="258">
        <v>1.416499972343445</v>
      </c>
      <c r="O61" s="29">
        <v>2.3444333076477051</v>
      </c>
      <c r="P61" s="258">
        <v>2.1735999584197998</v>
      </c>
      <c r="Q61" s="258">
        <v>2.5152666568756099</v>
      </c>
    </row>
    <row r="62" spans="1:20" x14ac:dyDescent="0.2">
      <c r="A62" s="169" t="s">
        <v>216</v>
      </c>
      <c r="B62" s="66" t="s">
        <v>179</v>
      </c>
      <c r="D62" s="309" t="str">
        <f>VLOOKUP(A62,'[1]List of economies'!$B$2:$F$219,4,FALSE)</f>
        <v>LMC</v>
      </c>
      <c r="F62" s="254">
        <f t="shared" si="2"/>
        <v>2.7400438274656023</v>
      </c>
      <c r="G62" s="29">
        <v>2.307692289352417</v>
      </c>
      <c r="H62" s="258">
        <v>2.307692289352417</v>
      </c>
      <c r="I62" s="258" t="s">
        <v>173</v>
      </c>
      <c r="J62" s="29">
        <v>2.5614035129547119</v>
      </c>
      <c r="K62" s="258">
        <v>3.5</v>
      </c>
      <c r="L62" s="258">
        <v>2.2916667461395259</v>
      </c>
      <c r="M62" s="258">
        <v>1.5789474248886111</v>
      </c>
      <c r="N62" s="258">
        <v>2.875</v>
      </c>
      <c r="O62" s="29">
        <v>3.3135001659393311</v>
      </c>
      <c r="P62" s="258">
        <v>4.2270002365112296</v>
      </c>
      <c r="Q62" s="258">
        <v>2.4000000953674321</v>
      </c>
    </row>
    <row r="63" spans="1:20" x14ac:dyDescent="0.2">
      <c r="A63" s="251" t="s">
        <v>217</v>
      </c>
      <c r="B63" s="244" t="s">
        <v>180</v>
      </c>
      <c r="D63" s="309" t="str">
        <f>VLOOKUP(A63,'[1]List of economies'!$B$2:$F$219,4,FALSE)</f>
        <v>LMC</v>
      </c>
      <c r="F63" s="255">
        <f t="shared" si="2"/>
        <v>3.8835362941026688</v>
      </c>
      <c r="G63" s="256">
        <v>4.4099998474121094</v>
      </c>
      <c r="H63" s="259">
        <v>3.5</v>
      </c>
      <c r="I63" s="259">
        <v>5.320000171661377</v>
      </c>
      <c r="J63" s="256">
        <v>3.212072610855103</v>
      </c>
      <c r="K63" s="259">
        <v>5.5</v>
      </c>
      <c r="L63" s="259">
        <v>3.5716667175292969</v>
      </c>
      <c r="M63" s="259">
        <v>1.785714268684387</v>
      </c>
      <c r="N63" s="259">
        <v>1.990909099578857</v>
      </c>
      <c r="O63" s="256">
        <v>4.6999998092651367</v>
      </c>
      <c r="P63" s="259">
        <v>5.0999999046325684</v>
      </c>
      <c r="Q63" s="259">
        <v>4.3000001907348633</v>
      </c>
    </row>
  </sheetData>
  <pageMargins left="0.7" right="0.7" top="0.75" bottom="0.75" header="0.3" footer="0.3"/>
  <pageSetup paperSize="9" scale="96" fitToWidth="0" orientation="landscape" r:id="rId1"/>
  <headerFooter>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EDDC1-3D95-4BA7-B6A8-E89C8C8E9213}">
  <dimension ref="A1:Q63"/>
  <sheetViews>
    <sheetView workbookViewId="0">
      <selection activeCell="L15" sqref="L15"/>
    </sheetView>
  </sheetViews>
  <sheetFormatPr defaultRowHeight="12.75" x14ac:dyDescent="0.2"/>
  <sheetData>
    <row r="1" spans="1:17" x14ac:dyDescent="0.2">
      <c r="A1" t="s">
        <v>278</v>
      </c>
      <c r="B1" t="s">
        <v>279</v>
      </c>
      <c r="C1" t="s">
        <v>280</v>
      </c>
      <c r="D1" t="s">
        <v>281</v>
      </c>
      <c r="E1" t="s">
        <v>282</v>
      </c>
      <c r="F1" t="s">
        <v>283</v>
      </c>
      <c r="G1" t="s">
        <v>284</v>
      </c>
      <c r="H1" t="s">
        <v>285</v>
      </c>
      <c r="I1" t="s">
        <v>286</v>
      </c>
      <c r="J1" t="s">
        <v>287</v>
      </c>
      <c r="K1" t="s">
        <v>288</v>
      </c>
      <c r="L1" t="s">
        <v>289</v>
      </c>
      <c r="M1" t="s">
        <v>290</v>
      </c>
      <c r="N1" t="s">
        <v>291</v>
      </c>
      <c r="O1" t="s">
        <v>292</v>
      </c>
      <c r="P1" t="s">
        <v>293</v>
      </c>
      <c r="Q1" t="s">
        <v>294</v>
      </c>
    </row>
    <row r="2" spans="1:17" x14ac:dyDescent="0.2">
      <c r="A2" t="s">
        <v>62</v>
      </c>
      <c r="B2" t="s">
        <v>61</v>
      </c>
      <c r="C2" t="s">
        <v>133</v>
      </c>
      <c r="D2" t="s">
        <v>296</v>
      </c>
      <c r="E2">
        <v>44927</v>
      </c>
      <c r="F2">
        <v>1.1524336139361064</v>
      </c>
      <c r="G2">
        <v>0.79987376928329468</v>
      </c>
      <c r="H2">
        <v>0.36363637447357178</v>
      </c>
      <c r="I2">
        <v>1.2361111640930176</v>
      </c>
      <c r="J2">
        <v>1.8634278774261475</v>
      </c>
      <c r="K2">
        <v>3.8184211254119873</v>
      </c>
      <c r="L2">
        <v>0.66666668653488159</v>
      </c>
      <c r="M2">
        <v>1.4686235189437866</v>
      </c>
      <c r="N2">
        <v>1.5</v>
      </c>
      <c r="O2">
        <v>0.79399919509887695</v>
      </c>
      <c r="P2">
        <v>0.70921051502227783</v>
      </c>
      <c r="Q2">
        <v>0.87878787517547607</v>
      </c>
    </row>
    <row r="3" spans="1:17" x14ac:dyDescent="0.2">
      <c r="A3" t="s">
        <v>76</v>
      </c>
      <c r="B3" t="s">
        <v>37</v>
      </c>
      <c r="C3" t="s">
        <v>133</v>
      </c>
      <c r="D3" t="s">
        <v>296</v>
      </c>
      <c r="E3">
        <v>44927</v>
      </c>
      <c r="F3">
        <v>0.78079404433568322</v>
      </c>
      <c r="G3">
        <v>0.76325756311416626</v>
      </c>
      <c r="H3">
        <v>0.81818181276321411</v>
      </c>
      <c r="I3">
        <v>0.70833331346511841</v>
      </c>
      <c r="J3">
        <v>1.1018518209457397</v>
      </c>
      <c r="K3">
        <v>0.66666668653488159</v>
      </c>
      <c r="L3">
        <v>0.66666668653488159</v>
      </c>
      <c r="M3">
        <v>1.5</v>
      </c>
      <c r="N3">
        <v>1.5740740299224854</v>
      </c>
      <c r="O3">
        <v>0.47727274894714355</v>
      </c>
      <c r="P3">
        <v>0.5</v>
      </c>
      <c r="Q3">
        <v>0.45454546809196472</v>
      </c>
    </row>
    <row r="4" spans="1:17" x14ac:dyDescent="0.2">
      <c r="A4" t="s">
        <v>114</v>
      </c>
      <c r="B4" t="s">
        <v>113</v>
      </c>
      <c r="C4" t="s">
        <v>133</v>
      </c>
      <c r="D4" t="s">
        <v>296</v>
      </c>
      <c r="E4">
        <v>44927</v>
      </c>
      <c r="F4">
        <v>1.0804737408955891</v>
      </c>
      <c r="G4">
        <v>1</v>
      </c>
      <c r="H4">
        <v>1</v>
      </c>
      <c r="I4">
        <v>1</v>
      </c>
      <c r="J4">
        <v>1.1502314805984497</v>
      </c>
      <c r="K4">
        <v>0.46759259700775146</v>
      </c>
      <c r="L4">
        <v>2</v>
      </c>
      <c r="M4">
        <v>1.7999999523162842</v>
      </c>
      <c r="N4">
        <v>0.3333333432674408</v>
      </c>
      <c r="O4">
        <v>1.0911897420883179</v>
      </c>
      <c r="P4">
        <v>1.3086420297622681</v>
      </c>
      <c r="Q4">
        <v>0.8737373948097229</v>
      </c>
    </row>
    <row r="5" spans="1:17" x14ac:dyDescent="0.2">
      <c r="A5" t="s">
        <v>63</v>
      </c>
      <c r="B5" t="s">
        <v>31</v>
      </c>
      <c r="C5" t="s">
        <v>133</v>
      </c>
      <c r="D5" t="s">
        <v>296</v>
      </c>
      <c r="E5">
        <v>44927</v>
      </c>
      <c r="F5">
        <v>1.3754511674245198</v>
      </c>
      <c r="G5">
        <v>1.579744815826416</v>
      </c>
      <c r="H5">
        <v>1.0382775068283081</v>
      </c>
      <c r="I5">
        <v>2.1212120056152344</v>
      </c>
      <c r="J5">
        <v>1.1897904872894287</v>
      </c>
      <c r="K5">
        <v>1.2850877046585083</v>
      </c>
      <c r="L5">
        <v>0.66666668653488159</v>
      </c>
      <c r="M5">
        <v>1.5140351057052612</v>
      </c>
      <c r="N5">
        <v>1.2933722734451294</v>
      </c>
      <c r="O5">
        <v>1.3568181991577148</v>
      </c>
      <c r="P5">
        <v>1.3500000238418579</v>
      </c>
      <c r="Q5">
        <v>1.3636363744735718</v>
      </c>
    </row>
    <row r="6" spans="1:17" x14ac:dyDescent="0.2">
      <c r="A6" t="s">
        <v>77</v>
      </c>
      <c r="B6" t="s">
        <v>47</v>
      </c>
      <c r="C6" t="s">
        <v>133</v>
      </c>
      <c r="D6" t="s">
        <v>296</v>
      </c>
      <c r="E6">
        <v>44927</v>
      </c>
      <c r="F6">
        <v>1.7380892435709636</v>
      </c>
      <c r="G6">
        <v>1.8813397884368896</v>
      </c>
      <c r="H6">
        <v>0.60000002384185791</v>
      </c>
      <c r="I6">
        <v>3.1626794338226318</v>
      </c>
      <c r="J6">
        <v>1.5715643167495728</v>
      </c>
      <c r="K6">
        <v>3.1973683834075928</v>
      </c>
      <c r="L6">
        <v>0.66666668653488159</v>
      </c>
      <c r="M6">
        <v>0.69999998807907104</v>
      </c>
      <c r="N6">
        <v>1.7222222089767456</v>
      </c>
      <c r="O6">
        <v>1.7613636255264282</v>
      </c>
      <c r="P6">
        <v>1.25</v>
      </c>
      <c r="Q6">
        <v>2.2727272510528564</v>
      </c>
    </row>
    <row r="7" spans="1:17" x14ac:dyDescent="0.2">
      <c r="A7" t="s">
        <v>98</v>
      </c>
      <c r="B7" t="s">
        <v>97</v>
      </c>
      <c r="C7" t="s">
        <v>134</v>
      </c>
      <c r="D7" t="s">
        <v>297</v>
      </c>
      <c r="E7">
        <v>44927</v>
      </c>
      <c r="F7">
        <v>1.9617889324824016</v>
      </c>
      <c r="G7">
        <v>2.1224880218505859</v>
      </c>
      <c r="H7">
        <v>2.1684210300445557</v>
      </c>
      <c r="I7">
        <v>2.0765550136566162</v>
      </c>
      <c r="J7">
        <v>1.6916667222976685</v>
      </c>
      <c r="K7">
        <v>2</v>
      </c>
      <c r="L7">
        <v>0.66666668653488159</v>
      </c>
      <c r="M7">
        <v>2.4333333969116211</v>
      </c>
      <c r="N7">
        <v>1.6666666269302368</v>
      </c>
      <c r="O7">
        <v>2.0712120532989502</v>
      </c>
      <c r="P7">
        <v>1.8999999761581421</v>
      </c>
      <c r="Q7">
        <v>2.2424242496490479</v>
      </c>
    </row>
    <row r="8" spans="1:17" x14ac:dyDescent="0.2">
      <c r="A8" t="s">
        <v>78</v>
      </c>
      <c r="B8" t="s">
        <v>28</v>
      </c>
      <c r="C8" t="s">
        <v>134</v>
      </c>
      <c r="D8" t="s">
        <v>296</v>
      </c>
      <c r="E8">
        <v>44927</v>
      </c>
      <c r="F8">
        <v>3.064556042353312</v>
      </c>
      <c r="G8">
        <v>4.1778945922851563</v>
      </c>
      <c r="H8">
        <v>4.1778945922851563</v>
      </c>
      <c r="I8" t="s">
        <v>173</v>
      </c>
      <c r="J8">
        <v>3.5222806930541992</v>
      </c>
      <c r="K8">
        <v>5.3557896614074707</v>
      </c>
      <c r="L8">
        <v>3.3333332538604736</v>
      </c>
      <c r="M8">
        <v>2.4000000953674316</v>
      </c>
      <c r="N8">
        <v>3</v>
      </c>
      <c r="O8">
        <v>1.4934928417205811</v>
      </c>
      <c r="P8">
        <v>1.7445614337921143</v>
      </c>
      <c r="Q8">
        <v>1.2424242496490479</v>
      </c>
    </row>
    <row r="9" spans="1:17" x14ac:dyDescent="0.2">
      <c r="A9" t="s">
        <v>64</v>
      </c>
      <c r="B9" t="s">
        <v>60</v>
      </c>
      <c r="C9" t="s">
        <v>133</v>
      </c>
      <c r="D9" t="s">
        <v>296</v>
      </c>
      <c r="E9">
        <v>44927</v>
      </c>
      <c r="F9">
        <v>1.1672182480494182</v>
      </c>
      <c r="G9">
        <v>0.78628385066986084</v>
      </c>
      <c r="H9">
        <v>0.73923444747924805</v>
      </c>
      <c r="I9">
        <v>0.83333331346511841</v>
      </c>
      <c r="J9">
        <v>1.1918859481811523</v>
      </c>
      <c r="K9">
        <v>0.68859648704528809</v>
      </c>
      <c r="L9">
        <v>0.74561405181884766</v>
      </c>
      <c r="M9">
        <v>2</v>
      </c>
      <c r="N9">
        <v>1.3333333730697632</v>
      </c>
      <c r="O9">
        <v>1.5234849452972412</v>
      </c>
      <c r="P9">
        <v>1.3500000238418579</v>
      </c>
      <c r="Q9">
        <v>1.696969747543335</v>
      </c>
    </row>
    <row r="10" spans="1:17" x14ac:dyDescent="0.2">
      <c r="A10" t="s">
        <v>79</v>
      </c>
      <c r="B10" t="s">
        <v>54</v>
      </c>
      <c r="C10" t="s">
        <v>133</v>
      </c>
      <c r="D10" t="s">
        <v>296</v>
      </c>
      <c r="E10">
        <v>44927</v>
      </c>
      <c r="F10">
        <v>0.84134880701700843</v>
      </c>
      <c r="G10">
        <v>0.53033626079559326</v>
      </c>
      <c r="H10">
        <v>0.43421053886413574</v>
      </c>
      <c r="I10">
        <v>0.62646198272705078</v>
      </c>
      <c r="J10">
        <v>0.66567981243133545</v>
      </c>
      <c r="K10">
        <v>0.46271929144859314</v>
      </c>
      <c r="L10">
        <v>0</v>
      </c>
      <c r="M10">
        <v>1.7000000476837158</v>
      </c>
      <c r="N10">
        <v>0.5</v>
      </c>
      <c r="O10">
        <v>1.3280303478240967</v>
      </c>
      <c r="P10">
        <v>1.0499999523162842</v>
      </c>
      <c r="Q10">
        <v>1.6060606241226196</v>
      </c>
    </row>
    <row r="11" spans="1:17" x14ac:dyDescent="0.2">
      <c r="A11" t="s">
        <v>65</v>
      </c>
      <c r="B11" t="s">
        <v>34</v>
      </c>
      <c r="C11" t="s">
        <v>133</v>
      </c>
      <c r="D11" t="s">
        <v>296</v>
      </c>
      <c r="E11">
        <v>44927</v>
      </c>
      <c r="F11">
        <v>1.0628787676493328</v>
      </c>
      <c r="G11">
        <v>0.7239234447479248</v>
      </c>
      <c r="H11">
        <v>0.44784688949584961</v>
      </c>
      <c r="I11">
        <v>1</v>
      </c>
      <c r="J11">
        <v>0.97872805595397949</v>
      </c>
      <c r="K11">
        <v>0.48771929740905762</v>
      </c>
      <c r="L11">
        <v>0.82719296216964722</v>
      </c>
      <c r="M11">
        <v>2.0999999046325684</v>
      </c>
      <c r="N11">
        <v>0.5</v>
      </c>
      <c r="O11">
        <v>1.4859848022460938</v>
      </c>
      <c r="P11">
        <v>1.2749999761581421</v>
      </c>
      <c r="Q11">
        <v>1.696969747543335</v>
      </c>
    </row>
    <row r="12" spans="1:17" x14ac:dyDescent="0.2">
      <c r="A12" t="s">
        <v>66</v>
      </c>
      <c r="B12" t="s">
        <v>38</v>
      </c>
      <c r="C12" t="s">
        <v>133</v>
      </c>
      <c r="D12" t="s">
        <v>296</v>
      </c>
      <c r="E12">
        <v>44927</v>
      </c>
      <c r="F12">
        <v>1.1270467440287273</v>
      </c>
      <c r="G12">
        <v>1.2292662858963013</v>
      </c>
      <c r="H12">
        <v>0.7918660044670105</v>
      </c>
      <c r="I12">
        <v>1.6666666269302368</v>
      </c>
      <c r="J12">
        <v>0.94692981243133545</v>
      </c>
      <c r="K12">
        <v>1.4517543315887451</v>
      </c>
      <c r="L12">
        <v>7.8947365283966064E-2</v>
      </c>
      <c r="M12">
        <v>1.4236842393875122</v>
      </c>
      <c r="N12">
        <v>0.83333331346511841</v>
      </c>
      <c r="O12">
        <v>1.2049441337585449</v>
      </c>
      <c r="P12">
        <v>0.92105263471603394</v>
      </c>
      <c r="Q12">
        <v>1.4888356924057007</v>
      </c>
    </row>
    <row r="13" spans="1:17" x14ac:dyDescent="0.2">
      <c r="A13" t="s">
        <v>67</v>
      </c>
      <c r="B13" t="s">
        <v>48</v>
      </c>
      <c r="C13" t="s">
        <v>133</v>
      </c>
      <c r="D13" t="s">
        <v>296</v>
      </c>
      <c r="E13">
        <v>44927</v>
      </c>
      <c r="F13">
        <v>0.91481480995814002</v>
      </c>
      <c r="G13">
        <v>0.80273127555847168</v>
      </c>
      <c r="H13">
        <v>0.5550239086151123</v>
      </c>
      <c r="I13">
        <v>1.0504386425018311</v>
      </c>
      <c r="J13">
        <v>0.62295323610305786</v>
      </c>
      <c r="K13">
        <v>0.51754385232925415</v>
      </c>
      <c r="L13">
        <v>0.12280701100826263</v>
      </c>
      <c r="M13">
        <v>1.5736842155456543</v>
      </c>
      <c r="N13">
        <v>0.27777779102325439</v>
      </c>
      <c r="O13">
        <v>1.3187599182128906</v>
      </c>
      <c r="P13">
        <v>1.3855262994766235</v>
      </c>
      <c r="Q13">
        <v>1.2519936561584473</v>
      </c>
    </row>
    <row r="14" spans="1:17" x14ac:dyDescent="0.2">
      <c r="A14" t="s">
        <v>80</v>
      </c>
      <c r="B14" t="s">
        <v>51</v>
      </c>
      <c r="C14" t="s">
        <v>133</v>
      </c>
      <c r="D14" t="s">
        <v>296</v>
      </c>
      <c r="E14">
        <v>44927</v>
      </c>
      <c r="F14">
        <v>0.87311971187591553</v>
      </c>
      <c r="G14">
        <v>0.45428240299224854</v>
      </c>
      <c r="H14">
        <v>0.5</v>
      </c>
      <c r="I14">
        <v>0.40856480598449707</v>
      </c>
      <c r="J14">
        <v>0.77227365970611572</v>
      </c>
      <c r="K14">
        <v>0.63425928354263306</v>
      </c>
      <c r="L14">
        <v>6.6872432827949524E-2</v>
      </c>
      <c r="M14">
        <v>1.8601851463317871</v>
      </c>
      <c r="N14">
        <v>0.52777779102325439</v>
      </c>
      <c r="O14">
        <v>1.3928030729293823</v>
      </c>
      <c r="P14">
        <v>1.5305556058883667</v>
      </c>
      <c r="Q14">
        <v>1.2550505399703979</v>
      </c>
    </row>
    <row r="15" spans="1:17" x14ac:dyDescent="0.2">
      <c r="A15" t="s">
        <v>92</v>
      </c>
      <c r="B15" t="s">
        <v>46</v>
      </c>
      <c r="C15" t="s">
        <v>133</v>
      </c>
      <c r="D15" t="s">
        <v>296</v>
      </c>
      <c r="E15">
        <v>44927</v>
      </c>
      <c r="F15">
        <v>1.1098949909210205</v>
      </c>
      <c r="G15">
        <v>1.0645933151245117</v>
      </c>
      <c r="H15">
        <v>0.62918657064437866</v>
      </c>
      <c r="I15">
        <v>1.5</v>
      </c>
      <c r="J15">
        <v>0.94649124145507813</v>
      </c>
      <c r="K15">
        <v>1</v>
      </c>
      <c r="L15">
        <v>5.2631575614213943E-2</v>
      </c>
      <c r="M15">
        <v>1.8999999761581421</v>
      </c>
      <c r="N15">
        <v>0.83333331346511841</v>
      </c>
      <c r="O15">
        <v>1.3186004161834717</v>
      </c>
      <c r="P15">
        <v>1.4171051979064941</v>
      </c>
      <c r="Q15">
        <v>1.2200956344604492</v>
      </c>
    </row>
    <row r="16" spans="1:17" x14ac:dyDescent="0.2">
      <c r="A16" t="s">
        <v>122</v>
      </c>
      <c r="B16" t="s">
        <v>121</v>
      </c>
      <c r="C16" t="s">
        <v>133</v>
      </c>
      <c r="D16" t="s">
        <v>296</v>
      </c>
      <c r="E16">
        <v>45292</v>
      </c>
      <c r="F16">
        <v>1.2197894255320232</v>
      </c>
      <c r="G16">
        <v>1.3320261240005493</v>
      </c>
      <c r="H16">
        <v>0.84705883264541626</v>
      </c>
      <c r="I16">
        <v>1.8169934749603271</v>
      </c>
      <c r="J16">
        <v>1.5398421287536621</v>
      </c>
      <c r="K16">
        <v>0.45588234066963196</v>
      </c>
      <c r="L16">
        <v>2</v>
      </c>
      <c r="M16">
        <v>2.149019718170166</v>
      </c>
      <c r="N16">
        <v>1.5544662475585938</v>
      </c>
      <c r="O16">
        <v>0.78750002384185791</v>
      </c>
      <c r="P16">
        <v>0.57499998807907104</v>
      </c>
      <c r="Q16">
        <v>1</v>
      </c>
    </row>
    <row r="17" spans="1:17" x14ac:dyDescent="0.2">
      <c r="A17" t="s">
        <v>82</v>
      </c>
      <c r="B17" t="s">
        <v>45</v>
      </c>
      <c r="C17" t="s">
        <v>133</v>
      </c>
      <c r="D17" t="s">
        <v>296</v>
      </c>
      <c r="E17">
        <v>44927</v>
      </c>
      <c r="F17">
        <v>1.2856053511301677</v>
      </c>
      <c r="G17">
        <v>1.296650767326355</v>
      </c>
      <c r="H17">
        <v>1.296650767326355</v>
      </c>
      <c r="I17" t="s">
        <v>173</v>
      </c>
      <c r="J17">
        <v>1.1044834852218628</v>
      </c>
      <c r="K17" t="s">
        <v>173</v>
      </c>
      <c r="L17">
        <v>0.71345031261444092</v>
      </c>
      <c r="M17">
        <v>1.6000000238418579</v>
      </c>
      <c r="N17">
        <v>1</v>
      </c>
      <c r="O17">
        <v>1.4556818008422852</v>
      </c>
      <c r="P17">
        <v>1.2749999761581421</v>
      </c>
      <c r="Q17">
        <v>1.6363636255264282</v>
      </c>
    </row>
    <row r="18" spans="1:17" x14ac:dyDescent="0.2">
      <c r="A18" t="s">
        <v>95</v>
      </c>
      <c r="B18" t="s">
        <v>42</v>
      </c>
      <c r="C18" t="s">
        <v>133</v>
      </c>
      <c r="D18" t="s">
        <v>296</v>
      </c>
      <c r="E18">
        <v>44927</v>
      </c>
      <c r="F18">
        <v>1.2351881663004558</v>
      </c>
      <c r="G18">
        <v>1.0554226636886597</v>
      </c>
      <c r="H18">
        <v>0.77751195430755615</v>
      </c>
      <c r="I18">
        <v>1.3333333730697632</v>
      </c>
      <c r="J18">
        <v>1.1253411769866943</v>
      </c>
      <c r="K18">
        <v>1.9254386425018311</v>
      </c>
      <c r="L18">
        <v>5.7504873722791672E-2</v>
      </c>
      <c r="M18">
        <v>1.8517544269561768</v>
      </c>
      <c r="N18">
        <v>0.66666668653488159</v>
      </c>
      <c r="O18">
        <v>1.5248006582260132</v>
      </c>
      <c r="P18">
        <v>1.3526315689086914</v>
      </c>
      <c r="Q18">
        <v>1.696969747543335</v>
      </c>
    </row>
    <row r="19" spans="1:17" x14ac:dyDescent="0.2">
      <c r="A19" t="s">
        <v>68</v>
      </c>
      <c r="B19" t="s">
        <v>298</v>
      </c>
      <c r="C19" t="s">
        <v>133</v>
      </c>
      <c r="D19" t="s">
        <v>296</v>
      </c>
      <c r="E19">
        <v>44927</v>
      </c>
      <c r="F19">
        <v>2.1631755828857422</v>
      </c>
      <c r="G19">
        <v>2.0263156890869141</v>
      </c>
      <c r="H19">
        <v>1.5071769952774048</v>
      </c>
      <c r="I19">
        <v>2.5454545021057129</v>
      </c>
      <c r="J19">
        <v>2.3950293064117432</v>
      </c>
      <c r="K19">
        <v>5.1157894134521484</v>
      </c>
      <c r="L19">
        <v>1.4502923488616943</v>
      </c>
      <c r="M19">
        <v>2.4000000953674316</v>
      </c>
      <c r="N19">
        <v>0.61403506994247437</v>
      </c>
      <c r="O19">
        <v>2.0681817531585693</v>
      </c>
      <c r="P19">
        <v>2.5</v>
      </c>
      <c r="Q19">
        <v>1.6363636255264282</v>
      </c>
    </row>
    <row r="20" spans="1:17" x14ac:dyDescent="0.2">
      <c r="A20" t="s">
        <v>69</v>
      </c>
      <c r="B20" t="s">
        <v>30</v>
      </c>
      <c r="C20" t="s">
        <v>133</v>
      </c>
      <c r="D20" t="s">
        <v>296</v>
      </c>
      <c r="E20">
        <v>44927</v>
      </c>
      <c r="F20">
        <v>0.70062688986460364</v>
      </c>
      <c r="G20">
        <v>0.72066056728363037</v>
      </c>
      <c r="H20">
        <v>0.41866028308868408</v>
      </c>
      <c r="I20">
        <v>1.0226608514785767</v>
      </c>
      <c r="J20">
        <v>0.63859647512435913</v>
      </c>
      <c r="K20">
        <v>0.76754385232925415</v>
      </c>
      <c r="L20">
        <v>0</v>
      </c>
      <c r="M20">
        <v>1.6201754808425903</v>
      </c>
      <c r="N20">
        <v>0.1666666716337204</v>
      </c>
      <c r="O20">
        <v>0.74262362718582153</v>
      </c>
      <c r="P20">
        <v>0.46052631735801697</v>
      </c>
      <c r="Q20">
        <v>1.0247209072113037</v>
      </c>
    </row>
    <row r="21" spans="1:17" x14ac:dyDescent="0.2">
      <c r="A21" t="s">
        <v>83</v>
      </c>
      <c r="B21" t="s">
        <v>29</v>
      </c>
      <c r="C21" t="s">
        <v>133</v>
      </c>
      <c r="D21" t="s">
        <v>296</v>
      </c>
      <c r="E21">
        <v>44927</v>
      </c>
      <c r="F21">
        <v>1.6889352003733318</v>
      </c>
      <c r="G21">
        <v>1.5767543315887451</v>
      </c>
      <c r="H21">
        <v>1.236842155456543</v>
      </c>
      <c r="I21">
        <v>1.9166666269302368</v>
      </c>
      <c r="J21">
        <v>1.5322761535644531</v>
      </c>
      <c r="K21">
        <v>1.4605263471603394</v>
      </c>
      <c r="L21">
        <v>1.3333333730697632</v>
      </c>
      <c r="M21">
        <v>1.9463562965393066</v>
      </c>
      <c r="N21">
        <v>1.3888888359069824</v>
      </c>
      <c r="O21">
        <v>1.9577751159667969</v>
      </c>
      <c r="P21">
        <v>1.8605263233184814</v>
      </c>
      <c r="Q21">
        <v>2.0550239086151123</v>
      </c>
    </row>
    <row r="22" spans="1:17" x14ac:dyDescent="0.2">
      <c r="A22" t="s">
        <v>70</v>
      </c>
      <c r="B22" t="s">
        <v>33</v>
      </c>
      <c r="C22" t="s">
        <v>133</v>
      </c>
      <c r="D22" t="s">
        <v>296</v>
      </c>
      <c r="E22">
        <v>44927</v>
      </c>
      <c r="F22">
        <v>1.9958009719848633</v>
      </c>
      <c r="G22">
        <v>2.9011962413787842</v>
      </c>
      <c r="H22">
        <v>2.4578948020935059</v>
      </c>
      <c r="I22">
        <v>3.3444976806640625</v>
      </c>
      <c r="J22">
        <v>1.3195400238037109</v>
      </c>
      <c r="K22">
        <v>1.5157895088195801</v>
      </c>
      <c r="L22">
        <v>6.5789476037025452E-2</v>
      </c>
      <c r="M22">
        <v>2.307692289352417</v>
      </c>
      <c r="N22">
        <v>1.3888888359069824</v>
      </c>
      <c r="O22">
        <v>1.7666666507720947</v>
      </c>
      <c r="P22">
        <v>2.2000000476837158</v>
      </c>
      <c r="Q22">
        <v>1.3333333730697632</v>
      </c>
    </row>
    <row r="23" spans="1:17" x14ac:dyDescent="0.2">
      <c r="A23" t="s">
        <v>84</v>
      </c>
      <c r="B23" t="s">
        <v>43</v>
      </c>
      <c r="C23" t="s">
        <v>133</v>
      </c>
      <c r="D23" t="s">
        <v>296</v>
      </c>
      <c r="E23">
        <v>44927</v>
      </c>
      <c r="F23">
        <v>1.1827263832092285</v>
      </c>
      <c r="G23">
        <v>1.4183611869812012</v>
      </c>
      <c r="H23">
        <v>0.98803830146789551</v>
      </c>
      <c r="I23">
        <v>1.8486841917037964</v>
      </c>
      <c r="J23">
        <v>1.06169593334198</v>
      </c>
      <c r="K23">
        <v>0.56140351295471191</v>
      </c>
      <c r="L23">
        <v>0.81871342658996582</v>
      </c>
      <c r="M23">
        <v>1.7000000476837158</v>
      </c>
      <c r="N23">
        <v>1.1666666269302368</v>
      </c>
      <c r="O23">
        <v>1.0681220293045044</v>
      </c>
      <c r="P23">
        <v>1.0118421316146851</v>
      </c>
      <c r="Q23">
        <v>1.1244019269943237</v>
      </c>
    </row>
    <row r="24" spans="1:17" x14ac:dyDescent="0.2">
      <c r="A24" t="s">
        <v>85</v>
      </c>
      <c r="B24" t="s">
        <v>36</v>
      </c>
      <c r="C24" t="s">
        <v>133</v>
      </c>
      <c r="D24" t="s">
        <v>296</v>
      </c>
      <c r="E24">
        <v>44927</v>
      </c>
      <c r="F24">
        <v>1.0575720866521199</v>
      </c>
      <c r="G24">
        <v>1.0095694065093994</v>
      </c>
      <c r="H24">
        <v>1.1052631139755249</v>
      </c>
      <c r="I24">
        <v>0.91387557983398438</v>
      </c>
      <c r="J24">
        <v>1.3211014270782471</v>
      </c>
      <c r="K24">
        <v>0.50877195596694946</v>
      </c>
      <c r="L24">
        <v>2.1754386425018311</v>
      </c>
      <c r="M24">
        <v>1.7999999523162842</v>
      </c>
      <c r="N24">
        <v>0.80019491910934448</v>
      </c>
      <c r="O24">
        <v>0.84204542636871338</v>
      </c>
      <c r="P24">
        <v>0.77499997615814209</v>
      </c>
      <c r="Q24">
        <v>0.90909093618392944</v>
      </c>
    </row>
    <row r="25" spans="1:17" x14ac:dyDescent="0.2">
      <c r="A25" t="s">
        <v>71</v>
      </c>
      <c r="B25" t="s">
        <v>24</v>
      </c>
      <c r="C25" t="s">
        <v>133</v>
      </c>
      <c r="D25" t="s">
        <v>296</v>
      </c>
      <c r="E25">
        <v>44927</v>
      </c>
      <c r="F25">
        <v>1.2674574454625447</v>
      </c>
      <c r="G25">
        <v>1.1601873636245728</v>
      </c>
      <c r="H25">
        <v>0.94976073503494263</v>
      </c>
      <c r="I25">
        <v>1.3706140518188477</v>
      </c>
      <c r="J25">
        <v>1.022587776184082</v>
      </c>
      <c r="K25">
        <v>1.0745613574981689</v>
      </c>
      <c r="L25">
        <v>0.81578946113586426</v>
      </c>
      <c r="M25">
        <v>1.2000000476837158</v>
      </c>
      <c r="N25">
        <v>1</v>
      </c>
      <c r="O25">
        <v>1.6195971965789795</v>
      </c>
      <c r="P25">
        <v>1.3197368383407593</v>
      </c>
      <c r="Q25">
        <v>1.9194576740264893</v>
      </c>
    </row>
    <row r="26" spans="1:17" x14ac:dyDescent="0.2">
      <c r="A26" t="s">
        <v>110</v>
      </c>
      <c r="B26" t="s">
        <v>109</v>
      </c>
      <c r="C26" t="s">
        <v>133</v>
      </c>
      <c r="D26" t="s">
        <v>297</v>
      </c>
      <c r="E26">
        <v>44927</v>
      </c>
      <c r="F26">
        <v>2.1629629929860434</v>
      </c>
      <c r="G26">
        <v>2.5935606956481934</v>
      </c>
      <c r="H26">
        <v>1.9249999523162842</v>
      </c>
      <c r="I26">
        <v>3.2621212005615234</v>
      </c>
      <c r="J26">
        <v>2.2638888359069824</v>
      </c>
      <c r="K26">
        <v>4</v>
      </c>
      <c r="L26">
        <v>1.3333333730697632</v>
      </c>
      <c r="M26">
        <v>2</v>
      </c>
      <c r="N26">
        <v>1.7222222089767456</v>
      </c>
      <c r="O26">
        <v>1.6314394474029541</v>
      </c>
      <c r="P26">
        <v>1.4750000238418579</v>
      </c>
      <c r="Q26">
        <v>1.7878787517547607</v>
      </c>
    </row>
    <row r="27" spans="1:17" x14ac:dyDescent="0.2">
      <c r="A27" t="s">
        <v>123</v>
      </c>
      <c r="B27" t="s">
        <v>124</v>
      </c>
      <c r="C27" t="s">
        <v>133</v>
      </c>
      <c r="D27" t="s">
        <v>296</v>
      </c>
      <c r="E27">
        <v>45292</v>
      </c>
      <c r="F27">
        <v>0.59010058641433716</v>
      </c>
      <c r="G27">
        <v>0.53535354137420654</v>
      </c>
      <c r="H27">
        <v>0.18181818723678589</v>
      </c>
      <c r="I27">
        <v>0.8888888955116272</v>
      </c>
      <c r="J27">
        <v>0.80767548084259033</v>
      </c>
      <c r="K27">
        <v>1.0657894611358643</v>
      </c>
      <c r="L27">
        <v>0.1315789520740509</v>
      </c>
      <c r="M27">
        <v>1.7000000476837158</v>
      </c>
      <c r="N27">
        <v>0.3333333432674408</v>
      </c>
      <c r="O27">
        <v>0.4272727370262146</v>
      </c>
      <c r="P27">
        <v>0.40000000596046448</v>
      </c>
      <c r="Q27">
        <v>0.45454546809196472</v>
      </c>
    </row>
    <row r="28" spans="1:17" x14ac:dyDescent="0.2">
      <c r="A28" t="s">
        <v>86</v>
      </c>
      <c r="B28" t="s">
        <v>35</v>
      </c>
      <c r="C28" t="s">
        <v>133</v>
      </c>
      <c r="D28" t="s">
        <v>296</v>
      </c>
      <c r="E28">
        <v>44927</v>
      </c>
      <c r="F28">
        <v>1.5828374624252319</v>
      </c>
      <c r="G28">
        <v>1.7438862323760986</v>
      </c>
      <c r="H28">
        <v>1.1076555252075195</v>
      </c>
      <c r="I28">
        <v>2.3801169395446777</v>
      </c>
      <c r="J28">
        <v>0.97009670734405518</v>
      </c>
      <c r="K28">
        <v>1.9368420839309692</v>
      </c>
      <c r="L28">
        <v>0.1247563362121582</v>
      </c>
      <c r="M28">
        <v>0.92307692766189575</v>
      </c>
      <c r="N28">
        <v>0.89571148157119751</v>
      </c>
      <c r="O28">
        <v>2.034529447555542</v>
      </c>
      <c r="P28">
        <v>2.2508771419525146</v>
      </c>
      <c r="Q28">
        <v>1.8181818723678589</v>
      </c>
    </row>
    <row r="29" spans="1:17" x14ac:dyDescent="0.2">
      <c r="A29" t="s">
        <v>72</v>
      </c>
      <c r="B29" t="s">
        <v>40</v>
      </c>
      <c r="C29" t="s">
        <v>133</v>
      </c>
      <c r="D29" t="s">
        <v>296</v>
      </c>
      <c r="E29">
        <v>44927</v>
      </c>
      <c r="F29">
        <v>0.9415226777394613</v>
      </c>
      <c r="G29">
        <v>1.3257176876068115</v>
      </c>
      <c r="H29">
        <v>0.64354068040847778</v>
      </c>
      <c r="I29">
        <v>2.00789475440979</v>
      </c>
      <c r="J29">
        <v>0.9190058708190918</v>
      </c>
      <c r="K29">
        <v>0.35964912176132202</v>
      </c>
      <c r="L29">
        <v>0.67251461744308472</v>
      </c>
      <c r="M29">
        <v>1.8105263710021973</v>
      </c>
      <c r="N29">
        <v>0.83333331346511841</v>
      </c>
      <c r="O29">
        <v>0.57984447479248047</v>
      </c>
      <c r="P29">
        <v>0.35745614767074585</v>
      </c>
      <c r="Q29">
        <v>0.80223286151885986</v>
      </c>
    </row>
    <row r="30" spans="1:17" x14ac:dyDescent="0.2">
      <c r="A30" t="s">
        <v>73</v>
      </c>
      <c r="B30" t="s">
        <v>44</v>
      </c>
      <c r="C30" t="s">
        <v>133</v>
      </c>
      <c r="D30" t="s">
        <v>296</v>
      </c>
      <c r="E30">
        <v>44927</v>
      </c>
      <c r="F30">
        <v>1.1664883693059285</v>
      </c>
      <c r="G30">
        <v>1.3778908252716064</v>
      </c>
      <c r="H30">
        <v>1.4377990961074829</v>
      </c>
      <c r="I30">
        <v>1.3179824352264404</v>
      </c>
      <c r="J30">
        <v>1.1431652307510376</v>
      </c>
      <c r="K30">
        <v>0.63596493005752563</v>
      </c>
      <c r="L30">
        <v>0.80116957426071167</v>
      </c>
      <c r="M30">
        <v>1.7605262994766235</v>
      </c>
      <c r="N30">
        <v>1.375</v>
      </c>
      <c r="O30">
        <v>0.9784090518951416</v>
      </c>
      <c r="P30">
        <v>0.77499997615814209</v>
      </c>
      <c r="Q30">
        <v>1.1818181276321411</v>
      </c>
    </row>
    <row r="31" spans="1:17" x14ac:dyDescent="0.2">
      <c r="A31" t="s">
        <v>87</v>
      </c>
      <c r="B31" t="s">
        <v>50</v>
      </c>
      <c r="C31" t="s">
        <v>133</v>
      </c>
      <c r="D31" t="s">
        <v>296</v>
      </c>
      <c r="E31">
        <v>44927</v>
      </c>
      <c r="F31">
        <v>0.65540492534637451</v>
      </c>
      <c r="G31">
        <v>0.40719699859619141</v>
      </c>
      <c r="H31">
        <v>0.27272728085517883</v>
      </c>
      <c r="I31">
        <v>0.54166668653488159</v>
      </c>
      <c r="J31">
        <v>0.96242690086364746</v>
      </c>
      <c r="K31">
        <v>0.47807016968727112</v>
      </c>
      <c r="L31">
        <v>0.19298246502876282</v>
      </c>
      <c r="M31">
        <v>1.7999999523162842</v>
      </c>
      <c r="N31">
        <v>1.378654956817627</v>
      </c>
      <c r="O31">
        <v>0.59659087657928467</v>
      </c>
      <c r="P31">
        <v>0.375</v>
      </c>
      <c r="Q31">
        <v>0.81818181276321411</v>
      </c>
    </row>
    <row r="32" spans="1:17" x14ac:dyDescent="0.2">
      <c r="A32" t="s">
        <v>99</v>
      </c>
      <c r="B32" t="s">
        <v>100</v>
      </c>
      <c r="C32" t="s">
        <v>133</v>
      </c>
      <c r="D32" t="s">
        <v>296</v>
      </c>
      <c r="E32">
        <v>44927</v>
      </c>
      <c r="F32">
        <v>1.121792991956075</v>
      </c>
      <c r="G32">
        <v>1.1541566848754883</v>
      </c>
      <c r="H32">
        <v>0.72607654333114624</v>
      </c>
      <c r="I32">
        <v>1.5822368860244751</v>
      </c>
      <c r="J32">
        <v>1.0044041872024536</v>
      </c>
      <c r="K32">
        <v>0.66228067874908447</v>
      </c>
      <c r="L32">
        <v>8.2236841320991516E-2</v>
      </c>
      <c r="M32">
        <v>1.7000000476837158</v>
      </c>
      <c r="N32">
        <v>1.5730993747711182</v>
      </c>
      <c r="O32">
        <v>1.2068181037902832</v>
      </c>
      <c r="P32">
        <v>1.0499999523162842</v>
      </c>
      <c r="Q32">
        <v>1.3636363744735718</v>
      </c>
    </row>
    <row r="33" spans="1:17" x14ac:dyDescent="0.2">
      <c r="A33" t="s">
        <v>88</v>
      </c>
      <c r="B33" t="s">
        <v>41</v>
      </c>
      <c r="C33" t="s">
        <v>133</v>
      </c>
      <c r="D33" t="s">
        <v>296</v>
      </c>
      <c r="E33">
        <v>44927</v>
      </c>
      <c r="F33">
        <v>1.1854576667149861</v>
      </c>
      <c r="G33">
        <v>0.72826957702636719</v>
      </c>
      <c r="H33">
        <v>0.84688997268676758</v>
      </c>
      <c r="I33">
        <v>0.60964912176132202</v>
      </c>
      <c r="J33">
        <v>1.5410819053649902</v>
      </c>
      <c r="K33">
        <v>1.0526316165924072</v>
      </c>
      <c r="L33">
        <v>2</v>
      </c>
      <c r="M33">
        <v>2.5999999046325684</v>
      </c>
      <c r="N33">
        <v>0.51169592142105103</v>
      </c>
      <c r="O33">
        <v>1.2870215177536011</v>
      </c>
      <c r="P33">
        <v>1.0907894372940063</v>
      </c>
      <c r="Q33">
        <v>1.4832535982131958</v>
      </c>
    </row>
    <row r="34" spans="1:17" x14ac:dyDescent="0.2">
      <c r="A34" t="s">
        <v>89</v>
      </c>
      <c r="B34" t="s">
        <v>39</v>
      </c>
      <c r="C34" t="s">
        <v>133</v>
      </c>
      <c r="D34" t="s">
        <v>296</v>
      </c>
      <c r="E34">
        <v>44927</v>
      </c>
      <c r="F34">
        <v>0.75599859158198035</v>
      </c>
      <c r="G34">
        <v>0.55492424964904785</v>
      </c>
      <c r="H34">
        <v>0.31818181276321411</v>
      </c>
      <c r="I34">
        <v>0.79166668653488159</v>
      </c>
      <c r="J34">
        <v>0.83011692762374878</v>
      </c>
      <c r="K34">
        <v>1.2894736528396606</v>
      </c>
      <c r="L34">
        <v>6.4327485859394073E-2</v>
      </c>
      <c r="M34">
        <v>1.7999999523162842</v>
      </c>
      <c r="N34">
        <v>0.1666666716337204</v>
      </c>
      <c r="O34">
        <v>0.88295459747314453</v>
      </c>
      <c r="P34">
        <v>0.67500001192092896</v>
      </c>
      <c r="Q34">
        <v>1.0909091234207153</v>
      </c>
    </row>
    <row r="35" spans="1:17" x14ac:dyDescent="0.2">
      <c r="A35" t="s">
        <v>74</v>
      </c>
      <c r="B35" t="s">
        <v>32</v>
      </c>
      <c r="C35" t="s">
        <v>133</v>
      </c>
      <c r="D35" t="s">
        <v>296</v>
      </c>
      <c r="E35">
        <v>44927</v>
      </c>
      <c r="F35">
        <v>1.1066564718882244</v>
      </c>
      <c r="G35">
        <v>1.0958931446075439</v>
      </c>
      <c r="H35">
        <v>0.5251196026802063</v>
      </c>
      <c r="I35">
        <v>1.6666666269302368</v>
      </c>
      <c r="J35">
        <v>0.67814326286315918</v>
      </c>
      <c r="K35">
        <v>0.42543858289718628</v>
      </c>
      <c r="L35">
        <v>0.6871345043182373</v>
      </c>
      <c r="M35">
        <v>1.1000000238418579</v>
      </c>
      <c r="N35">
        <v>0.5</v>
      </c>
      <c r="O35">
        <v>1.5459330081939697</v>
      </c>
      <c r="P35">
        <v>1.4052631855010986</v>
      </c>
      <c r="Q35">
        <v>1.6866028308868408</v>
      </c>
    </row>
    <row r="36" spans="1:17" x14ac:dyDescent="0.2">
      <c r="A36" t="s">
        <v>90</v>
      </c>
      <c r="B36" t="s">
        <v>26</v>
      </c>
      <c r="C36" t="s">
        <v>133</v>
      </c>
      <c r="D36" t="s">
        <v>296</v>
      </c>
      <c r="E36">
        <v>44927</v>
      </c>
      <c r="F36">
        <v>2.048003832499186</v>
      </c>
      <c r="G36">
        <v>2.5278708934783936</v>
      </c>
      <c r="H36">
        <v>1.4815789461135864</v>
      </c>
      <c r="I36">
        <v>3.5741627216339111</v>
      </c>
      <c r="J36">
        <v>1.5708456039428711</v>
      </c>
      <c r="K36">
        <v>1.8631578683853149</v>
      </c>
      <c r="L36">
        <v>0.71539962291717529</v>
      </c>
      <c r="M36">
        <v>2.9000000953674316</v>
      </c>
      <c r="N36">
        <v>0.8048245906829834</v>
      </c>
      <c r="O36">
        <v>2.0452950000762939</v>
      </c>
      <c r="P36">
        <v>1.698245644569397</v>
      </c>
      <c r="Q36">
        <v>2.3923444747924805</v>
      </c>
    </row>
    <row r="37" spans="1:17" x14ac:dyDescent="0.2">
      <c r="A37" t="s">
        <v>91</v>
      </c>
      <c r="B37" t="s">
        <v>52</v>
      </c>
      <c r="C37" t="s">
        <v>133</v>
      </c>
      <c r="D37" t="s">
        <v>297</v>
      </c>
      <c r="E37">
        <v>44927</v>
      </c>
      <c r="F37">
        <v>2.0107417106628418</v>
      </c>
      <c r="G37">
        <v>2.3787879943847656</v>
      </c>
      <c r="H37">
        <v>2.0707070827484131</v>
      </c>
      <c r="I37">
        <v>2.6868686676025391</v>
      </c>
      <c r="J37">
        <v>1.8765431642532349</v>
      </c>
      <c r="K37">
        <v>0.92592591047286987</v>
      </c>
      <c r="L37">
        <v>1.7283951044082642</v>
      </c>
      <c r="M37">
        <v>3.0185184478759766</v>
      </c>
      <c r="N37">
        <v>1.8333333730697632</v>
      </c>
      <c r="O37">
        <v>1.7768939733505249</v>
      </c>
      <c r="P37">
        <v>1.230555534362793</v>
      </c>
      <c r="Q37">
        <v>2.3232324123382568</v>
      </c>
    </row>
    <row r="38" spans="1:17" x14ac:dyDescent="0.2">
      <c r="A38" t="s">
        <v>81</v>
      </c>
      <c r="B38" t="s">
        <v>49</v>
      </c>
      <c r="C38" t="s">
        <v>133</v>
      </c>
      <c r="D38" t="s">
        <v>296</v>
      </c>
      <c r="E38">
        <v>44927</v>
      </c>
      <c r="F38">
        <v>0.64469697078069055</v>
      </c>
      <c r="G38">
        <v>0.35606062412261963</v>
      </c>
      <c r="H38">
        <v>4.5454546809196472E-2</v>
      </c>
      <c r="I38">
        <v>0.66666668653488159</v>
      </c>
      <c r="J38">
        <v>0.64166665077209473</v>
      </c>
      <c r="K38">
        <v>0.3333333432674408</v>
      </c>
      <c r="L38">
        <v>0</v>
      </c>
      <c r="M38">
        <v>1.3999999761581421</v>
      </c>
      <c r="N38">
        <v>0.83333331346511841</v>
      </c>
      <c r="O38">
        <v>0.93636363744735718</v>
      </c>
      <c r="P38">
        <v>0.60000002384185791</v>
      </c>
      <c r="Q38">
        <v>1.2727272510528564</v>
      </c>
    </row>
    <row r="39" spans="1:17" x14ac:dyDescent="0.2">
      <c r="A39" t="s">
        <v>105</v>
      </c>
      <c r="B39" t="s">
        <v>104</v>
      </c>
      <c r="C39" t="s">
        <v>133</v>
      </c>
      <c r="D39" t="s">
        <v>296</v>
      </c>
      <c r="E39">
        <v>45292</v>
      </c>
      <c r="F39">
        <v>1.2447890837987263</v>
      </c>
      <c r="G39">
        <v>0.98547983169555664</v>
      </c>
      <c r="H39">
        <v>0.81818181276321411</v>
      </c>
      <c r="I39">
        <v>1.1527777910232544</v>
      </c>
      <c r="J39">
        <v>1.2882813215255737</v>
      </c>
      <c r="K39">
        <v>1.2864583730697632</v>
      </c>
      <c r="L39">
        <v>0.66666668653488159</v>
      </c>
      <c r="M39">
        <v>1.7000000476837158</v>
      </c>
      <c r="N39">
        <v>1.5</v>
      </c>
      <c r="O39">
        <v>1.4606060981750488</v>
      </c>
      <c r="P39">
        <v>1.4666666984558105</v>
      </c>
      <c r="Q39">
        <v>1.4545454978942871</v>
      </c>
    </row>
    <row r="40" spans="1:17" x14ac:dyDescent="0.2">
      <c r="A40" t="s">
        <v>270</v>
      </c>
      <c r="B40" t="s">
        <v>269</v>
      </c>
      <c r="C40" t="s">
        <v>134</v>
      </c>
      <c r="D40" t="s">
        <v>297</v>
      </c>
      <c r="E40">
        <v>45658</v>
      </c>
      <c r="F40">
        <v>1.7240608533223469</v>
      </c>
      <c r="G40">
        <v>2.6595296859741211</v>
      </c>
      <c r="H40">
        <v>2.1500000953674316</v>
      </c>
      <c r="I40">
        <v>3.1690590381622314</v>
      </c>
      <c r="J40">
        <v>1.277046799659729</v>
      </c>
      <c r="K40">
        <v>1.7982456684112549</v>
      </c>
      <c r="L40">
        <v>0.87329435348510742</v>
      </c>
      <c r="M40">
        <v>0.66666668653488159</v>
      </c>
      <c r="N40">
        <v>1.7699805498123169</v>
      </c>
      <c r="O40">
        <v>1.2356060743331909</v>
      </c>
      <c r="P40">
        <v>1.3500000238418579</v>
      </c>
      <c r="Q40">
        <v>1.1212121248245239</v>
      </c>
    </row>
    <row r="41" spans="1:17" x14ac:dyDescent="0.2">
      <c r="A41" t="s">
        <v>75</v>
      </c>
      <c r="B41" t="s">
        <v>27</v>
      </c>
      <c r="C41" t="s">
        <v>133</v>
      </c>
      <c r="D41" t="s">
        <v>297</v>
      </c>
      <c r="E41">
        <v>44927</v>
      </c>
      <c r="F41">
        <v>1.8947753111521404</v>
      </c>
      <c r="G41">
        <v>2.0059809684753418</v>
      </c>
      <c r="H41">
        <v>2.3110048770904541</v>
      </c>
      <c r="I41">
        <v>1.7009569406509399</v>
      </c>
      <c r="J41">
        <v>1.4760720729827881</v>
      </c>
      <c r="K41">
        <v>1.4035087823867798</v>
      </c>
      <c r="L41">
        <v>8.9668616652488708E-2</v>
      </c>
      <c r="M41">
        <v>2.2999999523162842</v>
      </c>
      <c r="N41">
        <v>2.1111111640930176</v>
      </c>
      <c r="O41">
        <v>2.202272891998291</v>
      </c>
      <c r="P41">
        <v>1.9500000476837158</v>
      </c>
      <c r="Q41">
        <v>2.4545454978942871</v>
      </c>
    </row>
    <row r="42" spans="1:17" x14ac:dyDescent="0.2">
      <c r="A42" t="s">
        <v>103</v>
      </c>
      <c r="B42" t="s">
        <v>102</v>
      </c>
      <c r="C42" t="s">
        <v>133</v>
      </c>
      <c r="D42" t="s">
        <v>296</v>
      </c>
      <c r="E42">
        <v>45292</v>
      </c>
      <c r="F42">
        <v>0.9900489250818888</v>
      </c>
      <c r="G42">
        <v>1.5556221008300781</v>
      </c>
      <c r="H42">
        <v>1.0825358629226685</v>
      </c>
      <c r="I42">
        <v>2.0287082195281982</v>
      </c>
      <c r="J42">
        <v>0.85543376207351685</v>
      </c>
      <c r="K42">
        <v>0.46929824352264404</v>
      </c>
      <c r="L42">
        <v>0.66666668653488159</v>
      </c>
      <c r="M42">
        <v>1.7000000476837158</v>
      </c>
      <c r="N42">
        <v>0.58577001094818115</v>
      </c>
      <c r="O42">
        <v>0.55909091234207153</v>
      </c>
      <c r="P42">
        <v>0.30000001192092896</v>
      </c>
      <c r="Q42">
        <v>0.81818181276321411</v>
      </c>
    </row>
    <row r="43" spans="1:17" x14ac:dyDescent="0.2">
      <c r="A43" t="s">
        <v>106</v>
      </c>
      <c r="B43" t="s">
        <v>151</v>
      </c>
      <c r="C43" t="s">
        <v>134</v>
      </c>
      <c r="D43" t="s">
        <v>297</v>
      </c>
      <c r="E43">
        <v>45292</v>
      </c>
      <c r="F43">
        <v>3.3387227853139243</v>
      </c>
      <c r="G43">
        <v>2.9701755046844482</v>
      </c>
      <c r="H43">
        <v>2.9052631855010986</v>
      </c>
      <c r="I43">
        <v>3.0350878238677979</v>
      </c>
      <c r="J43">
        <v>2.6296052932739258</v>
      </c>
      <c r="K43">
        <v>4.425438404083252</v>
      </c>
      <c r="L43">
        <v>2.9502923488616943</v>
      </c>
      <c r="M43">
        <v>1.9701753854751587</v>
      </c>
      <c r="N43">
        <v>1.1725146770477295</v>
      </c>
      <c r="O43">
        <v>4.4163875579833984</v>
      </c>
      <c r="P43">
        <v>5.0552630424499512</v>
      </c>
      <c r="Q43">
        <v>3.7775120735168457</v>
      </c>
    </row>
    <row r="44" spans="1:17" x14ac:dyDescent="0.2">
      <c r="A44" t="s">
        <v>93</v>
      </c>
      <c r="B44" t="s">
        <v>18</v>
      </c>
      <c r="C44" t="s">
        <v>133</v>
      </c>
      <c r="D44" t="s">
        <v>296</v>
      </c>
      <c r="E44">
        <v>44927</v>
      </c>
      <c r="F44">
        <v>0.85353757937749231</v>
      </c>
      <c r="G44">
        <v>1.1278243064880371</v>
      </c>
      <c r="H44">
        <v>1.1028708219528198</v>
      </c>
      <c r="I44">
        <v>1.1527777910232544</v>
      </c>
      <c r="J44">
        <v>0.78165203332901001</v>
      </c>
      <c r="K44">
        <v>0.68859648704528809</v>
      </c>
      <c r="L44">
        <v>0.23684209585189819</v>
      </c>
      <c r="M44">
        <v>1.3999999761581421</v>
      </c>
      <c r="N44">
        <v>0.80116957426071167</v>
      </c>
      <c r="O44">
        <v>0.65113639831542969</v>
      </c>
      <c r="P44">
        <v>0.57499998807907104</v>
      </c>
      <c r="Q44">
        <v>0.72727274894714355</v>
      </c>
    </row>
    <row r="45" spans="1:17" x14ac:dyDescent="0.2">
      <c r="A45" t="s">
        <v>108</v>
      </c>
      <c r="B45" t="s">
        <v>299</v>
      </c>
      <c r="C45" t="s">
        <v>133</v>
      </c>
      <c r="D45" t="s">
        <v>296</v>
      </c>
      <c r="E45">
        <v>45292</v>
      </c>
      <c r="F45">
        <v>1.6604732275009155</v>
      </c>
      <c r="G45">
        <v>2.3842105865478516</v>
      </c>
      <c r="H45">
        <v>2.3842105865478516</v>
      </c>
      <c r="I45" t="s">
        <v>173</v>
      </c>
      <c r="J45">
        <v>1.242165207862854</v>
      </c>
      <c r="K45" t="s">
        <v>173</v>
      </c>
      <c r="L45">
        <v>2</v>
      </c>
      <c r="M45">
        <v>1.615384578704834</v>
      </c>
      <c r="N45">
        <v>0.1111111119389534</v>
      </c>
      <c r="O45">
        <v>1.355043888092041</v>
      </c>
      <c r="P45">
        <v>1.3592104911804199</v>
      </c>
      <c r="Q45">
        <v>1.3508771657943726</v>
      </c>
    </row>
    <row r="46" spans="1:17" x14ac:dyDescent="0.2">
      <c r="A46" t="s">
        <v>118</v>
      </c>
      <c r="B46" t="s">
        <v>117</v>
      </c>
      <c r="C46" t="s">
        <v>133</v>
      </c>
      <c r="D46" t="s">
        <v>297</v>
      </c>
      <c r="E46">
        <v>45292</v>
      </c>
      <c r="F46">
        <v>3.0616637468338013</v>
      </c>
      <c r="G46">
        <v>3.4780092239379883</v>
      </c>
      <c r="H46">
        <v>3.4305555820465088</v>
      </c>
      <c r="I46">
        <v>3.5254628658294678</v>
      </c>
      <c r="J46">
        <v>1.7687243223190308</v>
      </c>
      <c r="K46">
        <v>1.8611111640930176</v>
      </c>
      <c r="L46">
        <v>1.3816872835159302</v>
      </c>
      <c r="M46">
        <v>2.0203704833984375</v>
      </c>
      <c r="N46">
        <v>1.8117283582687378</v>
      </c>
      <c r="O46">
        <v>3.9382576942443848</v>
      </c>
      <c r="P46">
        <v>4.0305557250976563</v>
      </c>
      <c r="Q46">
        <v>3.8459596633911133</v>
      </c>
    </row>
    <row r="47" spans="1:17" x14ac:dyDescent="0.2">
      <c r="A47" t="s">
        <v>120</v>
      </c>
      <c r="B47" t="s">
        <v>119</v>
      </c>
      <c r="C47" t="s">
        <v>133</v>
      </c>
      <c r="D47" t="s">
        <v>296</v>
      </c>
      <c r="E47">
        <v>45292</v>
      </c>
      <c r="F47">
        <v>1.9356848200162251</v>
      </c>
      <c r="G47">
        <v>3.5355262756347656</v>
      </c>
      <c r="H47">
        <v>3.5355262756347656</v>
      </c>
      <c r="I47" t="s">
        <v>173</v>
      </c>
      <c r="J47">
        <v>0.77834635972976685</v>
      </c>
      <c r="K47" t="s">
        <v>173</v>
      </c>
      <c r="L47">
        <v>0</v>
      </c>
      <c r="M47">
        <v>1.125</v>
      </c>
      <c r="N47">
        <v>1.2100390195846558</v>
      </c>
      <c r="O47">
        <v>1.4931818246841431</v>
      </c>
      <c r="P47">
        <v>1.3500000238418579</v>
      </c>
      <c r="Q47">
        <v>1.6363636255264282</v>
      </c>
    </row>
    <row r="48" spans="1:17" x14ac:dyDescent="0.2">
      <c r="A48" t="s">
        <v>115</v>
      </c>
      <c r="B48" t="s">
        <v>152</v>
      </c>
      <c r="C48" t="s">
        <v>134</v>
      </c>
      <c r="D48" t="s">
        <v>297</v>
      </c>
      <c r="E48">
        <v>45292</v>
      </c>
      <c r="F48">
        <v>2.0154040257136026</v>
      </c>
      <c r="G48">
        <v>2.3204545974731445</v>
      </c>
      <c r="H48">
        <v>1.5499999523162842</v>
      </c>
      <c r="I48">
        <v>3.0909090042114258</v>
      </c>
      <c r="J48">
        <v>1.6499999761581421</v>
      </c>
      <c r="K48">
        <v>1</v>
      </c>
      <c r="L48">
        <v>2</v>
      </c>
      <c r="M48">
        <v>2.0999999046325684</v>
      </c>
      <c r="N48">
        <v>1.5</v>
      </c>
      <c r="O48">
        <v>2.0757575035095215</v>
      </c>
      <c r="P48">
        <v>3</v>
      </c>
      <c r="Q48">
        <v>1.1515151262283325</v>
      </c>
    </row>
    <row r="49" spans="1:17" x14ac:dyDescent="0.2">
      <c r="A49" t="s">
        <v>271</v>
      </c>
      <c r="B49" t="s">
        <v>272</v>
      </c>
      <c r="C49" t="s">
        <v>133</v>
      </c>
      <c r="D49" t="s">
        <v>296</v>
      </c>
      <c r="E49">
        <v>45292</v>
      </c>
      <c r="F49">
        <v>0.9712813297907511</v>
      </c>
      <c r="G49">
        <v>1.3845694065093994</v>
      </c>
      <c r="H49">
        <v>1.0980861186981201</v>
      </c>
      <c r="I49">
        <v>1.6710526943206787</v>
      </c>
      <c r="J49">
        <v>1.1110928058624268</v>
      </c>
      <c r="K49">
        <v>0.79824560880661011</v>
      </c>
      <c r="L49">
        <v>0.78362572193145752</v>
      </c>
      <c r="M49">
        <v>1.7999999523162842</v>
      </c>
      <c r="N49">
        <v>1.0625</v>
      </c>
      <c r="O49">
        <v>0.41818177700042725</v>
      </c>
      <c r="P49">
        <v>0.53333330154418945</v>
      </c>
      <c r="Q49">
        <v>0.30303028225898743</v>
      </c>
    </row>
    <row r="50" spans="1:17" x14ac:dyDescent="0.2">
      <c r="A50" t="s">
        <v>94</v>
      </c>
      <c r="B50" t="s">
        <v>53</v>
      </c>
      <c r="C50" t="s">
        <v>133</v>
      </c>
      <c r="D50" t="s">
        <v>297</v>
      </c>
      <c r="E50">
        <v>44927</v>
      </c>
      <c r="F50">
        <v>2.6698122819264731</v>
      </c>
      <c r="G50">
        <v>3.8280863761901855</v>
      </c>
      <c r="H50">
        <v>4.0111112594604492</v>
      </c>
      <c r="I50">
        <v>3.645061731338501</v>
      </c>
      <c r="J50">
        <v>1.4853909015655518</v>
      </c>
      <c r="K50">
        <v>2.5185184478759766</v>
      </c>
      <c r="L50">
        <v>0.78189301490783691</v>
      </c>
      <c r="M50">
        <v>2.303703784942627</v>
      </c>
      <c r="N50">
        <v>0.33744856715202332</v>
      </c>
      <c r="O50">
        <v>2.6959595680236816</v>
      </c>
      <c r="P50">
        <v>2.7555556297302246</v>
      </c>
      <c r="Q50">
        <v>2.6363637447357178</v>
      </c>
    </row>
    <row r="51" spans="1:17" x14ac:dyDescent="0.2">
      <c r="A51" t="s">
        <v>274</v>
      </c>
      <c r="B51" t="s">
        <v>273</v>
      </c>
      <c r="C51" t="s">
        <v>275</v>
      </c>
      <c r="D51" t="s">
        <v>297</v>
      </c>
      <c r="E51">
        <v>45658</v>
      </c>
      <c r="F51">
        <v>3.3193404674530029</v>
      </c>
      <c r="G51">
        <v>4.0891227722167969</v>
      </c>
      <c r="H51">
        <v>4.6057896614074707</v>
      </c>
      <c r="I51">
        <v>3.5724561214447021</v>
      </c>
      <c r="J51">
        <v>2.6160037517547607</v>
      </c>
      <c r="K51">
        <v>4.342982292175293</v>
      </c>
      <c r="L51">
        <v>1.4095516204833984</v>
      </c>
      <c r="M51">
        <v>2.9685964584350586</v>
      </c>
      <c r="N51">
        <v>1.7428849935531616</v>
      </c>
      <c r="O51">
        <v>3.2528948783874512</v>
      </c>
      <c r="P51">
        <v>3.5057895183563232</v>
      </c>
      <c r="Q51">
        <v>3</v>
      </c>
    </row>
    <row r="52" spans="1:17" x14ac:dyDescent="0.2">
      <c r="A52" t="s">
        <v>258</v>
      </c>
      <c r="B52" t="s">
        <v>257</v>
      </c>
      <c r="C52" t="s">
        <v>133</v>
      </c>
      <c r="D52" t="s">
        <v>296</v>
      </c>
      <c r="E52">
        <v>45292</v>
      </c>
      <c r="F52">
        <v>3.207163174947103</v>
      </c>
      <c r="G52">
        <v>4.2226076126098633</v>
      </c>
      <c r="H52">
        <v>3.4236841201782227</v>
      </c>
      <c r="I52">
        <v>5.0215311050415039</v>
      </c>
      <c r="J52">
        <v>3.1524105072021484</v>
      </c>
      <c r="K52">
        <v>5.247368335723877</v>
      </c>
      <c r="L52">
        <v>3.4161794185638428</v>
      </c>
      <c r="M52">
        <v>2.307692289352417</v>
      </c>
      <c r="N52">
        <v>1.6384015083312988</v>
      </c>
      <c r="O52">
        <v>2.2464714050292969</v>
      </c>
      <c r="P52">
        <v>2.1986842155456543</v>
      </c>
      <c r="Q52">
        <v>2.2942583560943604</v>
      </c>
    </row>
    <row r="53" spans="1:17" x14ac:dyDescent="0.2">
      <c r="A53" t="s">
        <v>208</v>
      </c>
      <c r="B53" t="s">
        <v>171</v>
      </c>
      <c r="D53" t="s">
        <v>297</v>
      </c>
      <c r="F53">
        <v>1.7638365067541599</v>
      </c>
      <c r="G53">
        <v>2.6031746864318852</v>
      </c>
      <c r="H53">
        <v>2.428571462631226</v>
      </c>
      <c r="I53">
        <v>2.7777776718139648</v>
      </c>
      <c r="J53">
        <v>2.1830358505249019</v>
      </c>
      <c r="K53">
        <v>4.7142858505249023</v>
      </c>
      <c r="L53">
        <v>1</v>
      </c>
      <c r="M53">
        <v>2.1428570747375488</v>
      </c>
      <c r="N53">
        <v>0.875</v>
      </c>
      <c r="O53">
        <v>8.6099997162818909E-2</v>
      </c>
      <c r="P53">
        <v>0.17219999432563779</v>
      </c>
      <c r="Q53">
        <v>0</v>
      </c>
    </row>
    <row r="54" spans="1:17" x14ac:dyDescent="0.2">
      <c r="A54" t="s">
        <v>209</v>
      </c>
      <c r="B54" t="s">
        <v>172</v>
      </c>
      <c r="D54" t="s">
        <v>297</v>
      </c>
      <c r="F54">
        <v>3.3524118917328969</v>
      </c>
      <c r="G54">
        <v>5.1607141494750977</v>
      </c>
      <c r="H54">
        <v>5.0714287757873544</v>
      </c>
      <c r="I54">
        <v>5.25</v>
      </c>
      <c r="J54">
        <v>1.5151515007019041</v>
      </c>
      <c r="K54" t="s">
        <v>173</v>
      </c>
      <c r="L54">
        <v>0.54545456171035767</v>
      </c>
      <c r="M54">
        <v>2</v>
      </c>
      <c r="N54">
        <v>2</v>
      </c>
      <c r="O54">
        <v>4.3000001907348633</v>
      </c>
      <c r="P54">
        <v>5.0999999046325684</v>
      </c>
      <c r="Q54">
        <v>3.5</v>
      </c>
    </row>
    <row r="55" spans="1:17" x14ac:dyDescent="0.2">
      <c r="A55" t="s">
        <v>210</v>
      </c>
      <c r="B55" t="s">
        <v>192</v>
      </c>
      <c r="D55" t="s">
        <v>297</v>
      </c>
      <c r="F55">
        <v>2.5995297282934189</v>
      </c>
      <c r="G55">
        <v>2.6607141494750981</v>
      </c>
      <c r="H55">
        <v>2.821428537368774</v>
      </c>
      <c r="I55">
        <v>2.5</v>
      </c>
      <c r="J55">
        <v>2.3922023773193359</v>
      </c>
      <c r="K55">
        <v>3</v>
      </c>
      <c r="L55">
        <v>3.086666584014893</v>
      </c>
      <c r="M55">
        <v>1.3571428060531621</v>
      </c>
      <c r="N55">
        <v>2.125</v>
      </c>
      <c r="O55">
        <v>2.9530000686645508</v>
      </c>
      <c r="P55">
        <v>3.6059999465942378</v>
      </c>
      <c r="Q55">
        <v>2.2999999523162842</v>
      </c>
    </row>
    <row r="56" spans="1:17" x14ac:dyDescent="0.2">
      <c r="A56" t="s">
        <v>295</v>
      </c>
      <c r="B56" t="s">
        <v>174</v>
      </c>
      <c r="D56" t="s">
        <v>297</v>
      </c>
      <c r="F56">
        <v>1.8220237890879314</v>
      </c>
      <c r="G56">
        <v>1.8571428060531621</v>
      </c>
      <c r="H56">
        <v>1.8571428060531621</v>
      </c>
      <c r="I56" t="s">
        <v>173</v>
      </c>
      <c r="J56">
        <v>2</v>
      </c>
      <c r="K56">
        <v>3</v>
      </c>
      <c r="L56">
        <v>2</v>
      </c>
      <c r="M56">
        <v>1</v>
      </c>
      <c r="N56" t="s">
        <v>173</v>
      </c>
      <c r="O56">
        <v>1.5374999046325679</v>
      </c>
      <c r="P56">
        <v>0.97500002384185791</v>
      </c>
      <c r="Q56">
        <v>2.0999999046325679</v>
      </c>
    </row>
    <row r="57" spans="1:17" x14ac:dyDescent="0.2">
      <c r="A57" t="s">
        <v>211</v>
      </c>
      <c r="B57" t="s">
        <v>300</v>
      </c>
      <c r="D57" t="s">
        <v>297</v>
      </c>
      <c r="F57">
        <v>2.7872337773442268</v>
      </c>
      <c r="G57">
        <v>4.0142087936401367</v>
      </c>
      <c r="H57">
        <v>4.7225713729858398</v>
      </c>
      <c r="I57">
        <v>3.305846214294434</v>
      </c>
      <c r="J57">
        <v>2.831863164901733</v>
      </c>
      <c r="K57">
        <v>3.428571462631226</v>
      </c>
      <c r="L57">
        <v>2.8180000782012939</v>
      </c>
      <c r="M57">
        <v>2.2857143878936772</v>
      </c>
      <c r="N57">
        <v>2.7951667308807369</v>
      </c>
      <c r="O57">
        <v>1.470999956130981</v>
      </c>
      <c r="P57">
        <v>1.984799981117249</v>
      </c>
      <c r="Q57">
        <v>0.95719999074935913</v>
      </c>
    </row>
    <row r="58" spans="1:17" x14ac:dyDescent="0.2">
      <c r="A58" t="s">
        <v>212</v>
      </c>
      <c r="B58" t="s">
        <v>176</v>
      </c>
      <c r="D58" t="s">
        <v>297</v>
      </c>
      <c r="F58">
        <v>2.3712239414453506</v>
      </c>
      <c r="G58">
        <v>1.7723956108093259</v>
      </c>
      <c r="H58">
        <v>2.0357143878936772</v>
      </c>
      <c r="I58">
        <v>1.5090769529342649</v>
      </c>
      <c r="J58">
        <v>2.9375</v>
      </c>
      <c r="K58">
        <v>5.5714287757873544</v>
      </c>
      <c r="L58">
        <v>2.25</v>
      </c>
      <c r="M58">
        <v>1.428571462631226</v>
      </c>
      <c r="N58">
        <v>2.5</v>
      </c>
      <c r="O58">
        <v>1.8374999761581421</v>
      </c>
      <c r="P58">
        <v>1.875</v>
      </c>
      <c r="Q58">
        <v>1.799999952316284</v>
      </c>
    </row>
    <row r="59" spans="1:17" x14ac:dyDescent="0.2">
      <c r="A59" t="s">
        <v>213</v>
      </c>
      <c r="B59" t="s">
        <v>177</v>
      </c>
      <c r="D59" t="s">
        <v>297</v>
      </c>
      <c r="F59">
        <v>2.7196915745735168</v>
      </c>
      <c r="G59">
        <v>3.522571325302124</v>
      </c>
      <c r="H59">
        <v>3.522571325302124</v>
      </c>
      <c r="I59" t="s">
        <v>173</v>
      </c>
      <c r="J59">
        <v>3.5600674152374272</v>
      </c>
      <c r="K59">
        <v>4.6118569374084473</v>
      </c>
      <c r="L59">
        <v>4.25</v>
      </c>
      <c r="M59">
        <v>2.1428570747375488</v>
      </c>
      <c r="N59">
        <v>3.2355556488037109</v>
      </c>
      <c r="O59">
        <v>0.63750004768371582</v>
      </c>
      <c r="P59">
        <v>0.67500001192092896</v>
      </c>
      <c r="Q59">
        <v>0.60000002384185791</v>
      </c>
    </row>
    <row r="60" spans="1:17" x14ac:dyDescent="0.2">
      <c r="A60" t="s">
        <v>214</v>
      </c>
      <c r="B60" t="s">
        <v>205</v>
      </c>
      <c r="D60" t="s">
        <v>296</v>
      </c>
      <c r="F60">
        <v>3.0432802736759186</v>
      </c>
      <c r="G60">
        <v>3.312012910842896</v>
      </c>
      <c r="H60">
        <v>2.7896924018859859</v>
      </c>
      <c r="I60">
        <v>3.8343334197998051</v>
      </c>
      <c r="J60">
        <v>2.476054191589355</v>
      </c>
      <c r="K60">
        <v>4.1999998092651367</v>
      </c>
      <c r="L60">
        <v>2.5873334407806401</v>
      </c>
      <c r="M60">
        <v>1.071428537368774</v>
      </c>
      <c r="N60">
        <v>2.0454545021057129</v>
      </c>
      <c r="O60">
        <v>3.908999919891357</v>
      </c>
      <c r="P60">
        <v>5.1180000305175781</v>
      </c>
      <c r="Q60">
        <v>2.7000000476837158</v>
      </c>
    </row>
    <row r="61" spans="1:17" x14ac:dyDescent="0.2">
      <c r="A61" t="s">
        <v>215</v>
      </c>
      <c r="B61" t="s">
        <v>178</v>
      </c>
      <c r="D61" t="s">
        <v>297</v>
      </c>
      <c r="F61">
        <v>2.6278878450393677</v>
      </c>
      <c r="G61">
        <v>2.2126538753509521</v>
      </c>
      <c r="H61">
        <v>2.5</v>
      </c>
      <c r="I61">
        <v>1.925307631492615</v>
      </c>
      <c r="J61">
        <v>2.9772322177886958</v>
      </c>
      <c r="K61">
        <v>4.2857141494750977</v>
      </c>
      <c r="L61">
        <v>3.9210000038146968</v>
      </c>
      <c r="M61">
        <v>2.2857143878936772</v>
      </c>
      <c r="N61">
        <v>1.416499972343445</v>
      </c>
      <c r="O61">
        <v>2.3444333076477051</v>
      </c>
      <c r="P61">
        <v>2.1735999584197998</v>
      </c>
      <c r="Q61">
        <v>2.5152666568756099</v>
      </c>
    </row>
    <row r="62" spans="1:17" x14ac:dyDescent="0.2">
      <c r="A62" t="s">
        <v>216</v>
      </c>
      <c r="B62" t="s">
        <v>179</v>
      </c>
      <c r="D62" t="s">
        <v>301</v>
      </c>
      <c r="F62">
        <v>2.7400438274656023</v>
      </c>
      <c r="G62">
        <v>2.307692289352417</v>
      </c>
      <c r="H62">
        <v>2.307692289352417</v>
      </c>
      <c r="I62" t="s">
        <v>173</v>
      </c>
      <c r="J62">
        <v>2.5614035129547119</v>
      </c>
      <c r="K62">
        <v>3.5</v>
      </c>
      <c r="L62">
        <v>2.2916667461395259</v>
      </c>
      <c r="M62">
        <v>1.5789474248886111</v>
      </c>
      <c r="N62">
        <v>2.875</v>
      </c>
      <c r="O62">
        <v>3.3135001659393311</v>
      </c>
      <c r="P62">
        <v>4.2270002365112296</v>
      </c>
      <c r="Q62">
        <v>2.4000000953674321</v>
      </c>
    </row>
    <row r="63" spans="1:17" x14ac:dyDescent="0.2">
      <c r="A63" t="s">
        <v>217</v>
      </c>
      <c r="B63" t="s">
        <v>180</v>
      </c>
      <c r="D63" t="s">
        <v>301</v>
      </c>
      <c r="F63">
        <v>3.8835362941026688</v>
      </c>
      <c r="G63">
        <v>4.4099998474121094</v>
      </c>
      <c r="H63">
        <v>3.5</v>
      </c>
      <c r="I63">
        <v>5.320000171661377</v>
      </c>
      <c r="J63">
        <v>3.212072610855103</v>
      </c>
      <c r="K63">
        <v>5.5</v>
      </c>
      <c r="L63">
        <v>3.5716667175292969</v>
      </c>
      <c r="M63">
        <v>1.785714268684387</v>
      </c>
      <c r="N63">
        <v>1.990909099578857</v>
      </c>
      <c r="O63">
        <v>4.6999998092651367</v>
      </c>
      <c r="P63">
        <v>5.0999999046325684</v>
      </c>
      <c r="Q63">
        <v>4.3000001907348633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3C01F-343E-45A5-818F-6CEFCB6E27A4}">
  <dimension ref="A1:J29"/>
  <sheetViews>
    <sheetView workbookViewId="0">
      <selection activeCell="A27" sqref="A27"/>
    </sheetView>
  </sheetViews>
  <sheetFormatPr defaultRowHeight="12.75" x14ac:dyDescent="0.2"/>
  <cols>
    <col min="1" max="1" width="52" customWidth="1"/>
  </cols>
  <sheetData>
    <row r="1" spans="1:10" ht="18.75" x14ac:dyDescent="0.3">
      <c r="A1" s="249" t="s">
        <v>132</v>
      </c>
      <c r="B1" s="71"/>
    </row>
    <row r="2" spans="1:10" ht="7.5" customHeight="1" x14ac:dyDescent="0.2"/>
    <row r="3" spans="1:10" ht="24.75" customHeight="1" x14ac:dyDescent="0.2">
      <c r="A3" s="54" t="s">
        <v>268</v>
      </c>
      <c r="B3" s="52"/>
    </row>
    <row r="4" spans="1:10" ht="9" customHeight="1" x14ac:dyDescent="0.2">
      <c r="A4" s="53"/>
      <c r="B4" s="52"/>
    </row>
    <row r="5" spans="1:10" s="11" customFormat="1" ht="21" customHeight="1" x14ac:dyDescent="0.2">
      <c r="A5" s="1" t="s">
        <v>201</v>
      </c>
      <c r="B5" s="11" t="s">
        <v>202</v>
      </c>
    </row>
    <row r="6" spans="1:10" s="11" customFormat="1" ht="21" customHeight="1" x14ac:dyDescent="0.2">
      <c r="A6" s="1" t="s">
        <v>154</v>
      </c>
      <c r="B6" s="11" t="s">
        <v>203</v>
      </c>
    </row>
    <row r="7" spans="1:10" s="11" customFormat="1" ht="21" customHeight="1" x14ac:dyDescent="0.2">
      <c r="A7" s="311" t="s">
        <v>247</v>
      </c>
      <c r="B7" s="275" t="s">
        <v>222</v>
      </c>
      <c r="C7" s="275"/>
      <c r="D7" s="275"/>
      <c r="E7" s="275"/>
      <c r="F7" s="275"/>
      <c r="G7" s="275"/>
      <c r="H7" s="275"/>
      <c r="I7" s="275"/>
      <c r="J7" s="275"/>
    </row>
    <row r="8" spans="1:10" s="11" customFormat="1" ht="21" customHeight="1" x14ac:dyDescent="0.2">
      <c r="A8" s="311"/>
      <c r="B8" s="275" t="s">
        <v>221</v>
      </c>
      <c r="C8" s="275"/>
      <c r="D8" s="275"/>
      <c r="E8" s="275"/>
      <c r="F8" s="275"/>
      <c r="G8" s="275"/>
      <c r="H8" s="275"/>
      <c r="I8" s="275"/>
      <c r="J8" s="275"/>
    </row>
    <row r="9" spans="1:10" s="11" customFormat="1" ht="21.75" customHeight="1" x14ac:dyDescent="0.2">
      <c r="A9" s="276" t="s">
        <v>248</v>
      </c>
      <c r="B9" s="275" t="s">
        <v>162</v>
      </c>
      <c r="C9" s="275"/>
      <c r="D9" s="275"/>
      <c r="E9" s="275"/>
      <c r="F9" s="275"/>
      <c r="G9" s="275"/>
      <c r="H9" s="275"/>
      <c r="I9" s="275"/>
      <c r="J9" s="275"/>
    </row>
    <row r="10" spans="1:10" s="11" customFormat="1" ht="21.75" customHeight="1" x14ac:dyDescent="0.2">
      <c r="A10" s="311" t="s">
        <v>249</v>
      </c>
      <c r="B10" s="275" t="s">
        <v>223</v>
      </c>
      <c r="C10" s="275"/>
      <c r="D10" s="275"/>
      <c r="E10" s="275"/>
      <c r="F10" s="275"/>
      <c r="G10" s="275"/>
      <c r="H10" s="275"/>
      <c r="I10" s="275"/>
      <c r="J10" s="275"/>
    </row>
    <row r="11" spans="1:10" s="11" customFormat="1" ht="21.75" customHeight="1" x14ac:dyDescent="0.2">
      <c r="A11" s="311"/>
      <c r="B11" s="275" t="s">
        <v>221</v>
      </c>
      <c r="C11" s="275"/>
      <c r="D11" s="275"/>
      <c r="E11" s="275"/>
      <c r="F11" s="275"/>
      <c r="G11" s="275"/>
      <c r="H11" s="275"/>
      <c r="I11" s="275"/>
      <c r="J11" s="275"/>
    </row>
    <row r="12" spans="1:10" s="11" customFormat="1" ht="26.45" customHeight="1" x14ac:dyDescent="0.2">
      <c r="A12" s="11" t="s">
        <v>153</v>
      </c>
      <c r="B12" s="11" t="s">
        <v>163</v>
      </c>
    </row>
    <row r="13" spans="1:10" s="11" customFormat="1" ht="21.6" customHeight="1" x14ac:dyDescent="0.2">
      <c r="A13" s="310" t="s">
        <v>137</v>
      </c>
      <c r="B13" s="11" t="s">
        <v>161</v>
      </c>
    </row>
    <row r="14" spans="1:10" s="11" customFormat="1" ht="21.6" customHeight="1" x14ac:dyDescent="0.2">
      <c r="A14" s="310"/>
      <c r="B14" s="11" t="s">
        <v>224</v>
      </c>
    </row>
    <row r="15" spans="1:10" s="11" customFormat="1" ht="25.5" customHeight="1" x14ac:dyDescent="0.2">
      <c r="A15" s="310" t="s">
        <v>197</v>
      </c>
      <c r="B15" s="11" t="s">
        <v>199</v>
      </c>
    </row>
    <row r="16" spans="1:10" s="11" customFormat="1" ht="25.5" customHeight="1" x14ac:dyDescent="0.2">
      <c r="A16" s="310"/>
      <c r="B16" s="11" t="s">
        <v>225</v>
      </c>
    </row>
    <row r="17" spans="1:2" s="11" customFormat="1" ht="25.5" customHeight="1" x14ac:dyDescent="0.2">
      <c r="A17" s="310" t="s">
        <v>198</v>
      </c>
      <c r="B17" s="11" t="s">
        <v>200</v>
      </c>
    </row>
    <row r="18" spans="1:2" s="11" customFormat="1" ht="25.5" customHeight="1" x14ac:dyDescent="0.2">
      <c r="A18" s="310"/>
      <c r="B18" s="11" t="s">
        <v>225</v>
      </c>
    </row>
    <row r="19" spans="1:2" x14ac:dyDescent="0.2">
      <c r="B19" s="11"/>
    </row>
    <row r="20" spans="1:2" ht="21.75" customHeight="1" x14ac:dyDescent="0.2">
      <c r="A20" s="11" t="s">
        <v>148</v>
      </c>
    </row>
    <row r="21" spans="1:2" x14ac:dyDescent="0.2">
      <c r="A21" s="70" t="s">
        <v>138</v>
      </c>
      <c r="B21" s="57" t="s">
        <v>141</v>
      </c>
    </row>
    <row r="22" spans="1:2" x14ac:dyDescent="0.2">
      <c r="A22" s="70" t="s">
        <v>139</v>
      </c>
      <c r="B22" s="57" t="s">
        <v>140</v>
      </c>
    </row>
    <row r="23" spans="1:2" x14ac:dyDescent="0.2">
      <c r="A23" s="70" t="s">
        <v>143</v>
      </c>
      <c r="B23" s="57" t="s">
        <v>142</v>
      </c>
    </row>
    <row r="24" spans="1:2" x14ac:dyDescent="0.2">
      <c r="A24" s="70" t="s">
        <v>144</v>
      </c>
      <c r="B24" s="57" t="s">
        <v>256</v>
      </c>
    </row>
    <row r="25" spans="1:2" x14ac:dyDescent="0.2">
      <c r="A25" s="70" t="s">
        <v>164</v>
      </c>
      <c r="B25" s="57" t="s">
        <v>165</v>
      </c>
    </row>
    <row r="26" spans="1:2" x14ac:dyDescent="0.2">
      <c r="A26" s="70"/>
      <c r="B26" s="57"/>
    </row>
    <row r="27" spans="1:2" x14ac:dyDescent="0.2">
      <c r="A27" s="70"/>
      <c r="B27" s="57"/>
    </row>
    <row r="28" spans="1:2" x14ac:dyDescent="0.2">
      <c r="A28" s="70"/>
      <c r="B28" s="57"/>
    </row>
    <row r="29" spans="1:2" x14ac:dyDescent="0.2">
      <c r="A29" s="70"/>
      <c r="B29" s="57"/>
    </row>
  </sheetData>
  <mergeCells count="5">
    <mergeCell ref="A15:A16"/>
    <mergeCell ref="A13:A14"/>
    <mergeCell ref="A17:A18"/>
    <mergeCell ref="A10:A11"/>
    <mergeCell ref="A7:A8"/>
  </mergeCells>
  <pageMargins left="0.7" right="0.7" top="0.75" bottom="0.75" header="0.3" footer="0.3"/>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AN49"/>
  <sheetViews>
    <sheetView workbookViewId="0">
      <selection activeCell="R21" sqref="R21:Z21"/>
    </sheetView>
  </sheetViews>
  <sheetFormatPr defaultColWidth="9.140625" defaultRowHeight="12.75" x14ac:dyDescent="0.2"/>
  <cols>
    <col min="1" max="16384" width="9.140625" style="2"/>
  </cols>
  <sheetData>
    <row r="1" spans="2:40" ht="18.75" x14ac:dyDescent="0.3">
      <c r="C1" s="326" t="s">
        <v>14</v>
      </c>
      <c r="D1" s="326"/>
      <c r="E1" s="326"/>
      <c r="F1" s="326"/>
      <c r="G1" s="326"/>
      <c r="H1" s="326"/>
      <c r="I1" s="326"/>
      <c r="J1" s="326"/>
      <c r="K1" s="326"/>
      <c r="L1" s="326"/>
      <c r="M1" s="326"/>
      <c r="N1" s="326"/>
      <c r="O1" s="326"/>
      <c r="P1" s="326"/>
    </row>
    <row r="3" spans="2:40" ht="12.95" hidden="1" customHeight="1" x14ac:dyDescent="0.2">
      <c r="B3" s="327" t="s">
        <v>155</v>
      </c>
      <c r="C3" s="327"/>
      <c r="D3" s="327"/>
      <c r="E3" s="327"/>
      <c r="F3" s="327"/>
      <c r="G3" s="327"/>
      <c r="H3" s="327"/>
      <c r="I3" s="327"/>
      <c r="J3" s="327"/>
      <c r="K3" s="327"/>
      <c r="L3" s="327"/>
      <c r="M3" s="327"/>
      <c r="N3" s="327"/>
      <c r="O3" s="327"/>
      <c r="P3" s="327"/>
      <c r="Q3" s="327"/>
      <c r="R3" s="327"/>
    </row>
    <row r="4" spans="2:40" ht="54" customHeight="1" x14ac:dyDescent="0.2">
      <c r="B4" s="327"/>
      <c r="C4" s="327"/>
      <c r="D4" s="327"/>
      <c r="E4" s="327"/>
      <c r="F4" s="327"/>
      <c r="G4" s="327"/>
      <c r="H4" s="327"/>
      <c r="I4" s="327"/>
      <c r="J4" s="327"/>
      <c r="K4" s="327"/>
      <c r="L4" s="327"/>
      <c r="M4" s="327"/>
      <c r="N4" s="327"/>
      <c r="O4" s="327"/>
      <c r="P4" s="327"/>
      <c r="Q4" s="327"/>
      <c r="R4" s="327"/>
    </row>
    <row r="9" spans="2:40" ht="13.5" thickBot="1" x14ac:dyDescent="0.25"/>
    <row r="10" spans="2:40" ht="22.5" customHeight="1" x14ac:dyDescent="0.2">
      <c r="R10" s="328" t="s">
        <v>15</v>
      </c>
      <c r="S10" s="329"/>
      <c r="T10" s="329"/>
      <c r="U10" s="329"/>
      <c r="V10" s="329"/>
      <c r="W10" s="329"/>
      <c r="X10" s="329"/>
      <c r="Y10" s="329"/>
      <c r="Z10" s="330"/>
      <c r="AA10" s="3"/>
      <c r="AB10" s="3"/>
      <c r="AC10" s="3"/>
      <c r="AD10" s="3"/>
      <c r="AE10" s="3"/>
      <c r="AF10" s="3"/>
      <c r="AG10" s="3"/>
      <c r="AH10" s="3"/>
      <c r="AI10" s="3"/>
      <c r="AJ10" s="4"/>
      <c r="AK10" s="4"/>
      <c r="AL10" s="4"/>
      <c r="AM10" s="4"/>
      <c r="AN10" s="4"/>
    </row>
    <row r="11" spans="2:40" ht="22.5" customHeight="1" x14ac:dyDescent="0.2">
      <c r="R11" s="331" t="s">
        <v>16</v>
      </c>
      <c r="S11" s="321"/>
      <c r="T11" s="321"/>
      <c r="U11" s="321"/>
      <c r="V11" s="321"/>
      <c r="W11" s="321"/>
      <c r="X11" s="321"/>
      <c r="Y11" s="321"/>
      <c r="Z11" s="332"/>
      <c r="AA11" s="3"/>
      <c r="AB11" s="3"/>
      <c r="AC11" s="3"/>
      <c r="AD11" s="3"/>
      <c r="AE11" s="3"/>
      <c r="AF11" s="3"/>
      <c r="AG11" s="3"/>
      <c r="AH11" s="3"/>
      <c r="AI11" s="3"/>
      <c r="AJ11" s="4"/>
      <c r="AK11" s="4"/>
      <c r="AL11" s="4"/>
      <c r="AM11" s="4"/>
      <c r="AN11" s="4"/>
    </row>
    <row r="12" spans="2:40" ht="22.5" customHeight="1" x14ac:dyDescent="0.2">
      <c r="R12" s="331" t="s">
        <v>17</v>
      </c>
      <c r="S12" s="321"/>
      <c r="T12" s="321"/>
      <c r="U12" s="321"/>
      <c r="V12" s="321"/>
      <c r="W12" s="321"/>
      <c r="X12" s="321"/>
      <c r="Y12" s="321"/>
      <c r="Z12" s="332"/>
      <c r="AA12" s="3"/>
      <c r="AB12" s="3"/>
      <c r="AC12" s="3"/>
      <c r="AD12" s="3"/>
      <c r="AE12" s="3"/>
      <c r="AF12" s="3"/>
      <c r="AG12" s="3"/>
      <c r="AH12" s="3"/>
      <c r="AI12" s="3"/>
      <c r="AJ12" s="4"/>
      <c r="AK12" s="4"/>
      <c r="AL12" s="4"/>
      <c r="AM12" s="4"/>
      <c r="AN12" s="4"/>
    </row>
    <row r="13" spans="2:40" ht="18" customHeight="1" thickBot="1" x14ac:dyDescent="0.25">
      <c r="R13" s="323" t="s">
        <v>22</v>
      </c>
      <c r="S13" s="324"/>
      <c r="T13" s="324"/>
      <c r="U13" s="324"/>
      <c r="V13" s="324"/>
      <c r="W13" s="324"/>
      <c r="X13" s="324"/>
      <c r="Y13" s="324"/>
      <c r="Z13" s="325"/>
      <c r="AA13" s="3"/>
      <c r="AB13" s="3"/>
      <c r="AC13" s="3"/>
      <c r="AD13" s="3"/>
      <c r="AE13" s="3"/>
      <c r="AF13" s="3"/>
      <c r="AG13" s="3"/>
      <c r="AH13" s="3"/>
      <c r="AI13" s="3"/>
      <c r="AJ13" s="4"/>
      <c r="AK13" s="4"/>
      <c r="AL13" s="4"/>
      <c r="AM13" s="4"/>
      <c r="AN13" s="4"/>
    </row>
    <row r="14" spans="2:40" ht="28.5" customHeight="1" x14ac:dyDescent="0.2">
      <c r="R14" s="5"/>
      <c r="S14" s="5"/>
      <c r="T14" s="5"/>
      <c r="U14" s="5"/>
      <c r="V14" s="5"/>
      <c r="W14" s="5"/>
      <c r="X14" s="5"/>
      <c r="Y14" s="5"/>
      <c r="Z14" s="5"/>
      <c r="AA14" s="6"/>
      <c r="AB14" s="6"/>
      <c r="AC14" s="6"/>
      <c r="AD14" s="6"/>
      <c r="AE14" s="6"/>
      <c r="AF14" s="6"/>
      <c r="AG14" s="6"/>
      <c r="AH14" s="3"/>
      <c r="AI14" s="3"/>
      <c r="AJ14" s="4"/>
      <c r="AK14" s="4"/>
      <c r="AL14" s="4"/>
      <c r="AM14" s="4"/>
      <c r="AN14" s="4"/>
    </row>
    <row r="15" spans="2:40" ht="64.5" customHeight="1" x14ac:dyDescent="0.2">
      <c r="R15" s="5"/>
      <c r="S15" s="5"/>
      <c r="T15" s="5"/>
      <c r="U15" s="5"/>
      <c r="V15" s="5"/>
      <c r="W15" s="5"/>
      <c r="X15" s="5"/>
      <c r="Y15" s="5"/>
      <c r="Z15" s="5"/>
      <c r="AA15" s="3"/>
      <c r="AB15" s="3"/>
      <c r="AC15" s="3"/>
      <c r="AD15" s="3"/>
      <c r="AE15" s="3"/>
      <c r="AF15" s="3"/>
      <c r="AG15" s="3"/>
      <c r="AH15" s="3"/>
      <c r="AI15" s="3"/>
      <c r="AJ15" s="4"/>
      <c r="AK15" s="4"/>
      <c r="AL15" s="4"/>
      <c r="AM15" s="4"/>
      <c r="AN15" s="4"/>
    </row>
    <row r="16" spans="2:40" ht="54.75" customHeight="1" x14ac:dyDescent="0.2">
      <c r="AA16" s="321"/>
      <c r="AB16" s="321"/>
      <c r="AC16" s="321"/>
      <c r="AD16" s="321"/>
      <c r="AE16" s="321"/>
      <c r="AF16" s="321"/>
      <c r="AG16" s="321"/>
      <c r="AH16" s="321"/>
      <c r="AI16" s="321"/>
      <c r="AJ16" s="322"/>
      <c r="AK16" s="322"/>
      <c r="AL16" s="322"/>
      <c r="AM16" s="322"/>
      <c r="AN16" s="322"/>
    </row>
    <row r="17" spans="18:40" ht="34.5" customHeight="1" x14ac:dyDescent="0.2">
      <c r="AA17" s="321"/>
      <c r="AB17" s="321"/>
      <c r="AC17" s="321"/>
      <c r="AD17" s="321"/>
      <c r="AE17" s="321"/>
      <c r="AF17" s="321"/>
      <c r="AG17" s="321"/>
      <c r="AH17" s="321"/>
      <c r="AI17" s="321"/>
      <c r="AJ17" s="322"/>
      <c r="AK17" s="322"/>
      <c r="AL17" s="322"/>
      <c r="AM17" s="322"/>
      <c r="AN17" s="322"/>
    </row>
    <row r="18" spans="18:40" s="7" customFormat="1" ht="45" customHeight="1" thickBot="1" x14ac:dyDescent="0.25">
      <c r="R18" s="2"/>
      <c r="S18" s="2"/>
      <c r="T18" s="2"/>
      <c r="U18" s="2"/>
      <c r="V18" s="2"/>
      <c r="W18" s="2"/>
      <c r="X18" s="2"/>
      <c r="Y18" s="2"/>
      <c r="Z18" s="2"/>
    </row>
    <row r="19" spans="18:40" s="7" customFormat="1" ht="76.5" customHeight="1" x14ac:dyDescent="0.2">
      <c r="R19" s="312" t="s">
        <v>266</v>
      </c>
      <c r="S19" s="313"/>
      <c r="T19" s="313"/>
      <c r="U19" s="313"/>
      <c r="V19" s="313"/>
      <c r="W19" s="313"/>
      <c r="X19" s="313"/>
      <c r="Y19" s="313"/>
      <c r="Z19" s="314"/>
      <c r="AA19" s="8"/>
      <c r="AB19" s="8"/>
    </row>
    <row r="20" spans="18:40" ht="98.25" customHeight="1" x14ac:dyDescent="0.2">
      <c r="R20" s="315" t="s">
        <v>130</v>
      </c>
      <c r="S20" s="316"/>
      <c r="T20" s="316"/>
      <c r="U20" s="316"/>
      <c r="V20" s="316"/>
      <c r="W20" s="316"/>
      <c r="X20" s="316"/>
      <c r="Y20" s="316"/>
      <c r="Z20" s="317"/>
    </row>
    <row r="21" spans="18:40" ht="89.25" customHeight="1" thickBot="1" x14ac:dyDescent="0.25">
      <c r="R21" s="318" t="s">
        <v>131</v>
      </c>
      <c r="S21" s="319"/>
      <c r="T21" s="319"/>
      <c r="U21" s="319"/>
      <c r="V21" s="319"/>
      <c r="W21" s="319"/>
      <c r="X21" s="319"/>
      <c r="Y21" s="319"/>
      <c r="Z21" s="320"/>
    </row>
    <row r="22" spans="18:40" ht="66.75" customHeight="1" x14ac:dyDescent="0.2">
      <c r="R22" s="9"/>
    </row>
    <row r="24" spans="18:40" ht="12.75" customHeight="1" x14ac:dyDescent="0.2"/>
    <row r="48" spans="3:3" x14ac:dyDescent="0.2">
      <c r="C48" s="2" t="s">
        <v>265</v>
      </c>
    </row>
    <row r="49" spans="3:3" x14ac:dyDescent="0.2">
      <c r="C49" s="277" t="s">
        <v>264</v>
      </c>
    </row>
  </sheetData>
  <mergeCells count="13">
    <mergeCell ref="R13:Z13"/>
    <mergeCell ref="C1:P1"/>
    <mergeCell ref="B3:R4"/>
    <mergeCell ref="R10:Z10"/>
    <mergeCell ref="R11:Z11"/>
    <mergeCell ref="R12:Z12"/>
    <mergeCell ref="R19:Z19"/>
    <mergeCell ref="R20:Z20"/>
    <mergeCell ref="R21:Z21"/>
    <mergeCell ref="AA16:AI16"/>
    <mergeCell ref="AJ16:AN16"/>
    <mergeCell ref="AA17:AI17"/>
    <mergeCell ref="AJ17:AN17"/>
  </mergeCells>
  <hyperlinks>
    <hyperlink ref="C49" r:id="rId1" xr:uid="{1F4F6C07-EC27-4DEF-A335-47575D6FF252}"/>
  </hyperlinks>
  <pageMargins left="0.7" right="0.7" top="0.75" bottom="0.75" header="0.3" footer="0.3"/>
  <pageSetup paperSize="9" orientation="portrait" r:id="rId2"/>
  <headerFooter>
    <oddFooter>&amp;R_x000D_&amp;1#&amp;"Calibri"&amp;10&amp;K000000 Official Use Only</odd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6F3B2-2CB2-48C6-BF75-EDE46FD190A4}">
  <dimension ref="A1:AJ81"/>
  <sheetViews>
    <sheetView zoomScale="70" zoomScaleNormal="70" workbookViewId="0">
      <pane xSplit="2" ySplit="4" topLeftCell="C5" activePane="bottomRight" state="frozen"/>
      <selection pane="topRight" activeCell="B1" sqref="B1"/>
      <selection pane="bottomLeft" activeCell="A10" sqref="A10"/>
      <selection pane="bottomRight" activeCell="U18" sqref="U18"/>
    </sheetView>
  </sheetViews>
  <sheetFormatPr defaultColWidth="9.140625" defaultRowHeight="12.75" x14ac:dyDescent="0.2"/>
  <cols>
    <col min="1" max="1" width="19.140625" style="15" bestFit="1" customWidth="1"/>
    <col min="2" max="2" width="27.85546875" style="15" customWidth="1"/>
    <col min="3" max="3" width="19.140625" style="77" bestFit="1" customWidth="1"/>
    <col min="4" max="4" width="26.85546875" style="10" customWidth="1"/>
    <col min="5" max="5" width="17.85546875" style="16" customWidth="1"/>
    <col min="6" max="6" width="13.42578125" style="16" customWidth="1"/>
    <col min="7" max="7" width="15.5703125" style="16" customWidth="1"/>
    <col min="8" max="8" width="15.85546875" style="16" customWidth="1"/>
    <col min="9" max="9" width="10.28515625" style="16" customWidth="1"/>
    <col min="10" max="10" width="9.5703125" style="16" customWidth="1"/>
    <col min="11" max="11" width="10.140625" style="16" customWidth="1"/>
    <col min="12" max="12" width="9.140625" style="16" customWidth="1"/>
    <col min="13" max="13" width="12.28515625" style="16" customWidth="1"/>
    <col min="14" max="14" width="13.28515625" style="16" customWidth="1"/>
    <col min="15" max="15" width="14" style="16" customWidth="1"/>
    <col min="16" max="16" width="13.42578125" style="16" customWidth="1"/>
    <col min="17" max="19" width="6.7109375" style="15" customWidth="1"/>
    <col min="20" max="16384" width="9.140625" style="15"/>
  </cols>
  <sheetData>
    <row r="1" spans="1:19" s="59" customFormat="1" ht="18" x14ac:dyDescent="0.2">
      <c r="A1" s="58" t="s">
        <v>226</v>
      </c>
      <c r="C1" s="76"/>
      <c r="D1" s="60"/>
      <c r="F1" s="60"/>
      <c r="G1" s="60"/>
      <c r="H1" s="60"/>
      <c r="I1" s="60"/>
      <c r="J1" s="60"/>
      <c r="K1" s="60"/>
      <c r="L1" s="60"/>
      <c r="M1" s="60"/>
      <c r="N1" s="60"/>
      <c r="O1" s="60"/>
      <c r="P1" s="60"/>
      <c r="Q1" s="60"/>
      <c r="R1" s="60"/>
    </row>
    <row r="2" spans="1:19" x14ac:dyDescent="0.2">
      <c r="D2" s="50"/>
    </row>
    <row r="3" spans="1:19" s="99" customFormat="1" ht="34.5" customHeight="1" x14ac:dyDescent="0.25">
      <c r="A3" s="333" t="s">
        <v>127</v>
      </c>
      <c r="B3" s="333" t="s">
        <v>157</v>
      </c>
      <c r="C3" s="333" t="s">
        <v>149</v>
      </c>
      <c r="D3" s="335" t="s">
        <v>101</v>
      </c>
      <c r="E3" s="343" t="s">
        <v>241</v>
      </c>
      <c r="F3" s="337" t="s">
        <v>242</v>
      </c>
      <c r="G3" s="338"/>
      <c r="H3" s="339"/>
      <c r="I3" s="338" t="s">
        <v>243</v>
      </c>
      <c r="J3" s="338"/>
      <c r="K3" s="338"/>
      <c r="L3" s="338"/>
      <c r="M3" s="338"/>
      <c r="N3" s="340" t="s">
        <v>244</v>
      </c>
      <c r="O3" s="341"/>
      <c r="P3" s="342"/>
      <c r="Q3" s="100"/>
      <c r="R3" s="100"/>
    </row>
    <row r="4" spans="1:19" s="73" customFormat="1" ht="52.5" customHeight="1" x14ac:dyDescent="0.25">
      <c r="A4" s="334"/>
      <c r="B4" s="334"/>
      <c r="C4" s="334"/>
      <c r="D4" s="336"/>
      <c r="E4" s="344"/>
      <c r="F4" s="131" t="s">
        <v>11</v>
      </c>
      <c r="G4" s="101" t="s">
        <v>3</v>
      </c>
      <c r="H4" s="89" t="s">
        <v>4</v>
      </c>
      <c r="I4" s="124" t="s">
        <v>11</v>
      </c>
      <c r="J4" s="101" t="s">
        <v>5</v>
      </c>
      <c r="K4" s="108" t="s">
        <v>6</v>
      </c>
      <c r="L4" s="108" t="s">
        <v>7</v>
      </c>
      <c r="M4" s="75" t="s">
        <v>8</v>
      </c>
      <c r="N4" s="116" t="s">
        <v>11</v>
      </c>
      <c r="O4" s="101" t="s">
        <v>9</v>
      </c>
      <c r="P4" s="89" t="s">
        <v>10</v>
      </c>
    </row>
    <row r="5" spans="1:19" x14ac:dyDescent="0.2">
      <c r="A5" s="87"/>
      <c r="B5" s="225" t="s">
        <v>128</v>
      </c>
      <c r="C5" s="84"/>
      <c r="D5" s="142"/>
      <c r="E5" s="119" t="s">
        <v>96</v>
      </c>
      <c r="F5" s="132"/>
      <c r="G5" s="102"/>
      <c r="H5" s="133"/>
      <c r="I5" s="125"/>
      <c r="J5" s="102"/>
      <c r="K5" s="109"/>
      <c r="L5" s="109"/>
      <c r="M5" s="17"/>
      <c r="N5" s="117"/>
      <c r="O5" s="112"/>
      <c r="P5" s="90"/>
    </row>
    <row r="6" spans="1:19" x14ac:dyDescent="0.2">
      <c r="A6" s="83" t="s">
        <v>62</v>
      </c>
      <c r="B6" s="66" t="s">
        <v>61</v>
      </c>
      <c r="C6" s="82" t="s">
        <v>133</v>
      </c>
      <c r="D6" s="144">
        <v>44927</v>
      </c>
      <c r="E6" s="120">
        <f t="shared" ref="E6:E43" si="0">IF(AND(F6=".",I6=".",N6="."),".",AVERAGE(F6,I6,N6))</f>
        <v>1.1524336139361064</v>
      </c>
      <c r="F6" s="134">
        <v>0.79987376928329468</v>
      </c>
      <c r="G6" s="103">
        <v>0.36363637447357178</v>
      </c>
      <c r="H6" s="91">
        <v>1.2361111640930176</v>
      </c>
      <c r="I6" s="126">
        <v>1.8634278774261475</v>
      </c>
      <c r="J6" s="103">
        <v>3.8184211254119873</v>
      </c>
      <c r="K6" s="110">
        <v>0.66666668653488159</v>
      </c>
      <c r="L6" s="110">
        <v>1.4686235189437866</v>
      </c>
      <c r="M6" s="18">
        <v>1.5</v>
      </c>
      <c r="N6" s="29">
        <v>0.79399919509887695</v>
      </c>
      <c r="O6" s="103">
        <v>0.70921051502227783</v>
      </c>
      <c r="P6" s="91">
        <v>0.87878787517547607</v>
      </c>
      <c r="Q6" s="19"/>
      <c r="R6" s="19"/>
      <c r="S6" s="19"/>
    </row>
    <row r="7" spans="1:19" x14ac:dyDescent="0.2">
      <c r="A7" s="83" t="s">
        <v>76</v>
      </c>
      <c r="B7" s="66" t="s">
        <v>37</v>
      </c>
      <c r="C7" s="82" t="s">
        <v>133</v>
      </c>
      <c r="D7" s="144">
        <v>44927</v>
      </c>
      <c r="E7" s="120">
        <f t="shared" si="0"/>
        <v>0.78079404433568322</v>
      </c>
      <c r="F7" s="134">
        <v>0.76325756311416626</v>
      </c>
      <c r="G7" s="103">
        <v>0.81818181276321411</v>
      </c>
      <c r="H7" s="91">
        <v>0.70833331346511841</v>
      </c>
      <c r="I7" s="126">
        <v>1.1018518209457397</v>
      </c>
      <c r="J7" s="103">
        <v>0.66666668653488159</v>
      </c>
      <c r="K7" s="110">
        <v>0.66666668653488159</v>
      </c>
      <c r="L7" s="110">
        <v>1.5</v>
      </c>
      <c r="M7" s="18">
        <v>1.5740740299224854</v>
      </c>
      <c r="N7" s="29">
        <v>0.47727274894714355</v>
      </c>
      <c r="O7" s="103">
        <v>0.5</v>
      </c>
      <c r="P7" s="91">
        <v>0.45454546809196472</v>
      </c>
      <c r="Q7" s="19"/>
      <c r="R7" s="19"/>
      <c r="S7" s="19"/>
    </row>
    <row r="8" spans="1:19" x14ac:dyDescent="0.2">
      <c r="A8" s="83" t="s">
        <v>114</v>
      </c>
      <c r="B8" s="66" t="s">
        <v>113</v>
      </c>
      <c r="C8" s="82" t="s">
        <v>133</v>
      </c>
      <c r="D8" s="144">
        <v>44927</v>
      </c>
      <c r="E8" s="120">
        <f t="shared" si="0"/>
        <v>1.0804737408955891</v>
      </c>
      <c r="F8" s="134">
        <v>1</v>
      </c>
      <c r="G8" s="103">
        <v>1</v>
      </c>
      <c r="H8" s="91">
        <v>1</v>
      </c>
      <c r="I8" s="126">
        <v>1.1502314805984497</v>
      </c>
      <c r="J8" s="103">
        <v>0.46759259700775146</v>
      </c>
      <c r="K8" s="110">
        <v>2</v>
      </c>
      <c r="L8" s="111">
        <v>1.7999999523162842</v>
      </c>
      <c r="M8" s="18">
        <v>0.3333333432674408</v>
      </c>
      <c r="N8" s="29">
        <v>1.0911897420883179</v>
      </c>
      <c r="O8" s="103">
        <v>1.3086420297622681</v>
      </c>
      <c r="P8" s="91">
        <v>0.8737373948097229</v>
      </c>
      <c r="Q8" s="19"/>
      <c r="R8" s="19"/>
      <c r="S8" s="19"/>
    </row>
    <row r="9" spans="1:19" x14ac:dyDescent="0.2">
      <c r="A9" s="83" t="s">
        <v>63</v>
      </c>
      <c r="B9" s="66" t="s">
        <v>31</v>
      </c>
      <c r="C9" s="82" t="s">
        <v>133</v>
      </c>
      <c r="D9" s="144">
        <v>44927</v>
      </c>
      <c r="E9" s="120">
        <f t="shared" si="0"/>
        <v>1.3754511674245198</v>
      </c>
      <c r="F9" s="134">
        <v>1.579744815826416</v>
      </c>
      <c r="G9" s="103">
        <v>1.0382775068283081</v>
      </c>
      <c r="H9" s="91">
        <v>2.1212120056152344</v>
      </c>
      <c r="I9" s="126">
        <v>1.1897904872894287</v>
      </c>
      <c r="J9" s="103">
        <v>1.2850877046585083</v>
      </c>
      <c r="K9" s="110">
        <v>0.66666668653488159</v>
      </c>
      <c r="L9" s="110">
        <v>1.5140351057052612</v>
      </c>
      <c r="M9" s="18">
        <v>1.2933722734451294</v>
      </c>
      <c r="N9" s="29">
        <v>1.3568181991577148</v>
      </c>
      <c r="O9" s="103">
        <v>1.3500000238418579</v>
      </c>
      <c r="P9" s="91">
        <v>1.3636363744735718</v>
      </c>
      <c r="Q9" s="19"/>
      <c r="R9" s="19"/>
      <c r="S9" s="19"/>
    </row>
    <row r="10" spans="1:19" x14ac:dyDescent="0.2">
      <c r="A10" s="83" t="s">
        <v>77</v>
      </c>
      <c r="B10" s="66" t="s">
        <v>47</v>
      </c>
      <c r="C10" s="82" t="s">
        <v>133</v>
      </c>
      <c r="D10" s="144">
        <v>44927</v>
      </c>
      <c r="E10" s="120">
        <f t="shared" si="0"/>
        <v>1.7380892435709636</v>
      </c>
      <c r="F10" s="134">
        <v>1.8813397884368896</v>
      </c>
      <c r="G10" s="103">
        <v>0.60000002384185791</v>
      </c>
      <c r="H10" s="91">
        <v>3.1626794338226318</v>
      </c>
      <c r="I10" s="126">
        <v>1.5715643167495728</v>
      </c>
      <c r="J10" s="103">
        <v>3.1973683834075928</v>
      </c>
      <c r="K10" s="110">
        <v>0.66666668653488159</v>
      </c>
      <c r="L10" s="110">
        <v>0.69999998807907104</v>
      </c>
      <c r="M10" s="18">
        <v>1.7222222089767456</v>
      </c>
      <c r="N10" s="29">
        <v>1.7613636255264282</v>
      </c>
      <c r="O10" s="103">
        <v>1.25</v>
      </c>
      <c r="P10" s="91">
        <v>2.2727272510528564</v>
      </c>
      <c r="Q10" s="19"/>
      <c r="R10" s="19"/>
      <c r="S10" s="19"/>
    </row>
    <row r="11" spans="1:19" x14ac:dyDescent="0.2">
      <c r="A11" s="83" t="s">
        <v>98</v>
      </c>
      <c r="B11" s="66" t="s">
        <v>97</v>
      </c>
      <c r="C11" s="85" t="s">
        <v>134</v>
      </c>
      <c r="D11" s="144">
        <v>44927</v>
      </c>
      <c r="E11" s="120">
        <f t="shared" si="0"/>
        <v>1.9617889324824016</v>
      </c>
      <c r="F11" s="134">
        <v>2.1224880218505859</v>
      </c>
      <c r="G11" s="103">
        <v>2.1684210300445557</v>
      </c>
      <c r="H11" s="91">
        <v>2.0765550136566162</v>
      </c>
      <c r="I11" s="126">
        <v>1.6916667222976685</v>
      </c>
      <c r="J11" s="103">
        <v>2</v>
      </c>
      <c r="K11" s="110">
        <v>0.66666668653488159</v>
      </c>
      <c r="L11" s="110">
        <v>2.4333333969116211</v>
      </c>
      <c r="M11" s="18">
        <v>1.6666666269302368</v>
      </c>
      <c r="N11" s="29">
        <v>2.0712120532989502</v>
      </c>
      <c r="O11" s="103">
        <v>1.8999999761581421</v>
      </c>
      <c r="P11" s="91">
        <v>2.2424242496490479</v>
      </c>
      <c r="Q11" s="19"/>
      <c r="R11" s="19"/>
      <c r="S11" s="19"/>
    </row>
    <row r="12" spans="1:19" x14ac:dyDescent="0.2">
      <c r="A12" s="83" t="s">
        <v>78</v>
      </c>
      <c r="B12" s="66" t="s">
        <v>28</v>
      </c>
      <c r="C12" s="85" t="s">
        <v>134</v>
      </c>
      <c r="D12" s="144">
        <v>44927</v>
      </c>
      <c r="E12" s="120">
        <f t="shared" si="0"/>
        <v>3.064556042353312</v>
      </c>
      <c r="F12" s="134">
        <v>4.1778945922851563</v>
      </c>
      <c r="G12" s="103">
        <v>4.1778945922851563</v>
      </c>
      <c r="H12" s="91" t="s">
        <v>173</v>
      </c>
      <c r="I12" s="126">
        <v>3.5222806930541992</v>
      </c>
      <c r="J12" s="103">
        <v>5.3557896614074707</v>
      </c>
      <c r="K12" s="110">
        <v>3.3333332538604736</v>
      </c>
      <c r="L12" s="110">
        <v>2.4000000953674316</v>
      </c>
      <c r="M12" s="18">
        <v>3</v>
      </c>
      <c r="N12" s="29">
        <v>1.4934928417205811</v>
      </c>
      <c r="O12" s="103">
        <v>1.7445614337921143</v>
      </c>
      <c r="P12" s="91">
        <v>1.2424242496490479</v>
      </c>
      <c r="Q12" s="19"/>
      <c r="R12" s="19"/>
      <c r="S12" s="19"/>
    </row>
    <row r="13" spans="1:19" x14ac:dyDescent="0.2">
      <c r="A13" s="83" t="s">
        <v>64</v>
      </c>
      <c r="B13" s="66" t="s">
        <v>60</v>
      </c>
      <c r="C13" s="82" t="s">
        <v>133</v>
      </c>
      <c r="D13" s="144">
        <v>44927</v>
      </c>
      <c r="E13" s="120">
        <f t="shared" si="0"/>
        <v>1.1672182480494182</v>
      </c>
      <c r="F13" s="134">
        <v>0.78628385066986084</v>
      </c>
      <c r="G13" s="103">
        <v>0.73923444747924805</v>
      </c>
      <c r="H13" s="91">
        <v>0.83333331346511841</v>
      </c>
      <c r="I13" s="126">
        <v>1.1918859481811523</v>
      </c>
      <c r="J13" s="103">
        <v>0.68859648704528809</v>
      </c>
      <c r="K13" s="110">
        <v>0.74561405181884766</v>
      </c>
      <c r="L13" s="110">
        <v>2</v>
      </c>
      <c r="M13" s="18">
        <v>1.3333333730697632</v>
      </c>
      <c r="N13" s="29">
        <v>1.5234849452972412</v>
      </c>
      <c r="O13" s="103">
        <v>1.3500000238418579</v>
      </c>
      <c r="P13" s="91">
        <v>1.696969747543335</v>
      </c>
      <c r="Q13" s="19"/>
      <c r="R13" s="19"/>
      <c r="S13" s="19"/>
    </row>
    <row r="14" spans="1:19" x14ac:dyDescent="0.2">
      <c r="A14" s="83" t="s">
        <v>79</v>
      </c>
      <c r="B14" s="66" t="s">
        <v>54</v>
      </c>
      <c r="C14" s="82" t="s">
        <v>133</v>
      </c>
      <c r="D14" s="144">
        <v>44927</v>
      </c>
      <c r="E14" s="120">
        <f t="shared" si="0"/>
        <v>0.84134880701700843</v>
      </c>
      <c r="F14" s="134">
        <v>0.53033626079559326</v>
      </c>
      <c r="G14" s="103">
        <v>0.43421053886413574</v>
      </c>
      <c r="H14" s="91">
        <v>0.62646198272705078</v>
      </c>
      <c r="I14" s="126">
        <v>0.66567981243133545</v>
      </c>
      <c r="J14" s="103">
        <v>0.46271929144859314</v>
      </c>
      <c r="K14" s="110">
        <v>0</v>
      </c>
      <c r="L14" s="110">
        <v>1.7000000476837158</v>
      </c>
      <c r="M14" s="18">
        <v>0.5</v>
      </c>
      <c r="N14" s="29">
        <v>1.3280303478240967</v>
      </c>
      <c r="O14" s="103">
        <v>1.0499999523162842</v>
      </c>
      <c r="P14" s="91">
        <v>1.6060606241226196</v>
      </c>
      <c r="Q14" s="19"/>
      <c r="R14" s="19"/>
      <c r="S14" s="19"/>
    </row>
    <row r="15" spans="1:19" x14ac:dyDescent="0.2">
      <c r="A15" s="83" t="s">
        <v>65</v>
      </c>
      <c r="B15" s="66" t="s">
        <v>34</v>
      </c>
      <c r="C15" s="82" t="s">
        <v>133</v>
      </c>
      <c r="D15" s="144">
        <v>44927</v>
      </c>
      <c r="E15" s="120">
        <f t="shared" si="0"/>
        <v>1.0628787676493328</v>
      </c>
      <c r="F15" s="135">
        <v>0.7239234447479248</v>
      </c>
      <c r="G15" s="103">
        <v>0.44784688949584961</v>
      </c>
      <c r="H15" s="91">
        <v>1</v>
      </c>
      <c r="I15" s="127">
        <v>0.97872805595397949</v>
      </c>
      <c r="J15" s="103">
        <v>0.48771929740905762</v>
      </c>
      <c r="K15" s="110">
        <v>0.82719296216964722</v>
      </c>
      <c r="L15" s="110">
        <v>2.0999999046325684</v>
      </c>
      <c r="M15" s="18">
        <v>0.5</v>
      </c>
      <c r="N15" s="29">
        <v>1.4859848022460938</v>
      </c>
      <c r="O15" s="103">
        <v>1.2749999761581421</v>
      </c>
      <c r="P15" s="91">
        <v>1.696969747543335</v>
      </c>
      <c r="Q15" s="19"/>
      <c r="R15" s="19"/>
      <c r="S15" s="19"/>
    </row>
    <row r="16" spans="1:19" x14ac:dyDescent="0.2">
      <c r="A16" s="83" t="s">
        <v>66</v>
      </c>
      <c r="B16" s="66" t="s">
        <v>38</v>
      </c>
      <c r="C16" s="82" t="s">
        <v>133</v>
      </c>
      <c r="D16" s="144">
        <v>44927</v>
      </c>
      <c r="E16" s="120">
        <f t="shared" si="0"/>
        <v>1.1270467440287273</v>
      </c>
      <c r="F16" s="135">
        <v>1.2292662858963013</v>
      </c>
      <c r="G16" s="103">
        <v>0.7918660044670105</v>
      </c>
      <c r="H16" s="91">
        <v>1.6666666269302368</v>
      </c>
      <c r="I16" s="127">
        <v>0.94692981243133545</v>
      </c>
      <c r="J16" s="103">
        <v>1.4517543315887451</v>
      </c>
      <c r="K16" s="110">
        <v>7.8947365283966064E-2</v>
      </c>
      <c r="L16" s="110">
        <v>1.4236842393875122</v>
      </c>
      <c r="M16" s="18">
        <v>0.83333331346511841</v>
      </c>
      <c r="N16" s="31">
        <v>1.2049441337585449</v>
      </c>
      <c r="O16" s="103">
        <v>0.92105263471603394</v>
      </c>
      <c r="P16" s="91">
        <v>1.4888356924057007</v>
      </c>
      <c r="Q16" s="19"/>
      <c r="R16" s="19"/>
      <c r="S16" s="19"/>
    </row>
    <row r="17" spans="1:19" x14ac:dyDescent="0.2">
      <c r="A17" s="83" t="s">
        <v>67</v>
      </c>
      <c r="B17" s="66" t="s">
        <v>48</v>
      </c>
      <c r="C17" s="82" t="s">
        <v>133</v>
      </c>
      <c r="D17" s="144">
        <v>44927</v>
      </c>
      <c r="E17" s="120">
        <f t="shared" si="0"/>
        <v>0.91481480995814002</v>
      </c>
      <c r="F17" s="135">
        <v>0.80273127555847168</v>
      </c>
      <c r="G17" s="103">
        <v>0.5550239086151123</v>
      </c>
      <c r="H17" s="91">
        <v>1.0504386425018311</v>
      </c>
      <c r="I17" s="127">
        <v>0.62295323610305786</v>
      </c>
      <c r="J17" s="103">
        <v>0.51754385232925415</v>
      </c>
      <c r="K17" s="110">
        <v>0.12280701100826263</v>
      </c>
      <c r="L17" s="110">
        <v>1.5736842155456543</v>
      </c>
      <c r="M17" s="18">
        <v>0.27777779102325439</v>
      </c>
      <c r="N17" s="31">
        <v>1.3187599182128906</v>
      </c>
      <c r="O17" s="103">
        <v>1.3855262994766235</v>
      </c>
      <c r="P17" s="91">
        <v>1.2519936561584473</v>
      </c>
      <c r="Q17" s="19"/>
      <c r="R17" s="19"/>
      <c r="S17" s="19"/>
    </row>
    <row r="18" spans="1:19" x14ac:dyDescent="0.2">
      <c r="A18" s="83" t="s">
        <v>80</v>
      </c>
      <c r="B18" s="66" t="s">
        <v>51</v>
      </c>
      <c r="C18" s="82" t="s">
        <v>133</v>
      </c>
      <c r="D18" s="144">
        <v>44927</v>
      </c>
      <c r="E18" s="120">
        <f t="shared" si="0"/>
        <v>0.87311971187591553</v>
      </c>
      <c r="F18" s="135">
        <v>0.45428240299224854</v>
      </c>
      <c r="G18" s="103">
        <v>0.5</v>
      </c>
      <c r="H18" s="91">
        <v>0.40856480598449707</v>
      </c>
      <c r="I18" s="127">
        <v>0.77227365970611572</v>
      </c>
      <c r="J18" s="103">
        <v>0.63425928354263306</v>
      </c>
      <c r="K18" s="110">
        <v>6.6872432827949524E-2</v>
      </c>
      <c r="L18" s="110">
        <v>1.8601851463317871</v>
      </c>
      <c r="M18" s="18">
        <v>0.52777779102325439</v>
      </c>
      <c r="N18" s="31">
        <v>1.3928030729293823</v>
      </c>
      <c r="O18" s="103">
        <v>1.5305556058883667</v>
      </c>
      <c r="P18" s="91">
        <v>1.2550505399703979</v>
      </c>
      <c r="Q18" s="19"/>
      <c r="R18" s="19"/>
      <c r="S18" s="19"/>
    </row>
    <row r="19" spans="1:19" x14ac:dyDescent="0.2">
      <c r="A19" s="83" t="s">
        <v>92</v>
      </c>
      <c r="B19" s="66" t="s">
        <v>46</v>
      </c>
      <c r="C19" s="82" t="s">
        <v>133</v>
      </c>
      <c r="D19" s="144">
        <v>44927</v>
      </c>
      <c r="E19" s="120">
        <f t="shared" si="0"/>
        <v>1.1098949909210205</v>
      </c>
      <c r="F19" s="134">
        <v>1.0645933151245117</v>
      </c>
      <c r="G19" s="103">
        <v>0.62918657064437866</v>
      </c>
      <c r="H19" s="91">
        <v>1.5</v>
      </c>
      <c r="I19" s="127">
        <v>0.94649124145507813</v>
      </c>
      <c r="J19" s="103">
        <v>1</v>
      </c>
      <c r="K19" s="110">
        <v>5.2631575614213943E-2</v>
      </c>
      <c r="L19" s="110">
        <v>1.8999999761581421</v>
      </c>
      <c r="M19" s="18">
        <v>0.83333331346511841</v>
      </c>
      <c r="N19" s="31">
        <v>1.3186004161834717</v>
      </c>
      <c r="O19" s="103">
        <v>1.4171051979064941</v>
      </c>
      <c r="P19" s="91">
        <v>1.2200956344604492</v>
      </c>
      <c r="Q19" s="19"/>
      <c r="R19" s="19"/>
      <c r="S19" s="19"/>
    </row>
    <row r="20" spans="1:19" x14ac:dyDescent="0.2">
      <c r="A20" s="83" t="s">
        <v>122</v>
      </c>
      <c r="B20" s="66" t="s">
        <v>121</v>
      </c>
      <c r="C20" s="82" t="s">
        <v>133</v>
      </c>
      <c r="D20" s="144">
        <v>45292</v>
      </c>
      <c r="E20" s="120">
        <f t="shared" si="0"/>
        <v>1.2197894255320232</v>
      </c>
      <c r="F20" s="134">
        <v>1.3320261240005493</v>
      </c>
      <c r="G20" s="103">
        <v>0.84705883264541626</v>
      </c>
      <c r="H20" s="91">
        <v>1.8169934749603271</v>
      </c>
      <c r="I20" s="127">
        <v>1.5398421287536621</v>
      </c>
      <c r="J20" s="103">
        <v>0.45588234066963196</v>
      </c>
      <c r="K20" s="110">
        <v>2</v>
      </c>
      <c r="L20" s="110">
        <v>2.149019718170166</v>
      </c>
      <c r="M20" s="18">
        <v>1.5544662475585938</v>
      </c>
      <c r="N20" s="31">
        <v>0.78750002384185791</v>
      </c>
      <c r="O20" s="103">
        <v>0.57499998807907104</v>
      </c>
      <c r="P20" s="91">
        <v>1</v>
      </c>
      <c r="Q20" s="19"/>
      <c r="R20" s="19"/>
      <c r="S20" s="19"/>
    </row>
    <row r="21" spans="1:19" x14ac:dyDescent="0.2">
      <c r="A21" s="83" t="s">
        <v>82</v>
      </c>
      <c r="B21" s="66" t="s">
        <v>45</v>
      </c>
      <c r="C21" s="82" t="s">
        <v>133</v>
      </c>
      <c r="D21" s="144">
        <v>44927</v>
      </c>
      <c r="E21" s="120">
        <f t="shared" si="0"/>
        <v>1.2856053511301677</v>
      </c>
      <c r="F21" s="134">
        <v>1.296650767326355</v>
      </c>
      <c r="G21" s="103">
        <v>1.296650767326355</v>
      </c>
      <c r="H21" s="91" t="s">
        <v>173</v>
      </c>
      <c r="I21" s="126">
        <v>1.1044834852218628</v>
      </c>
      <c r="J21" s="103" t="s">
        <v>173</v>
      </c>
      <c r="K21" s="110">
        <v>0.71345031261444092</v>
      </c>
      <c r="L21" s="110">
        <v>1.6000000238418579</v>
      </c>
      <c r="M21" s="18">
        <v>1</v>
      </c>
      <c r="N21" s="31">
        <v>1.4556818008422852</v>
      </c>
      <c r="O21" s="103">
        <v>1.2749999761581421</v>
      </c>
      <c r="P21" s="91">
        <v>1.6363636255264282</v>
      </c>
      <c r="Q21" s="19"/>
      <c r="R21" s="19"/>
      <c r="S21" s="19"/>
    </row>
    <row r="22" spans="1:19" x14ac:dyDescent="0.2">
      <c r="A22" s="83" t="s">
        <v>95</v>
      </c>
      <c r="B22" s="66" t="s">
        <v>42</v>
      </c>
      <c r="C22" s="82" t="s">
        <v>133</v>
      </c>
      <c r="D22" s="144">
        <v>44927</v>
      </c>
      <c r="E22" s="120">
        <f t="shared" si="0"/>
        <v>1.2351881663004558</v>
      </c>
      <c r="F22" s="134">
        <v>1.0554226636886597</v>
      </c>
      <c r="G22" s="103">
        <v>0.77751195430755615</v>
      </c>
      <c r="H22" s="91">
        <v>1.3333333730697632</v>
      </c>
      <c r="I22" s="126">
        <v>1.1253411769866943</v>
      </c>
      <c r="J22" s="103">
        <v>1.9254386425018311</v>
      </c>
      <c r="K22" s="110">
        <v>5.7504873722791672E-2</v>
      </c>
      <c r="L22" s="110">
        <v>1.8517544269561768</v>
      </c>
      <c r="M22" s="18">
        <v>0.66666668653488159</v>
      </c>
      <c r="N22" s="29">
        <v>1.5248006582260132</v>
      </c>
      <c r="O22" s="103">
        <v>1.3526315689086914</v>
      </c>
      <c r="P22" s="91">
        <v>1.696969747543335</v>
      </c>
      <c r="Q22" s="19"/>
      <c r="R22" s="19"/>
      <c r="S22" s="19"/>
    </row>
    <row r="23" spans="1:19" ht="14.25" x14ac:dyDescent="0.2">
      <c r="A23" s="83" t="s">
        <v>68</v>
      </c>
      <c r="B23" s="66" t="s">
        <v>57</v>
      </c>
      <c r="C23" s="82" t="s">
        <v>133</v>
      </c>
      <c r="D23" s="144">
        <v>44927</v>
      </c>
      <c r="E23" s="120">
        <f t="shared" si="0"/>
        <v>2.1631755828857422</v>
      </c>
      <c r="F23" s="134">
        <v>2.0263156890869141</v>
      </c>
      <c r="G23" s="103">
        <v>1.5071769952774048</v>
      </c>
      <c r="H23" s="91">
        <v>2.5454545021057129</v>
      </c>
      <c r="I23" s="126">
        <v>2.3950293064117432</v>
      </c>
      <c r="J23" s="103">
        <v>5.1157894134521484</v>
      </c>
      <c r="K23" s="110">
        <v>1.4502923488616943</v>
      </c>
      <c r="L23" s="110">
        <v>2.4000000953674316</v>
      </c>
      <c r="M23" s="18">
        <v>0.61403506994247437</v>
      </c>
      <c r="N23" s="29">
        <v>2.0681817531585693</v>
      </c>
      <c r="O23" s="103">
        <v>2.5</v>
      </c>
      <c r="P23" s="91">
        <v>1.6363636255264282</v>
      </c>
      <c r="Q23" s="19"/>
      <c r="R23" s="19"/>
      <c r="S23" s="19"/>
    </row>
    <row r="24" spans="1:19" x14ac:dyDescent="0.2">
      <c r="A24" s="83" t="s">
        <v>69</v>
      </c>
      <c r="B24" s="66" t="s">
        <v>30</v>
      </c>
      <c r="C24" s="82" t="s">
        <v>133</v>
      </c>
      <c r="D24" s="144">
        <v>44927</v>
      </c>
      <c r="E24" s="120">
        <f t="shared" si="0"/>
        <v>0.70062688986460364</v>
      </c>
      <c r="F24" s="134">
        <v>0.72066056728363037</v>
      </c>
      <c r="G24" s="103">
        <v>0.41866028308868408</v>
      </c>
      <c r="H24" s="91">
        <v>1.0226608514785767</v>
      </c>
      <c r="I24" s="126">
        <v>0.63859647512435913</v>
      </c>
      <c r="J24" s="103">
        <v>0.76754385232925415</v>
      </c>
      <c r="K24" s="110">
        <v>0</v>
      </c>
      <c r="L24" s="110">
        <v>1.6201754808425903</v>
      </c>
      <c r="M24" s="18">
        <v>0.1666666716337204</v>
      </c>
      <c r="N24" s="29">
        <v>0.74262362718582153</v>
      </c>
      <c r="O24" s="103">
        <v>0.46052631735801697</v>
      </c>
      <c r="P24" s="91">
        <v>1.0247209072113037</v>
      </c>
      <c r="Q24" s="19"/>
      <c r="R24" s="19"/>
      <c r="S24" s="19"/>
    </row>
    <row r="25" spans="1:19" x14ac:dyDescent="0.2">
      <c r="A25" s="83" t="s">
        <v>83</v>
      </c>
      <c r="B25" s="66" t="s">
        <v>29</v>
      </c>
      <c r="C25" s="82" t="s">
        <v>133</v>
      </c>
      <c r="D25" s="144">
        <v>44927</v>
      </c>
      <c r="E25" s="120">
        <f t="shared" si="0"/>
        <v>1.6889352003733318</v>
      </c>
      <c r="F25" s="134">
        <v>1.5767543315887451</v>
      </c>
      <c r="G25" s="103">
        <v>1.236842155456543</v>
      </c>
      <c r="H25" s="91">
        <v>1.9166666269302368</v>
      </c>
      <c r="I25" s="126">
        <v>1.5322761535644531</v>
      </c>
      <c r="J25" s="103">
        <v>1.4605263471603394</v>
      </c>
      <c r="K25" s="110">
        <v>1.3333333730697632</v>
      </c>
      <c r="L25" s="110">
        <v>1.9463562965393066</v>
      </c>
      <c r="M25" s="18">
        <v>1.3888888359069824</v>
      </c>
      <c r="N25" s="29">
        <v>1.9577751159667969</v>
      </c>
      <c r="O25" s="103">
        <v>1.8605263233184814</v>
      </c>
      <c r="P25" s="91">
        <v>2.0550239086151123</v>
      </c>
      <c r="Q25" s="19"/>
      <c r="R25" s="19"/>
      <c r="S25" s="19"/>
    </row>
    <row r="26" spans="1:19" x14ac:dyDescent="0.2">
      <c r="A26" s="83" t="s">
        <v>70</v>
      </c>
      <c r="B26" s="66" t="s">
        <v>33</v>
      </c>
      <c r="C26" s="82" t="s">
        <v>133</v>
      </c>
      <c r="D26" s="144">
        <v>44927</v>
      </c>
      <c r="E26" s="120">
        <f t="shared" si="0"/>
        <v>1.9958009719848633</v>
      </c>
      <c r="F26" s="135">
        <v>2.9011962413787842</v>
      </c>
      <c r="G26" s="103">
        <v>2.4578948020935059</v>
      </c>
      <c r="H26" s="91">
        <v>3.3444976806640625</v>
      </c>
      <c r="I26" s="127">
        <v>1.3195400238037109</v>
      </c>
      <c r="J26" s="103">
        <v>1.5157895088195801</v>
      </c>
      <c r="K26" s="110">
        <v>6.5789476037025452E-2</v>
      </c>
      <c r="L26" s="110">
        <v>2.307692289352417</v>
      </c>
      <c r="M26" s="18">
        <v>1.3888888359069824</v>
      </c>
      <c r="N26" s="31">
        <v>1.7666666507720947</v>
      </c>
      <c r="O26" s="103">
        <v>2.2000000476837158</v>
      </c>
      <c r="P26" s="91">
        <v>1.3333333730697632</v>
      </c>
      <c r="Q26" s="19"/>
      <c r="R26" s="19"/>
      <c r="S26" s="19"/>
    </row>
    <row r="27" spans="1:19" x14ac:dyDescent="0.2">
      <c r="A27" s="83" t="s">
        <v>84</v>
      </c>
      <c r="B27" s="66" t="s">
        <v>43</v>
      </c>
      <c r="C27" s="82" t="s">
        <v>133</v>
      </c>
      <c r="D27" s="144">
        <v>44927</v>
      </c>
      <c r="E27" s="120">
        <f t="shared" si="0"/>
        <v>1.1827263832092285</v>
      </c>
      <c r="F27" s="134">
        <v>1.4183611869812012</v>
      </c>
      <c r="G27" s="103">
        <v>0.98803830146789551</v>
      </c>
      <c r="H27" s="91">
        <v>1.8486841917037964</v>
      </c>
      <c r="I27" s="126">
        <v>1.06169593334198</v>
      </c>
      <c r="J27" s="103">
        <v>0.56140351295471191</v>
      </c>
      <c r="K27" s="110">
        <v>0.81871342658996582</v>
      </c>
      <c r="L27" s="110">
        <v>1.7000000476837158</v>
      </c>
      <c r="M27" s="18">
        <v>1.1666666269302368</v>
      </c>
      <c r="N27" s="29">
        <v>1.0681220293045044</v>
      </c>
      <c r="O27" s="103">
        <v>1.0118421316146851</v>
      </c>
      <c r="P27" s="91">
        <v>1.1244019269943237</v>
      </c>
      <c r="Q27" s="19"/>
      <c r="R27" s="19"/>
      <c r="S27" s="19"/>
    </row>
    <row r="28" spans="1:19" x14ac:dyDescent="0.2">
      <c r="A28" s="83" t="s">
        <v>85</v>
      </c>
      <c r="B28" s="66" t="s">
        <v>36</v>
      </c>
      <c r="C28" s="82" t="s">
        <v>133</v>
      </c>
      <c r="D28" s="144">
        <v>44927</v>
      </c>
      <c r="E28" s="120">
        <f t="shared" si="0"/>
        <v>1.0575720866521199</v>
      </c>
      <c r="F28" s="134">
        <v>1.0095694065093994</v>
      </c>
      <c r="G28" s="103">
        <v>1.1052631139755249</v>
      </c>
      <c r="H28" s="91">
        <v>0.91387557983398438</v>
      </c>
      <c r="I28" s="126">
        <v>1.3211014270782471</v>
      </c>
      <c r="J28" s="103">
        <v>0.50877195596694946</v>
      </c>
      <c r="K28" s="110">
        <v>2.1754386425018311</v>
      </c>
      <c r="L28" s="110">
        <v>1.7999999523162842</v>
      </c>
      <c r="M28" s="18">
        <v>0.80019491910934448</v>
      </c>
      <c r="N28" s="29">
        <v>0.84204542636871338</v>
      </c>
      <c r="O28" s="103">
        <v>0.77499997615814209</v>
      </c>
      <c r="P28" s="91">
        <v>0.90909093618392944</v>
      </c>
      <c r="Q28" s="19"/>
      <c r="R28" s="19"/>
      <c r="S28" s="19"/>
    </row>
    <row r="29" spans="1:19" x14ac:dyDescent="0.2">
      <c r="A29" s="83" t="s">
        <v>71</v>
      </c>
      <c r="B29" s="66" t="s">
        <v>24</v>
      </c>
      <c r="C29" s="82" t="s">
        <v>133</v>
      </c>
      <c r="D29" s="144">
        <v>44927</v>
      </c>
      <c r="E29" s="120">
        <f t="shared" si="0"/>
        <v>1.2674574454625447</v>
      </c>
      <c r="F29" s="134">
        <v>1.1601873636245728</v>
      </c>
      <c r="G29" s="103">
        <v>0.94976073503494263</v>
      </c>
      <c r="H29" s="91">
        <v>1.3706140518188477</v>
      </c>
      <c r="I29" s="126">
        <v>1.022587776184082</v>
      </c>
      <c r="J29" s="103">
        <v>1.0745613574981689</v>
      </c>
      <c r="K29" s="110">
        <v>0.81578946113586426</v>
      </c>
      <c r="L29" s="110">
        <v>1.2000000476837158</v>
      </c>
      <c r="M29" s="18">
        <v>1</v>
      </c>
      <c r="N29" s="29">
        <v>1.6195971965789795</v>
      </c>
      <c r="O29" s="103">
        <v>1.3197368383407593</v>
      </c>
      <c r="P29" s="91">
        <v>1.9194576740264893</v>
      </c>
      <c r="Q29" s="19"/>
      <c r="R29" s="19"/>
      <c r="S29" s="19"/>
    </row>
    <row r="30" spans="1:19" x14ac:dyDescent="0.2">
      <c r="A30" s="83" t="s">
        <v>110</v>
      </c>
      <c r="B30" s="66" t="s">
        <v>109</v>
      </c>
      <c r="C30" s="82" t="s">
        <v>133</v>
      </c>
      <c r="D30" s="144">
        <v>44927</v>
      </c>
      <c r="E30" s="120">
        <f t="shared" si="0"/>
        <v>2.1629629929860434</v>
      </c>
      <c r="F30" s="134">
        <v>2.5935606956481934</v>
      </c>
      <c r="G30" s="103">
        <v>1.9249999523162842</v>
      </c>
      <c r="H30" s="91">
        <v>3.2621212005615234</v>
      </c>
      <c r="I30" s="126">
        <v>2.2638888359069824</v>
      </c>
      <c r="J30" s="103">
        <v>4</v>
      </c>
      <c r="K30" s="110">
        <v>1.3333333730697632</v>
      </c>
      <c r="L30" s="110">
        <v>2</v>
      </c>
      <c r="M30" s="18">
        <v>1.7222222089767456</v>
      </c>
      <c r="N30" s="29">
        <v>1.6314394474029541</v>
      </c>
      <c r="O30" s="103">
        <v>1.4750000238418579</v>
      </c>
      <c r="P30" s="91">
        <v>1.7878787517547607</v>
      </c>
      <c r="Q30" s="19"/>
      <c r="R30" s="19"/>
      <c r="S30" s="19"/>
    </row>
    <row r="31" spans="1:19" x14ac:dyDescent="0.2">
      <c r="A31" s="83" t="s">
        <v>123</v>
      </c>
      <c r="B31" s="66" t="s">
        <v>124</v>
      </c>
      <c r="C31" s="82" t="s">
        <v>133</v>
      </c>
      <c r="D31" s="144">
        <v>45292</v>
      </c>
      <c r="E31" s="120">
        <f t="shared" si="0"/>
        <v>0.59010058641433716</v>
      </c>
      <c r="F31" s="134">
        <v>0.53535354137420654</v>
      </c>
      <c r="G31" s="103">
        <v>0.18181818723678589</v>
      </c>
      <c r="H31" s="91">
        <v>0.8888888955116272</v>
      </c>
      <c r="I31" s="126">
        <v>0.80767548084259033</v>
      </c>
      <c r="J31" s="103">
        <v>1.0657894611358643</v>
      </c>
      <c r="K31" s="110">
        <v>0.1315789520740509</v>
      </c>
      <c r="L31" s="110">
        <v>1.7000000476837158</v>
      </c>
      <c r="M31" s="18">
        <v>0.3333333432674408</v>
      </c>
      <c r="N31" s="29">
        <v>0.4272727370262146</v>
      </c>
      <c r="O31" s="103">
        <v>0.40000000596046448</v>
      </c>
      <c r="P31" s="91">
        <v>0.45454546809196472</v>
      </c>
      <c r="Q31" s="19"/>
      <c r="R31" s="19"/>
      <c r="S31" s="19"/>
    </row>
    <row r="32" spans="1:19" x14ac:dyDescent="0.2">
      <c r="A32" s="83" t="s">
        <v>86</v>
      </c>
      <c r="B32" s="66" t="s">
        <v>35</v>
      </c>
      <c r="C32" s="82" t="s">
        <v>133</v>
      </c>
      <c r="D32" s="144">
        <v>44927</v>
      </c>
      <c r="E32" s="120">
        <f t="shared" si="0"/>
        <v>1.5828374624252319</v>
      </c>
      <c r="F32" s="134">
        <v>1.7438862323760986</v>
      </c>
      <c r="G32" s="103">
        <v>1.1076555252075195</v>
      </c>
      <c r="H32" s="91">
        <v>2.3801169395446777</v>
      </c>
      <c r="I32" s="126">
        <v>0.97009670734405518</v>
      </c>
      <c r="J32" s="103">
        <v>1.9368420839309692</v>
      </c>
      <c r="K32" s="110">
        <v>0.1247563362121582</v>
      </c>
      <c r="L32" s="110">
        <v>0.92307692766189575</v>
      </c>
      <c r="M32" s="18">
        <v>0.89571148157119751</v>
      </c>
      <c r="N32" s="29">
        <v>2.034529447555542</v>
      </c>
      <c r="O32" s="103">
        <v>2.2508771419525146</v>
      </c>
      <c r="P32" s="91">
        <v>1.8181818723678589</v>
      </c>
      <c r="Q32" s="19"/>
      <c r="R32" s="19"/>
      <c r="S32" s="19"/>
    </row>
    <row r="33" spans="1:19" x14ac:dyDescent="0.2">
      <c r="A33" s="83" t="s">
        <v>72</v>
      </c>
      <c r="B33" s="66" t="s">
        <v>40</v>
      </c>
      <c r="C33" s="82" t="s">
        <v>133</v>
      </c>
      <c r="D33" s="144">
        <v>44927</v>
      </c>
      <c r="E33" s="120">
        <f t="shared" si="0"/>
        <v>0.9415226777394613</v>
      </c>
      <c r="F33" s="134">
        <v>1.3257176876068115</v>
      </c>
      <c r="G33" s="103">
        <v>0.64354068040847778</v>
      </c>
      <c r="H33" s="91">
        <v>2.00789475440979</v>
      </c>
      <c r="I33" s="126">
        <v>0.9190058708190918</v>
      </c>
      <c r="J33" s="103">
        <v>0.35964912176132202</v>
      </c>
      <c r="K33" s="110">
        <v>0.67251461744308472</v>
      </c>
      <c r="L33" s="110">
        <v>1.8105263710021973</v>
      </c>
      <c r="M33" s="18">
        <v>0.83333331346511841</v>
      </c>
      <c r="N33" s="29">
        <v>0.57984447479248047</v>
      </c>
      <c r="O33" s="103">
        <v>0.35745614767074585</v>
      </c>
      <c r="P33" s="91">
        <v>0.80223286151885986</v>
      </c>
      <c r="Q33" s="19"/>
      <c r="R33" s="19"/>
      <c r="S33" s="19"/>
    </row>
    <row r="34" spans="1:19" x14ac:dyDescent="0.2">
      <c r="A34" s="83" t="s">
        <v>73</v>
      </c>
      <c r="B34" s="66" t="s">
        <v>44</v>
      </c>
      <c r="C34" s="82" t="s">
        <v>133</v>
      </c>
      <c r="D34" s="144">
        <v>44927</v>
      </c>
      <c r="E34" s="120">
        <f t="shared" si="0"/>
        <v>1.1664883693059285</v>
      </c>
      <c r="F34" s="134">
        <v>1.3778908252716064</v>
      </c>
      <c r="G34" s="103">
        <v>1.4377990961074829</v>
      </c>
      <c r="H34" s="91">
        <v>1.3179824352264404</v>
      </c>
      <c r="I34" s="126">
        <v>1.1431652307510376</v>
      </c>
      <c r="J34" s="103">
        <v>0.63596493005752563</v>
      </c>
      <c r="K34" s="110">
        <v>0.80116957426071167</v>
      </c>
      <c r="L34" s="110">
        <v>1.7605262994766235</v>
      </c>
      <c r="M34" s="18">
        <v>1.375</v>
      </c>
      <c r="N34" s="29">
        <v>0.9784090518951416</v>
      </c>
      <c r="O34" s="103">
        <v>0.77499997615814209</v>
      </c>
      <c r="P34" s="91">
        <v>1.1818181276321411</v>
      </c>
      <c r="Q34" s="19"/>
      <c r="R34" s="19"/>
      <c r="S34" s="19"/>
    </row>
    <row r="35" spans="1:19" x14ac:dyDescent="0.2">
      <c r="A35" s="83" t="s">
        <v>87</v>
      </c>
      <c r="B35" s="66" t="s">
        <v>50</v>
      </c>
      <c r="C35" s="82" t="s">
        <v>133</v>
      </c>
      <c r="D35" s="144">
        <v>44927</v>
      </c>
      <c r="E35" s="120">
        <f t="shared" si="0"/>
        <v>0.65540492534637451</v>
      </c>
      <c r="F35" s="134">
        <v>0.40719699859619141</v>
      </c>
      <c r="G35" s="103">
        <v>0.27272728085517883</v>
      </c>
      <c r="H35" s="91">
        <v>0.54166668653488159</v>
      </c>
      <c r="I35" s="126">
        <v>0.96242690086364746</v>
      </c>
      <c r="J35" s="103">
        <v>0.47807016968727112</v>
      </c>
      <c r="K35" s="110">
        <v>0.19298246502876282</v>
      </c>
      <c r="L35" s="110">
        <v>1.7999999523162842</v>
      </c>
      <c r="M35" s="18">
        <v>1.378654956817627</v>
      </c>
      <c r="N35" s="29">
        <v>0.59659087657928467</v>
      </c>
      <c r="O35" s="103">
        <v>0.375</v>
      </c>
      <c r="P35" s="91">
        <v>0.81818181276321411</v>
      </c>
      <c r="Q35" s="19"/>
      <c r="R35" s="19"/>
      <c r="S35" s="19"/>
    </row>
    <row r="36" spans="1:19" x14ac:dyDescent="0.2">
      <c r="A36" s="83" t="s">
        <v>99</v>
      </c>
      <c r="B36" s="66" t="s">
        <v>100</v>
      </c>
      <c r="C36" s="82" t="s">
        <v>133</v>
      </c>
      <c r="D36" s="144">
        <v>44927</v>
      </c>
      <c r="E36" s="120">
        <f t="shared" si="0"/>
        <v>1.121792991956075</v>
      </c>
      <c r="F36" s="134">
        <v>1.1541566848754883</v>
      </c>
      <c r="G36" s="103">
        <v>0.72607654333114624</v>
      </c>
      <c r="H36" s="91">
        <v>1.5822368860244751</v>
      </c>
      <c r="I36" s="126">
        <v>1.0044041872024536</v>
      </c>
      <c r="J36" s="103">
        <v>0.66228067874908447</v>
      </c>
      <c r="K36" s="110">
        <v>8.2236841320991516E-2</v>
      </c>
      <c r="L36" s="110">
        <v>1.7000000476837158</v>
      </c>
      <c r="M36" s="18">
        <v>1.5730993747711182</v>
      </c>
      <c r="N36" s="29">
        <v>1.2068181037902832</v>
      </c>
      <c r="O36" s="103">
        <v>1.0499999523162842</v>
      </c>
      <c r="P36" s="91">
        <v>1.3636363744735718</v>
      </c>
      <c r="Q36" s="19"/>
      <c r="R36" s="19"/>
      <c r="S36" s="19"/>
    </row>
    <row r="37" spans="1:19" x14ac:dyDescent="0.2">
      <c r="A37" s="83" t="s">
        <v>88</v>
      </c>
      <c r="B37" s="66" t="s">
        <v>41</v>
      </c>
      <c r="C37" s="82" t="s">
        <v>133</v>
      </c>
      <c r="D37" s="144">
        <v>44927</v>
      </c>
      <c r="E37" s="120">
        <f t="shared" si="0"/>
        <v>1.1854576667149861</v>
      </c>
      <c r="F37" s="134">
        <v>0.72826957702636719</v>
      </c>
      <c r="G37" s="103">
        <v>0.84688997268676758</v>
      </c>
      <c r="H37" s="91">
        <v>0.60964912176132202</v>
      </c>
      <c r="I37" s="126">
        <v>1.5410819053649902</v>
      </c>
      <c r="J37" s="103">
        <v>1.0526316165924072</v>
      </c>
      <c r="K37" s="110">
        <v>2</v>
      </c>
      <c r="L37" s="110">
        <v>2.5999999046325684</v>
      </c>
      <c r="M37" s="18">
        <v>0.51169592142105103</v>
      </c>
      <c r="N37" s="29">
        <v>1.2870215177536011</v>
      </c>
      <c r="O37" s="103">
        <v>1.0907894372940063</v>
      </c>
      <c r="P37" s="91">
        <v>1.4832535982131958</v>
      </c>
      <c r="Q37" s="19"/>
      <c r="R37" s="19"/>
      <c r="S37" s="19"/>
    </row>
    <row r="38" spans="1:19" x14ac:dyDescent="0.2">
      <c r="A38" s="83" t="s">
        <v>89</v>
      </c>
      <c r="B38" s="66" t="s">
        <v>39</v>
      </c>
      <c r="C38" s="82" t="s">
        <v>133</v>
      </c>
      <c r="D38" s="144">
        <v>44927</v>
      </c>
      <c r="E38" s="120">
        <f t="shared" si="0"/>
        <v>0.75599859158198035</v>
      </c>
      <c r="F38" s="134">
        <v>0.55492424964904785</v>
      </c>
      <c r="G38" s="103">
        <v>0.31818181276321411</v>
      </c>
      <c r="H38" s="91">
        <v>0.79166668653488159</v>
      </c>
      <c r="I38" s="126">
        <v>0.83011692762374878</v>
      </c>
      <c r="J38" s="103">
        <v>1.2894736528396606</v>
      </c>
      <c r="K38" s="110">
        <v>6.4327485859394073E-2</v>
      </c>
      <c r="L38" s="110">
        <v>1.7999999523162842</v>
      </c>
      <c r="M38" s="18">
        <v>0.1666666716337204</v>
      </c>
      <c r="N38" s="29">
        <v>0.88295459747314453</v>
      </c>
      <c r="O38" s="103">
        <v>0.67500001192092896</v>
      </c>
      <c r="P38" s="91">
        <v>1.0909091234207153</v>
      </c>
      <c r="Q38" s="19"/>
      <c r="R38" s="19"/>
      <c r="S38" s="19"/>
    </row>
    <row r="39" spans="1:19" x14ac:dyDescent="0.2">
      <c r="A39" s="83" t="s">
        <v>74</v>
      </c>
      <c r="B39" s="66" t="s">
        <v>32</v>
      </c>
      <c r="C39" s="82" t="s">
        <v>133</v>
      </c>
      <c r="D39" s="144">
        <v>44927</v>
      </c>
      <c r="E39" s="120">
        <f t="shared" si="0"/>
        <v>1.1066564718882244</v>
      </c>
      <c r="F39" s="134">
        <v>1.0958931446075439</v>
      </c>
      <c r="G39" s="103">
        <v>0.5251196026802063</v>
      </c>
      <c r="H39" s="91">
        <v>1.6666666269302368</v>
      </c>
      <c r="I39" s="126">
        <v>0.67814326286315918</v>
      </c>
      <c r="J39" s="103">
        <v>0.42543858289718628</v>
      </c>
      <c r="K39" s="110">
        <v>0.6871345043182373</v>
      </c>
      <c r="L39" s="110">
        <v>1.1000000238418579</v>
      </c>
      <c r="M39" s="18">
        <v>0.5</v>
      </c>
      <c r="N39" s="29">
        <v>1.5459330081939697</v>
      </c>
      <c r="O39" s="103">
        <v>1.4052631855010986</v>
      </c>
      <c r="P39" s="91">
        <v>1.6866028308868408</v>
      </c>
      <c r="Q39" s="19"/>
      <c r="R39" s="19"/>
      <c r="S39" s="19"/>
    </row>
    <row r="40" spans="1:19" x14ac:dyDescent="0.2">
      <c r="A40" s="83" t="s">
        <v>90</v>
      </c>
      <c r="B40" s="66" t="s">
        <v>26</v>
      </c>
      <c r="C40" s="82" t="s">
        <v>133</v>
      </c>
      <c r="D40" s="144">
        <v>44927</v>
      </c>
      <c r="E40" s="120">
        <f t="shared" si="0"/>
        <v>2.048003832499186</v>
      </c>
      <c r="F40" s="134">
        <v>2.5278708934783936</v>
      </c>
      <c r="G40" s="103">
        <v>1.4815789461135864</v>
      </c>
      <c r="H40" s="91">
        <v>3.5741627216339111</v>
      </c>
      <c r="I40" s="126">
        <v>1.5708456039428711</v>
      </c>
      <c r="J40" s="103">
        <v>1.8631578683853149</v>
      </c>
      <c r="K40" s="110">
        <v>0.71539962291717529</v>
      </c>
      <c r="L40" s="110">
        <v>2.9000000953674316</v>
      </c>
      <c r="M40" s="18">
        <v>0.8048245906829834</v>
      </c>
      <c r="N40" s="29">
        <v>2.0452950000762939</v>
      </c>
      <c r="O40" s="103">
        <v>1.698245644569397</v>
      </c>
      <c r="P40" s="91">
        <v>2.3923444747924805</v>
      </c>
      <c r="Q40" s="19"/>
      <c r="R40" s="19"/>
      <c r="S40" s="19"/>
    </row>
    <row r="41" spans="1:19" x14ac:dyDescent="0.2">
      <c r="A41" s="83" t="s">
        <v>91</v>
      </c>
      <c r="B41" s="66" t="s">
        <v>52</v>
      </c>
      <c r="C41" s="82" t="s">
        <v>133</v>
      </c>
      <c r="D41" s="144">
        <v>44927</v>
      </c>
      <c r="E41" s="120">
        <f t="shared" si="0"/>
        <v>2.0107417106628418</v>
      </c>
      <c r="F41" s="134">
        <v>2.3787879943847656</v>
      </c>
      <c r="G41" s="103">
        <v>2.0707070827484131</v>
      </c>
      <c r="H41" s="91">
        <v>2.6868686676025391</v>
      </c>
      <c r="I41" s="126">
        <v>1.8765431642532349</v>
      </c>
      <c r="J41" s="103">
        <v>0.92592591047286987</v>
      </c>
      <c r="K41" s="110">
        <v>1.7283951044082642</v>
      </c>
      <c r="L41" s="110">
        <v>3.0185184478759766</v>
      </c>
      <c r="M41" s="18">
        <v>1.8333333730697632</v>
      </c>
      <c r="N41" s="29">
        <v>1.7768939733505249</v>
      </c>
      <c r="O41" s="103">
        <v>1.230555534362793</v>
      </c>
      <c r="P41" s="91">
        <v>2.3232324123382568</v>
      </c>
      <c r="Q41" s="19"/>
      <c r="R41" s="19"/>
      <c r="S41" s="19"/>
    </row>
    <row r="42" spans="1:19" x14ac:dyDescent="0.2">
      <c r="A42" s="83" t="s">
        <v>81</v>
      </c>
      <c r="B42" s="66" t="s">
        <v>49</v>
      </c>
      <c r="C42" s="82" t="s">
        <v>133</v>
      </c>
      <c r="D42" s="144">
        <v>44927</v>
      </c>
      <c r="E42" s="120">
        <f t="shared" si="0"/>
        <v>0.64469697078069055</v>
      </c>
      <c r="F42" s="134">
        <v>0.35606062412261963</v>
      </c>
      <c r="G42" s="103">
        <v>4.5454546809196472E-2</v>
      </c>
      <c r="H42" s="91">
        <v>0.66666668653488159</v>
      </c>
      <c r="I42" s="126">
        <v>0.64166665077209473</v>
      </c>
      <c r="J42" s="103">
        <v>0.3333333432674408</v>
      </c>
      <c r="K42" s="110">
        <v>0</v>
      </c>
      <c r="L42" s="110">
        <v>1.3999999761581421</v>
      </c>
      <c r="M42" s="18">
        <v>0.83333331346511841</v>
      </c>
      <c r="N42" s="29">
        <v>0.93636363744735718</v>
      </c>
      <c r="O42" s="103">
        <v>0.60000002384185791</v>
      </c>
      <c r="P42" s="91">
        <v>1.2727272510528564</v>
      </c>
      <c r="Q42" s="19"/>
      <c r="R42" s="19"/>
      <c r="S42" s="19"/>
    </row>
    <row r="43" spans="1:19" x14ac:dyDescent="0.2">
      <c r="A43" s="83" t="s">
        <v>105</v>
      </c>
      <c r="B43" s="66" t="s">
        <v>104</v>
      </c>
      <c r="C43" s="82" t="s">
        <v>133</v>
      </c>
      <c r="D43" s="144">
        <v>45292</v>
      </c>
      <c r="E43" s="120">
        <f t="shared" si="0"/>
        <v>1.2447890837987263</v>
      </c>
      <c r="F43" s="134">
        <v>0.98547983169555664</v>
      </c>
      <c r="G43" s="103">
        <v>0.81818181276321411</v>
      </c>
      <c r="H43" s="91">
        <v>1.1527777910232544</v>
      </c>
      <c r="I43" s="126">
        <v>1.2882813215255737</v>
      </c>
      <c r="J43" s="103">
        <v>1.2864583730697632</v>
      </c>
      <c r="K43" s="110">
        <v>0.66666668653488159</v>
      </c>
      <c r="L43" s="110">
        <v>1.7000000476837158</v>
      </c>
      <c r="M43" s="18">
        <v>1.5</v>
      </c>
      <c r="N43" s="29">
        <v>1.4606060981750488</v>
      </c>
      <c r="O43" s="103">
        <v>1.4666666984558105</v>
      </c>
      <c r="P43" s="91">
        <v>1.4545454978942871</v>
      </c>
      <c r="Q43" s="19"/>
      <c r="R43" s="19"/>
      <c r="S43" s="19"/>
    </row>
    <row r="44" spans="1:19" x14ac:dyDescent="0.2">
      <c r="A44" s="83"/>
      <c r="B44" s="224" t="s">
        <v>129</v>
      </c>
      <c r="C44" s="82"/>
      <c r="D44" s="142"/>
      <c r="E44" s="120"/>
      <c r="F44" s="134"/>
      <c r="G44" s="103"/>
      <c r="H44" s="91"/>
      <c r="I44" s="126"/>
      <c r="J44" s="103"/>
      <c r="K44" s="110"/>
      <c r="L44" s="110"/>
      <c r="M44" s="18"/>
      <c r="N44" s="29"/>
      <c r="O44" s="103"/>
      <c r="P44" s="91"/>
      <c r="Q44" s="20"/>
      <c r="R44" s="20"/>
      <c r="S44" s="20"/>
    </row>
    <row r="45" spans="1:19" x14ac:dyDescent="0.2">
      <c r="A45" s="83" t="s">
        <v>270</v>
      </c>
      <c r="B45" s="66" t="s">
        <v>269</v>
      </c>
      <c r="C45" s="82" t="s">
        <v>134</v>
      </c>
      <c r="D45" s="144">
        <v>45658</v>
      </c>
      <c r="E45" s="120">
        <f t="shared" ref="E45" si="1">IF(AND(F45=".",I45=".",N45="."),".",AVERAGE(F45,I45,N45))</f>
        <v>1.7240608533223469</v>
      </c>
      <c r="F45" s="134">
        <v>2.6595296859741211</v>
      </c>
      <c r="G45" s="103">
        <v>2.1500000953674316</v>
      </c>
      <c r="H45" s="91">
        <v>3.1690590381622314</v>
      </c>
      <c r="I45" s="126">
        <v>1.277046799659729</v>
      </c>
      <c r="J45" s="103">
        <v>1.7982456684112549</v>
      </c>
      <c r="K45" s="110">
        <v>0.87329435348510742</v>
      </c>
      <c r="L45" s="110">
        <v>0.66666668653488159</v>
      </c>
      <c r="M45" s="18">
        <v>1.7699805498123169</v>
      </c>
      <c r="N45" s="29">
        <v>1.2356060743331909</v>
      </c>
      <c r="O45" s="103">
        <v>1.3500000238418579</v>
      </c>
      <c r="P45" s="91">
        <v>1.1212121248245239</v>
      </c>
      <c r="Q45" s="19"/>
      <c r="R45" s="19"/>
      <c r="S45" s="19"/>
    </row>
    <row r="46" spans="1:19" x14ac:dyDescent="0.2">
      <c r="A46" s="83" t="s">
        <v>75</v>
      </c>
      <c r="B46" s="66" t="s">
        <v>27</v>
      </c>
      <c r="C46" s="82" t="s">
        <v>133</v>
      </c>
      <c r="D46" s="144">
        <v>44927</v>
      </c>
      <c r="E46" s="120">
        <f t="shared" ref="E46:E57" si="2">IF(AND(F46=".",I46=".",N46="."),".",AVERAGE(F46,I46,N46))</f>
        <v>1.8947753111521404</v>
      </c>
      <c r="F46" s="134">
        <v>2.0059809684753418</v>
      </c>
      <c r="G46" s="103">
        <v>2.3110048770904541</v>
      </c>
      <c r="H46" s="91">
        <v>1.7009569406509399</v>
      </c>
      <c r="I46" s="126">
        <v>1.4760720729827881</v>
      </c>
      <c r="J46" s="103">
        <v>1.4035087823867798</v>
      </c>
      <c r="K46" s="110">
        <v>8.9668616652488708E-2</v>
      </c>
      <c r="L46" s="110">
        <v>2.2999999523162842</v>
      </c>
      <c r="M46" s="18">
        <v>2.1111111640930176</v>
      </c>
      <c r="N46" s="29">
        <v>2.202272891998291</v>
      </c>
      <c r="O46" s="103">
        <v>1.9500000476837158</v>
      </c>
      <c r="P46" s="91">
        <v>2.4545454978942871</v>
      </c>
      <c r="Q46" s="19"/>
      <c r="R46" s="19"/>
      <c r="S46" s="19"/>
    </row>
    <row r="47" spans="1:19" x14ac:dyDescent="0.2">
      <c r="A47" s="83" t="s">
        <v>103</v>
      </c>
      <c r="B47" s="66" t="s">
        <v>102</v>
      </c>
      <c r="C47" s="82" t="s">
        <v>133</v>
      </c>
      <c r="D47" s="144">
        <v>45292</v>
      </c>
      <c r="E47" s="120">
        <f t="shared" si="2"/>
        <v>0.9900489250818888</v>
      </c>
      <c r="F47" s="134">
        <v>1.5556221008300781</v>
      </c>
      <c r="G47" s="103">
        <v>1.0825358629226685</v>
      </c>
      <c r="H47" s="91">
        <v>2.0287082195281982</v>
      </c>
      <c r="I47" s="126">
        <v>0.85543376207351685</v>
      </c>
      <c r="J47" s="103">
        <v>0.46929824352264404</v>
      </c>
      <c r="K47" s="110">
        <v>0.66666668653488159</v>
      </c>
      <c r="L47" s="110">
        <v>1.7000000476837158</v>
      </c>
      <c r="M47" s="18">
        <v>0.58577001094818115</v>
      </c>
      <c r="N47" s="29">
        <v>0.55909091234207153</v>
      </c>
      <c r="O47" s="103">
        <v>0.30000001192092896</v>
      </c>
      <c r="P47" s="91">
        <v>0.81818181276321411</v>
      </c>
      <c r="Q47" s="19"/>
      <c r="R47" s="19"/>
      <c r="S47" s="19"/>
    </row>
    <row r="48" spans="1:19" x14ac:dyDescent="0.2">
      <c r="A48" s="83" t="s">
        <v>106</v>
      </c>
      <c r="B48" s="66" t="s">
        <v>151</v>
      </c>
      <c r="C48" s="82" t="s">
        <v>134</v>
      </c>
      <c r="D48" s="144">
        <v>45292</v>
      </c>
      <c r="E48" s="120">
        <f t="shared" si="2"/>
        <v>3.3387227853139243</v>
      </c>
      <c r="F48" s="134">
        <v>2.9701755046844482</v>
      </c>
      <c r="G48" s="103">
        <v>2.9052631855010986</v>
      </c>
      <c r="H48" s="91">
        <v>3.0350878238677979</v>
      </c>
      <c r="I48" s="126">
        <v>2.6296052932739258</v>
      </c>
      <c r="J48" s="103">
        <v>4.425438404083252</v>
      </c>
      <c r="K48" s="110">
        <v>2.9502923488616943</v>
      </c>
      <c r="L48" s="110">
        <v>1.9701753854751587</v>
      </c>
      <c r="M48" s="18">
        <v>1.1725146770477295</v>
      </c>
      <c r="N48" s="29">
        <v>4.4163875579833984</v>
      </c>
      <c r="O48" s="103">
        <v>5.0552630424499512</v>
      </c>
      <c r="P48" s="91">
        <v>3.7775120735168457</v>
      </c>
      <c r="Q48" s="19"/>
      <c r="R48" s="19"/>
      <c r="S48" s="19"/>
    </row>
    <row r="49" spans="1:22" x14ac:dyDescent="0.2">
      <c r="A49" s="83" t="s">
        <v>93</v>
      </c>
      <c r="B49" s="66" t="s">
        <v>18</v>
      </c>
      <c r="C49" s="82" t="s">
        <v>133</v>
      </c>
      <c r="D49" s="144">
        <v>44927</v>
      </c>
      <c r="E49" s="120">
        <f t="shared" si="2"/>
        <v>0.85353757937749231</v>
      </c>
      <c r="F49" s="134">
        <v>1.1278243064880371</v>
      </c>
      <c r="G49" s="103">
        <v>1.1028708219528198</v>
      </c>
      <c r="H49" s="91">
        <v>1.1527777910232544</v>
      </c>
      <c r="I49" s="126">
        <v>0.78165203332901001</v>
      </c>
      <c r="J49" s="103">
        <v>0.68859648704528809</v>
      </c>
      <c r="K49" s="110">
        <v>0.23684209585189819</v>
      </c>
      <c r="L49" s="110">
        <v>1.3999999761581421</v>
      </c>
      <c r="M49" s="18">
        <v>0.80116957426071167</v>
      </c>
      <c r="N49" s="29">
        <v>0.65113639831542969</v>
      </c>
      <c r="O49" s="103">
        <v>0.57499998807907104</v>
      </c>
      <c r="P49" s="91">
        <v>0.72727274894714355</v>
      </c>
      <c r="Q49" s="19"/>
      <c r="R49" s="19"/>
      <c r="S49" s="19"/>
    </row>
    <row r="50" spans="1:22" ht="14.25" x14ac:dyDescent="0.2">
      <c r="A50" s="83" t="s">
        <v>108</v>
      </c>
      <c r="B50" s="66" t="s">
        <v>232</v>
      </c>
      <c r="C50" s="82" t="s">
        <v>133</v>
      </c>
      <c r="D50" s="144">
        <v>45292</v>
      </c>
      <c r="E50" s="120">
        <f t="shared" si="2"/>
        <v>1.6604732275009155</v>
      </c>
      <c r="F50" s="134">
        <v>2.3842105865478516</v>
      </c>
      <c r="G50" s="103">
        <v>2.3842105865478516</v>
      </c>
      <c r="H50" s="91" t="s">
        <v>173</v>
      </c>
      <c r="I50" s="126">
        <v>1.242165207862854</v>
      </c>
      <c r="J50" s="103" t="s">
        <v>173</v>
      </c>
      <c r="K50" s="110">
        <v>2</v>
      </c>
      <c r="L50" s="110">
        <v>1.615384578704834</v>
      </c>
      <c r="M50" s="18">
        <v>0.1111111119389534</v>
      </c>
      <c r="N50" s="29">
        <v>1.355043888092041</v>
      </c>
      <c r="O50" s="103">
        <v>1.3592104911804199</v>
      </c>
      <c r="P50" s="91">
        <v>1.3508771657943726</v>
      </c>
      <c r="Q50" s="19"/>
      <c r="R50" s="19"/>
      <c r="S50" s="19"/>
    </row>
    <row r="51" spans="1:22" x14ac:dyDescent="0.2">
      <c r="A51" s="83" t="s">
        <v>118</v>
      </c>
      <c r="B51" s="66" t="s">
        <v>117</v>
      </c>
      <c r="C51" s="82" t="s">
        <v>133</v>
      </c>
      <c r="D51" s="144">
        <v>45292</v>
      </c>
      <c r="E51" s="120">
        <f t="shared" ref="E51" si="3">IF(AND(F51=".",I51=".",N51="."),".",AVERAGE(F51,I51,N51))</f>
        <v>3.0616637468338013</v>
      </c>
      <c r="F51" s="134">
        <v>3.4780092239379883</v>
      </c>
      <c r="G51" s="104">
        <v>3.4305555820465088</v>
      </c>
      <c r="H51" s="92">
        <v>3.5254628658294678</v>
      </c>
      <c r="I51" s="126">
        <v>1.7687243223190308</v>
      </c>
      <c r="J51" s="103">
        <v>1.8611111640930176</v>
      </c>
      <c r="K51" s="110">
        <v>1.3816872835159302</v>
      </c>
      <c r="L51" s="110">
        <v>2.0203704833984375</v>
      </c>
      <c r="M51" s="18">
        <v>1.8117283582687378</v>
      </c>
      <c r="N51" s="29">
        <v>3.9382576942443848</v>
      </c>
      <c r="O51" s="104">
        <v>4.0305557250976563</v>
      </c>
      <c r="P51" s="92">
        <v>3.8459596633911133</v>
      </c>
      <c r="Q51" s="19"/>
      <c r="R51" s="19"/>
      <c r="S51" s="19"/>
    </row>
    <row r="52" spans="1:22" x14ac:dyDescent="0.2">
      <c r="A52" s="83" t="s">
        <v>120</v>
      </c>
      <c r="B52" s="66" t="s">
        <v>119</v>
      </c>
      <c r="C52" s="82" t="s">
        <v>133</v>
      </c>
      <c r="D52" s="144">
        <v>45292</v>
      </c>
      <c r="E52" s="120">
        <f t="shared" ref="E52" si="4">IF(AND(F52=".",I52=".",N52="."),".",AVERAGE(F52,I52,N52))</f>
        <v>1.9356848200162251</v>
      </c>
      <c r="F52" s="134">
        <v>3.5355262756347656</v>
      </c>
      <c r="G52" s="104">
        <v>3.5355262756347656</v>
      </c>
      <c r="H52" s="92" t="s">
        <v>173</v>
      </c>
      <c r="I52" s="126">
        <v>0.77834635972976685</v>
      </c>
      <c r="J52" s="103" t="s">
        <v>173</v>
      </c>
      <c r="K52" s="110">
        <v>0</v>
      </c>
      <c r="L52" s="110">
        <v>1.125</v>
      </c>
      <c r="M52" s="18">
        <v>1.2100390195846558</v>
      </c>
      <c r="N52" s="29">
        <v>1.4931818246841431</v>
      </c>
      <c r="O52" s="104">
        <v>1.3500000238418579</v>
      </c>
      <c r="P52" s="92">
        <v>1.6363636255264282</v>
      </c>
      <c r="Q52" s="19"/>
      <c r="R52" s="19"/>
      <c r="S52" s="19"/>
    </row>
    <row r="53" spans="1:22" x14ac:dyDescent="0.2">
      <c r="A53" s="83" t="s">
        <v>115</v>
      </c>
      <c r="B53" s="66" t="s">
        <v>152</v>
      </c>
      <c r="C53" s="82" t="s">
        <v>134</v>
      </c>
      <c r="D53" s="144">
        <v>45292</v>
      </c>
      <c r="E53" s="120">
        <f t="shared" ref="E53:E55" si="5">IF(AND(F53=".",I53=".",N53="."),".",AVERAGE(F53,I53,N53))</f>
        <v>2.0154040257136026</v>
      </c>
      <c r="F53" s="134">
        <v>2.3204545974731445</v>
      </c>
      <c r="G53" s="104">
        <v>1.5499999523162842</v>
      </c>
      <c r="H53" s="92">
        <v>3.0909090042114258</v>
      </c>
      <c r="I53" s="126">
        <v>1.6499999761581421</v>
      </c>
      <c r="J53" s="103">
        <v>1</v>
      </c>
      <c r="K53" s="110">
        <v>2</v>
      </c>
      <c r="L53" s="110">
        <v>2.0999999046325684</v>
      </c>
      <c r="M53" s="18">
        <v>1.5</v>
      </c>
      <c r="N53" s="29">
        <v>2.0757575035095215</v>
      </c>
      <c r="O53" s="104">
        <v>3</v>
      </c>
      <c r="P53" s="92">
        <v>1.1515151262283325</v>
      </c>
      <c r="Q53" s="19"/>
      <c r="R53" s="19"/>
      <c r="S53" s="19"/>
    </row>
    <row r="54" spans="1:22" x14ac:dyDescent="0.2">
      <c r="A54" s="83" t="s">
        <v>271</v>
      </c>
      <c r="B54" s="66" t="s">
        <v>272</v>
      </c>
      <c r="C54" s="82" t="s">
        <v>133</v>
      </c>
      <c r="D54" s="144">
        <v>45292</v>
      </c>
      <c r="E54" s="120">
        <f t="shared" si="5"/>
        <v>0.9712813297907511</v>
      </c>
      <c r="F54" s="134">
        <v>1.3845694065093994</v>
      </c>
      <c r="G54" s="103">
        <v>1.0980861186981201</v>
      </c>
      <c r="H54" s="91">
        <v>1.6710526943206787</v>
      </c>
      <c r="I54" s="126">
        <v>1.1110928058624268</v>
      </c>
      <c r="J54" s="103">
        <v>0.79824560880661011</v>
      </c>
      <c r="K54" s="110">
        <v>0.78362572193145752</v>
      </c>
      <c r="L54" s="110">
        <v>1.7999999523162842</v>
      </c>
      <c r="M54" s="18">
        <v>1.0625</v>
      </c>
      <c r="N54" s="29">
        <v>0.41818177700042725</v>
      </c>
      <c r="O54" s="103">
        <v>0.53333330154418945</v>
      </c>
      <c r="P54" s="91">
        <v>0.30303028225898743</v>
      </c>
      <c r="Q54" s="19"/>
      <c r="R54" s="19"/>
      <c r="S54" s="19"/>
    </row>
    <row r="55" spans="1:22" x14ac:dyDescent="0.2">
      <c r="A55" s="83" t="s">
        <v>94</v>
      </c>
      <c r="B55" s="66" t="s">
        <v>53</v>
      </c>
      <c r="C55" s="82" t="s">
        <v>133</v>
      </c>
      <c r="D55" s="144">
        <v>44927</v>
      </c>
      <c r="E55" s="120">
        <f t="shared" si="5"/>
        <v>2.6698122819264731</v>
      </c>
      <c r="F55" s="134">
        <v>3.8280863761901855</v>
      </c>
      <c r="G55" s="104">
        <v>4.0111112594604492</v>
      </c>
      <c r="H55" s="92">
        <v>3.645061731338501</v>
      </c>
      <c r="I55" s="126">
        <v>1.4853909015655518</v>
      </c>
      <c r="J55" s="103">
        <v>2.5185184478759766</v>
      </c>
      <c r="K55" s="110">
        <v>0.78189301490783691</v>
      </c>
      <c r="L55" s="110">
        <v>2.303703784942627</v>
      </c>
      <c r="M55" s="18">
        <v>0.33744856715202332</v>
      </c>
      <c r="N55" s="29">
        <v>2.6959595680236816</v>
      </c>
      <c r="O55" s="104">
        <v>2.7555556297302246</v>
      </c>
      <c r="P55" s="92">
        <v>2.6363637447357178</v>
      </c>
      <c r="Q55" s="19"/>
      <c r="R55" s="19"/>
      <c r="S55" s="19"/>
    </row>
    <row r="56" spans="1:22" ht="14.45" customHeight="1" x14ac:dyDescent="0.2">
      <c r="A56" s="83" t="s">
        <v>274</v>
      </c>
      <c r="B56" s="66" t="s">
        <v>273</v>
      </c>
      <c r="C56" s="82" t="s">
        <v>275</v>
      </c>
      <c r="D56" s="144">
        <v>45658</v>
      </c>
      <c r="E56" s="120">
        <f t="shared" si="2"/>
        <v>3.3193404674530029</v>
      </c>
      <c r="F56" s="134">
        <v>4.0891227722167969</v>
      </c>
      <c r="G56" s="104">
        <v>4.6057896614074707</v>
      </c>
      <c r="H56" s="92">
        <v>3.5724561214447021</v>
      </c>
      <c r="I56" s="126">
        <v>2.6160037517547607</v>
      </c>
      <c r="J56" s="103">
        <v>4.342982292175293</v>
      </c>
      <c r="K56" s="110">
        <v>1.4095516204833984</v>
      </c>
      <c r="L56" s="110">
        <v>2.9685964584350586</v>
      </c>
      <c r="M56" s="18">
        <v>1.7428849935531616</v>
      </c>
      <c r="N56" s="29">
        <v>3.2528948783874512</v>
      </c>
      <c r="O56" s="104">
        <v>3.5057895183563232</v>
      </c>
      <c r="P56" s="92">
        <v>3</v>
      </c>
      <c r="Q56" s="19"/>
      <c r="R56" s="19"/>
      <c r="S56" s="19"/>
    </row>
    <row r="57" spans="1:22" x14ac:dyDescent="0.2">
      <c r="A57" s="83" t="s">
        <v>258</v>
      </c>
      <c r="B57" s="66" t="s">
        <v>257</v>
      </c>
      <c r="C57" s="82" t="s">
        <v>133</v>
      </c>
      <c r="D57" s="144">
        <v>45292</v>
      </c>
      <c r="E57" s="120">
        <f t="shared" si="2"/>
        <v>3.207163174947103</v>
      </c>
      <c r="F57" s="134">
        <v>4.2226076126098633</v>
      </c>
      <c r="G57" s="104">
        <v>3.4236841201782227</v>
      </c>
      <c r="H57" s="92">
        <v>5.0215311050415039</v>
      </c>
      <c r="I57" s="126">
        <v>3.1524105072021484</v>
      </c>
      <c r="J57" s="103">
        <v>5.247368335723877</v>
      </c>
      <c r="K57" s="110">
        <v>3.4161794185638428</v>
      </c>
      <c r="L57" s="110">
        <v>2.307692289352417</v>
      </c>
      <c r="M57" s="18">
        <v>1.6384015083312988</v>
      </c>
      <c r="N57" s="29">
        <v>2.2464714050292969</v>
      </c>
      <c r="O57" s="104">
        <v>2.1986842155456543</v>
      </c>
      <c r="P57" s="92">
        <v>2.2942583560943604</v>
      </c>
      <c r="Q57" s="19"/>
      <c r="R57" s="19"/>
      <c r="S57" s="19"/>
    </row>
    <row r="58" spans="1:22" x14ac:dyDescent="0.2">
      <c r="A58" s="87"/>
      <c r="B58" s="66"/>
      <c r="C58" s="85"/>
      <c r="E58" s="120"/>
      <c r="F58" s="134"/>
      <c r="G58" s="103"/>
      <c r="H58" s="91"/>
      <c r="I58" s="126"/>
      <c r="J58" s="103"/>
      <c r="K58" s="110"/>
      <c r="L58" s="110"/>
      <c r="M58" s="18"/>
      <c r="N58" s="29"/>
      <c r="O58" s="103"/>
      <c r="P58" s="91"/>
      <c r="Q58" s="19"/>
      <c r="R58" s="19"/>
      <c r="S58" s="19"/>
    </row>
    <row r="59" spans="1:22" x14ac:dyDescent="0.2">
      <c r="A59" s="95"/>
      <c r="B59" s="62" t="s">
        <v>156</v>
      </c>
      <c r="C59" s="96"/>
      <c r="D59" s="68"/>
      <c r="E59" s="121">
        <f t="shared" ref="E59:P59" si="6">AVERAGE(E6:E43)</f>
        <v>1.2964273868945611</v>
      </c>
      <c r="F59" s="136">
        <f t="shared" si="6"/>
        <v>1.3204791765463979</v>
      </c>
      <c r="G59" s="105">
        <f t="shared" si="6"/>
        <v>1.0065623337500973</v>
      </c>
      <c r="H59" s="98">
        <f t="shared" si="6"/>
        <v>1.5731250759628084</v>
      </c>
      <c r="I59" s="128">
        <f t="shared" si="6"/>
        <v>1.2571997658202523</v>
      </c>
      <c r="J59" s="105">
        <f t="shared" si="6"/>
        <v>1.3982227412430015</v>
      </c>
      <c r="K59" s="113">
        <f t="shared" si="6"/>
        <v>0.76819840955891106</v>
      </c>
      <c r="L59" s="113">
        <f t="shared" si="6"/>
        <v>1.820031369987287</v>
      </c>
      <c r="M59" s="97">
        <f t="shared" si="6"/>
        <v>1.0500764870329906</v>
      </c>
      <c r="N59" s="118">
        <f t="shared" si="6"/>
        <v>1.3116032183170319</v>
      </c>
      <c r="O59" s="105">
        <f t="shared" si="6"/>
        <v>1.2071518584301597</v>
      </c>
      <c r="P59" s="98">
        <f t="shared" si="6"/>
        <v>1.4160545970264233</v>
      </c>
      <c r="Q59" s="19"/>
      <c r="R59" s="19"/>
      <c r="S59" s="19"/>
    </row>
    <row r="60" spans="1:22" x14ac:dyDescent="0.2">
      <c r="A60" s="87"/>
      <c r="B60" s="63" t="s">
        <v>150</v>
      </c>
      <c r="C60" s="85"/>
      <c r="D60" s="139"/>
      <c r="E60" s="122">
        <f t="shared" ref="E60:P60" si="7">AVERAGE(SMALL(E6:E43,1),SMALL(E6:E43,2),SMALL(E6:E43,3),SMALL(E6:E43,4),SMALL(E6:E43,5))</f>
        <v>0.66936559279759722</v>
      </c>
      <c r="F60" s="137">
        <f t="shared" si="7"/>
        <v>0.45664596557617188</v>
      </c>
      <c r="G60" s="106">
        <f t="shared" si="7"/>
        <v>0.23636364042758942</v>
      </c>
      <c r="H60" s="93">
        <f t="shared" si="7"/>
        <v>0.57060185670852659</v>
      </c>
      <c r="I60" s="129">
        <f t="shared" si="7"/>
        <v>0.64940788745880129</v>
      </c>
      <c r="J60" s="106">
        <f t="shared" si="7"/>
        <v>0.40740453600883486</v>
      </c>
      <c r="K60" s="114">
        <f t="shared" si="7"/>
        <v>2.2027289867401122E-2</v>
      </c>
      <c r="L60" s="114">
        <f t="shared" si="7"/>
        <v>1.0646153926849364</v>
      </c>
      <c r="M60" s="21">
        <f t="shared" si="7"/>
        <v>0.25555556416511538</v>
      </c>
      <c r="N60" s="32">
        <f t="shared" si="7"/>
        <v>0.56472089290618899</v>
      </c>
      <c r="O60" s="106">
        <f t="shared" si="7"/>
        <v>0.41859649419784545</v>
      </c>
      <c r="P60" s="93">
        <f t="shared" si="7"/>
        <v>0.68064860105514524</v>
      </c>
      <c r="Q60" s="19"/>
      <c r="R60" s="19"/>
      <c r="S60" s="19"/>
    </row>
    <row r="61" spans="1:22" x14ac:dyDescent="0.2">
      <c r="A61" s="88"/>
      <c r="B61" s="64" t="s">
        <v>147</v>
      </c>
      <c r="C61" s="86"/>
      <c r="D61" s="143"/>
      <c r="E61" s="123">
        <f t="shared" ref="E61:P61" si="8">AVERAGE(LARGE(E6:E43,1),LARGE(E6:E43,2),LARGE(E6:E43,3),LARGE(E6:E43,4),LARGE(E6:E43,5))</f>
        <v>2.2898880322774251</v>
      </c>
      <c r="F61" s="138">
        <f t="shared" si="8"/>
        <v>2.9158620834350586</v>
      </c>
      <c r="G61" s="107">
        <f t="shared" si="8"/>
        <v>2.559983491897583</v>
      </c>
      <c r="H61" s="94">
        <f t="shared" si="8"/>
        <v>3.2060659408569334</v>
      </c>
      <c r="I61" s="130">
        <f t="shared" si="8"/>
        <v>2.3842339754104613</v>
      </c>
      <c r="J61" s="107">
        <f t="shared" si="8"/>
        <v>4.2974737167358397</v>
      </c>
      <c r="K61" s="115">
        <f t="shared" si="8"/>
        <v>2.3017543792724608</v>
      </c>
      <c r="L61" s="115">
        <f t="shared" si="8"/>
        <v>2.6703703880310057</v>
      </c>
      <c r="M61" s="22">
        <f t="shared" si="8"/>
        <v>1.9888888835906982</v>
      </c>
      <c r="N61" s="33">
        <f t="shared" si="8"/>
        <v>2.0353986740112306</v>
      </c>
      <c r="O61" s="107">
        <f t="shared" si="8"/>
        <v>2.1422806978225708</v>
      </c>
      <c r="P61" s="94">
        <f t="shared" si="8"/>
        <v>2.2571504592895506</v>
      </c>
      <c r="Q61" s="19"/>
      <c r="R61" s="19"/>
      <c r="S61" s="19"/>
    </row>
    <row r="62" spans="1:22" s="27" customFormat="1" x14ac:dyDescent="0.2">
      <c r="B62" s="12"/>
      <c r="C62" s="78"/>
      <c r="D62" s="140"/>
      <c r="E62" s="25"/>
      <c r="F62" s="25"/>
      <c r="G62" s="25"/>
      <c r="H62" s="25"/>
      <c r="I62" s="25"/>
      <c r="J62" s="25"/>
      <c r="K62" s="25"/>
      <c r="L62" s="25"/>
      <c r="M62" s="25"/>
      <c r="N62" s="25"/>
    </row>
    <row r="63" spans="1:22" s="27" customFormat="1" x14ac:dyDescent="0.2">
      <c r="A63" s="13" t="s">
        <v>277</v>
      </c>
      <c r="B63" s="78"/>
      <c r="C63" s="140"/>
      <c r="D63" s="25"/>
      <c r="E63" s="25"/>
      <c r="F63" s="25"/>
      <c r="G63" s="25"/>
      <c r="H63" s="25"/>
      <c r="I63" s="25"/>
      <c r="J63" s="25"/>
      <c r="K63" s="25"/>
      <c r="L63" s="25"/>
    </row>
    <row r="64" spans="1:22" s="28" customFormat="1" x14ac:dyDescent="0.2">
      <c r="A64" s="13"/>
      <c r="B64" s="79"/>
      <c r="C64" s="140"/>
      <c r="D64" s="25"/>
      <c r="E64" s="25"/>
      <c r="F64" s="25"/>
      <c r="G64" s="25"/>
      <c r="H64" s="25"/>
      <c r="I64" s="25"/>
      <c r="J64" s="25"/>
      <c r="K64" s="25"/>
      <c r="L64" s="25"/>
      <c r="M64" s="25"/>
      <c r="N64" s="25"/>
      <c r="O64" s="25"/>
      <c r="P64" s="25"/>
      <c r="Q64" s="25"/>
      <c r="R64" s="25"/>
      <c r="S64" s="25"/>
      <c r="T64" s="25"/>
      <c r="U64" s="25"/>
      <c r="V64" s="25"/>
    </row>
    <row r="65" spans="1:36" customFormat="1" ht="19.5" customHeight="1" x14ac:dyDescent="0.2">
      <c r="A65" s="12" t="s">
        <v>56</v>
      </c>
      <c r="B65" s="78"/>
      <c r="C65" s="140"/>
      <c r="D65" s="10"/>
      <c r="E65" s="10"/>
      <c r="F65" s="10"/>
      <c r="G65" s="10"/>
      <c r="H65" s="10"/>
      <c r="I65" s="10"/>
      <c r="J65" s="10"/>
      <c r="K65" s="10"/>
      <c r="L65" s="10"/>
      <c r="M65" s="10"/>
      <c r="N65" s="10"/>
      <c r="O65" s="10"/>
      <c r="P65" s="10"/>
      <c r="Q65" s="10"/>
      <c r="R65" s="10"/>
      <c r="S65" s="10"/>
      <c r="T65" s="10"/>
      <c r="U65" s="10"/>
      <c r="V65" s="10"/>
      <c r="AA65" s="1"/>
      <c r="AB65" s="1"/>
      <c r="AC65" s="1"/>
      <c r="AD65" s="1"/>
      <c r="AE65" s="1"/>
      <c r="AF65" s="1"/>
      <c r="AG65" s="1"/>
      <c r="AH65" s="1"/>
      <c r="AI65" s="1"/>
    </row>
    <row r="66" spans="1:36" s="14" customFormat="1" ht="19.5" customHeight="1" x14ac:dyDescent="0.2">
      <c r="A66" s="43" t="s">
        <v>136</v>
      </c>
      <c r="B66" s="80"/>
      <c r="C66" s="140"/>
      <c r="D66" s="11"/>
      <c r="E66" s="11"/>
      <c r="F66" s="11"/>
      <c r="G66" s="11"/>
      <c r="H66" s="11"/>
      <c r="I66" s="11"/>
      <c r="J66" s="1"/>
      <c r="K66" s="1"/>
      <c r="L66" s="1"/>
      <c r="M66" s="1"/>
      <c r="N66" s="1"/>
      <c r="O66" s="1"/>
      <c r="P66" s="1"/>
      <c r="Q66" s="1"/>
      <c r="R66" s="1"/>
      <c r="S66" s="1"/>
      <c r="T66" s="1"/>
      <c r="U66" s="1"/>
      <c r="V66" s="1"/>
      <c r="W66" s="1"/>
      <c r="X66" s="12"/>
      <c r="Z66" s="1"/>
      <c r="AA66" s="1"/>
      <c r="AB66" s="1"/>
      <c r="AC66" s="1"/>
      <c r="AD66" s="1"/>
      <c r="AE66" s="1"/>
      <c r="AF66" s="1"/>
      <c r="AG66" s="1"/>
      <c r="AH66" s="1"/>
      <c r="AI66" s="1"/>
      <c r="AJ66" s="1"/>
    </row>
    <row r="67" spans="1:36" s="14" customFormat="1" ht="19.5" customHeight="1" x14ac:dyDescent="0.2">
      <c r="A67" s="43" t="s">
        <v>259</v>
      </c>
      <c r="B67" s="80"/>
      <c r="C67" s="140"/>
      <c r="D67" s="11"/>
      <c r="E67" s="11"/>
      <c r="F67" s="11"/>
      <c r="G67" s="11"/>
      <c r="H67" s="11"/>
      <c r="I67" s="11"/>
      <c r="J67" s="1"/>
      <c r="K67" s="1"/>
      <c r="L67" s="1"/>
      <c r="M67" s="1"/>
      <c r="N67" s="1"/>
      <c r="O67" s="1"/>
      <c r="P67" s="1"/>
      <c r="Q67" s="1"/>
      <c r="R67" s="1"/>
      <c r="S67" s="1"/>
      <c r="T67" s="1"/>
      <c r="U67" s="1"/>
      <c r="V67" s="1"/>
      <c r="W67" s="1"/>
      <c r="X67" s="12"/>
      <c r="Z67" s="1"/>
      <c r="AA67" s="1"/>
      <c r="AB67" s="1"/>
      <c r="AC67" s="1"/>
      <c r="AD67" s="1"/>
      <c r="AE67" s="1"/>
      <c r="AF67" s="1"/>
      <c r="AG67" s="1"/>
      <c r="AH67" s="1"/>
      <c r="AI67" s="1"/>
      <c r="AJ67" s="1"/>
    </row>
    <row r="68" spans="1:36" ht="19.5" customHeight="1" x14ac:dyDescent="0.2">
      <c r="A68" s="44" t="s">
        <v>276</v>
      </c>
      <c r="B68" s="77"/>
      <c r="C68" s="141"/>
      <c r="D68" s="16"/>
      <c r="P68" s="15"/>
    </row>
    <row r="69" spans="1:36" ht="19.5" customHeight="1" x14ac:dyDescent="0.2">
      <c r="A69" s="24" t="s">
        <v>55</v>
      </c>
      <c r="B69" s="77"/>
      <c r="C69" s="141"/>
      <c r="D69" s="16"/>
      <c r="P69" s="15"/>
    </row>
    <row r="70" spans="1:36" ht="19.5" customHeight="1" x14ac:dyDescent="0.2">
      <c r="A70" s="24" t="s">
        <v>233</v>
      </c>
      <c r="B70" s="77"/>
      <c r="C70" s="10"/>
      <c r="D70" s="16"/>
      <c r="P70" s="15"/>
    </row>
    <row r="71" spans="1:36" ht="19.5" customHeight="1" x14ac:dyDescent="0.2">
      <c r="A71" s="11" t="s">
        <v>234</v>
      </c>
      <c r="B71" s="77"/>
      <c r="C71" s="10"/>
      <c r="D71" s="16"/>
      <c r="P71" s="15"/>
    </row>
    <row r="72" spans="1:36" ht="19.5" customHeight="1" x14ac:dyDescent="0.2">
      <c r="A72" s="20" t="s">
        <v>235</v>
      </c>
      <c r="B72" s="77"/>
      <c r="C72" s="10"/>
      <c r="D72" s="16"/>
      <c r="P72" s="15"/>
    </row>
    <row r="73" spans="1:36" ht="19.5" customHeight="1" x14ac:dyDescent="0.2">
      <c r="A73" s="20" t="s">
        <v>236</v>
      </c>
      <c r="B73" s="77"/>
      <c r="C73" s="10"/>
      <c r="D73" s="16"/>
      <c r="P73" s="15"/>
    </row>
    <row r="74" spans="1:36" ht="19.5" customHeight="1" x14ac:dyDescent="0.2">
      <c r="A74" s="20" t="s">
        <v>240</v>
      </c>
      <c r="B74" s="77"/>
      <c r="C74" s="10"/>
      <c r="D74" s="16"/>
      <c r="P74" s="15"/>
    </row>
    <row r="75" spans="1:36" ht="19.5" customHeight="1" x14ac:dyDescent="0.2">
      <c r="A75" s="20" t="s">
        <v>237</v>
      </c>
      <c r="B75" s="77"/>
      <c r="C75" s="10"/>
      <c r="D75" s="16"/>
      <c r="P75" s="15"/>
    </row>
    <row r="76" spans="1:36" ht="19.5" customHeight="1" x14ac:dyDescent="0.2">
      <c r="A76" s="15" t="s">
        <v>238</v>
      </c>
      <c r="B76" s="77"/>
      <c r="C76" s="10"/>
      <c r="D76" s="16"/>
      <c r="P76" s="15"/>
    </row>
    <row r="77" spans="1:36" ht="19.5" customHeight="1" x14ac:dyDescent="0.2">
      <c r="A77" s="15" t="s">
        <v>239</v>
      </c>
      <c r="B77" s="77"/>
      <c r="C77" s="10"/>
      <c r="D77" s="16"/>
      <c r="P77" s="15"/>
    </row>
    <row r="80" spans="1:36" x14ac:dyDescent="0.2">
      <c r="B80" s="13"/>
    </row>
    <row r="81" spans="2:2" x14ac:dyDescent="0.2">
      <c r="B81" s="12"/>
    </row>
  </sheetData>
  <mergeCells count="8">
    <mergeCell ref="A3:A4"/>
    <mergeCell ref="D3:D4"/>
    <mergeCell ref="F3:H3"/>
    <mergeCell ref="I3:M3"/>
    <mergeCell ref="N3:P3"/>
    <mergeCell ref="E3:E4"/>
    <mergeCell ref="C3:C4"/>
    <mergeCell ref="B3:B4"/>
  </mergeCells>
  <conditionalFormatting sqref="E59:E60">
    <cfRule type="cellIs" dxfId="8" priority="2" operator="greaterThan">
      <formula>1.38</formula>
    </cfRule>
  </conditionalFormatting>
  <pageMargins left="0.7" right="0.7" top="0.75" bottom="0.75" header="0.3" footer="0.3"/>
  <pageSetup paperSize="9" scale="96" fitToWidth="0" orientation="landscape" r:id="rId1"/>
  <headerFooter>
    <oddFooter>&amp;R_x000D_&amp;1#&amp;"Calibri"&amp;10&amp;K000000 Official Use Only</oddFooter>
  </headerFooter>
  <colBreaks count="2" manualBreakCount="2">
    <brk id="8" min="1" max="12" man="1"/>
    <brk id="13" min="1" max="12"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J76"/>
  <sheetViews>
    <sheetView zoomScale="70" zoomScaleNormal="70" workbookViewId="0">
      <pane xSplit="2" ySplit="4" topLeftCell="C25" activePane="bottomRight" state="frozen"/>
      <selection pane="topRight" activeCell="B1" sqref="B1"/>
      <selection pane="bottomLeft" activeCell="A10" sqref="A10"/>
      <selection pane="bottomRight" activeCell="A3" sqref="A3:P55"/>
    </sheetView>
  </sheetViews>
  <sheetFormatPr defaultColWidth="9.140625" defaultRowHeight="12.75" x14ac:dyDescent="0.2"/>
  <cols>
    <col min="1" max="1" width="19.140625" style="15" bestFit="1" customWidth="1"/>
    <col min="2" max="2" width="38.28515625" style="15" customWidth="1"/>
    <col min="3" max="3" width="19.140625" style="77" bestFit="1" customWidth="1"/>
    <col min="4" max="4" width="26.85546875" style="10" customWidth="1"/>
    <col min="5" max="5" width="17.85546875" style="16" customWidth="1"/>
    <col min="6" max="6" width="13.42578125" style="16" customWidth="1"/>
    <col min="7" max="7" width="15.5703125" style="16" customWidth="1"/>
    <col min="8" max="8" width="15.85546875" style="16" customWidth="1"/>
    <col min="9" max="9" width="10.28515625" style="16" customWidth="1"/>
    <col min="10" max="10" width="9.5703125" style="16" customWidth="1"/>
    <col min="11" max="11" width="10.140625" style="16" customWidth="1"/>
    <col min="12" max="12" width="9.140625" style="16" customWidth="1"/>
    <col min="13" max="13" width="12.28515625" style="16" customWidth="1"/>
    <col min="14" max="14" width="13.28515625" style="16" customWidth="1"/>
    <col min="15" max="15" width="14" style="16" customWidth="1"/>
    <col min="16" max="16" width="13.42578125" style="16" customWidth="1"/>
    <col min="17" max="19" width="6.7109375" style="15" customWidth="1"/>
    <col min="20" max="16384" width="9.140625" style="15"/>
  </cols>
  <sheetData>
    <row r="1" spans="1:19" s="59" customFormat="1" ht="18" x14ac:dyDescent="0.2">
      <c r="A1" s="58" t="s">
        <v>227</v>
      </c>
      <c r="D1" s="60"/>
      <c r="E1" s="60"/>
      <c r="F1" s="60"/>
      <c r="G1" s="60"/>
      <c r="H1" s="60"/>
      <c r="I1" s="60"/>
      <c r="J1" s="60"/>
      <c r="K1" s="60"/>
      <c r="L1" s="60"/>
      <c r="M1" s="60"/>
      <c r="N1" s="60"/>
      <c r="O1" s="60"/>
      <c r="P1" s="60"/>
      <c r="Q1" s="60"/>
      <c r="R1" s="60"/>
    </row>
    <row r="2" spans="1:19" x14ac:dyDescent="0.2">
      <c r="D2" s="50"/>
    </row>
    <row r="3" spans="1:19" s="72" customFormat="1" ht="18.75" customHeight="1" x14ac:dyDescent="0.2">
      <c r="A3" s="333" t="s">
        <v>127</v>
      </c>
      <c r="B3" s="345" t="s">
        <v>157</v>
      </c>
      <c r="C3" s="333" t="s">
        <v>149</v>
      </c>
      <c r="D3" s="335" t="s">
        <v>101</v>
      </c>
      <c r="E3" s="155"/>
      <c r="F3" s="337" t="s">
        <v>242</v>
      </c>
      <c r="G3" s="338"/>
      <c r="H3" s="338"/>
      <c r="I3" s="337" t="s">
        <v>243</v>
      </c>
      <c r="J3" s="338"/>
      <c r="K3" s="338"/>
      <c r="L3" s="338"/>
      <c r="M3" s="338"/>
      <c r="N3" s="340" t="s">
        <v>244</v>
      </c>
      <c r="O3" s="341"/>
      <c r="P3" s="342"/>
    </row>
    <row r="4" spans="1:19" s="73" customFormat="1" ht="35.450000000000003" customHeight="1" x14ac:dyDescent="0.25">
      <c r="A4" s="334"/>
      <c r="B4" s="346"/>
      <c r="C4" s="347"/>
      <c r="D4" s="336"/>
      <c r="E4" s="146" t="s">
        <v>241</v>
      </c>
      <c r="F4" s="131" t="s">
        <v>11</v>
      </c>
      <c r="G4" s="74" t="s">
        <v>3</v>
      </c>
      <c r="H4" s="75" t="s">
        <v>4</v>
      </c>
      <c r="I4" s="116" t="s">
        <v>11</v>
      </c>
      <c r="J4" s="75" t="s">
        <v>5</v>
      </c>
      <c r="K4" s="75" t="s">
        <v>6</v>
      </c>
      <c r="L4" s="75" t="s">
        <v>7</v>
      </c>
      <c r="M4" s="75" t="s">
        <v>8</v>
      </c>
      <c r="N4" s="116" t="s">
        <v>11</v>
      </c>
      <c r="O4" s="75" t="s">
        <v>9</v>
      </c>
      <c r="P4" s="89" t="s">
        <v>10</v>
      </c>
    </row>
    <row r="5" spans="1:19" x14ac:dyDescent="0.2">
      <c r="A5" s="147"/>
      <c r="B5" s="225" t="s">
        <v>128</v>
      </c>
      <c r="C5" s="84"/>
      <c r="D5" s="142"/>
      <c r="E5" s="119" t="s">
        <v>107</v>
      </c>
      <c r="F5" s="132"/>
      <c r="G5" s="102"/>
      <c r="H5" s="133"/>
      <c r="I5" s="125"/>
      <c r="J5" s="102"/>
      <c r="K5" s="109"/>
      <c r="L5" s="109"/>
      <c r="M5" s="17"/>
      <c r="N5" s="117"/>
      <c r="O5" s="112"/>
      <c r="P5" s="90"/>
      <c r="Q5" s="20"/>
      <c r="R5" s="20"/>
      <c r="S5" s="20"/>
    </row>
    <row r="6" spans="1:19" x14ac:dyDescent="0.2">
      <c r="A6" s="83" t="s">
        <v>62</v>
      </c>
      <c r="B6" s="46" t="s">
        <v>61</v>
      </c>
      <c r="C6" s="82" t="s">
        <v>133</v>
      </c>
      <c r="D6" s="144">
        <v>43101</v>
      </c>
      <c r="E6" s="120">
        <f t="shared" ref="E6" si="0">IF(AND(F6=".",I6=".",N6="."),".",AVERAGE(F6,I6,N6))</f>
        <v>1.2357669472694397</v>
      </c>
      <c r="F6" s="134">
        <v>0.95896470546722412</v>
      </c>
      <c r="G6" s="103">
        <v>0.18181818723678589</v>
      </c>
      <c r="H6" s="91">
        <v>1.7361111640930176</v>
      </c>
      <c r="I6" s="126">
        <v>1.8634278774261475</v>
      </c>
      <c r="J6" s="103">
        <v>3.8184211254119873</v>
      </c>
      <c r="K6" s="110">
        <v>0.66666668653488159</v>
      </c>
      <c r="L6" s="110">
        <v>1.4686235189437866</v>
      </c>
      <c r="M6" s="18">
        <v>1.5</v>
      </c>
      <c r="N6" s="29">
        <v>0.88490825891494751</v>
      </c>
      <c r="O6" s="103">
        <v>0.70921051502227783</v>
      </c>
      <c r="P6" s="91">
        <v>1.0606060028076172</v>
      </c>
      <c r="Q6" s="19"/>
      <c r="R6" s="19"/>
      <c r="S6" s="19"/>
    </row>
    <row r="7" spans="1:19" x14ac:dyDescent="0.2">
      <c r="A7" s="83" t="s">
        <v>76</v>
      </c>
      <c r="B7" s="46" t="s">
        <v>37</v>
      </c>
      <c r="C7" s="82" t="s">
        <v>133</v>
      </c>
      <c r="D7" s="144">
        <v>43101</v>
      </c>
      <c r="E7" s="120">
        <f t="shared" ref="E7:E8" si="1">IF(AND(F7=".",I7=".",N7="."),".",AVERAGE(F7,I7,N7))</f>
        <v>0.87904924154281616</v>
      </c>
      <c r="F7" s="134">
        <v>1.0178428888320923</v>
      </c>
      <c r="G7" s="103">
        <v>0.82296651601791382</v>
      </c>
      <c r="H7" s="91">
        <v>1.2127193212509155</v>
      </c>
      <c r="I7" s="126">
        <v>1.1045321226119995</v>
      </c>
      <c r="J7" s="103">
        <v>0.67543858289718628</v>
      </c>
      <c r="K7" s="110">
        <v>0.66666668653488159</v>
      </c>
      <c r="L7" s="110">
        <v>1.5</v>
      </c>
      <c r="M7" s="18">
        <v>1.5760233402252197</v>
      </c>
      <c r="N7" s="29">
        <v>0.51477271318435669</v>
      </c>
      <c r="O7" s="103">
        <v>0.57499998807907104</v>
      </c>
      <c r="P7" s="91">
        <v>0.45454546809196472</v>
      </c>
      <c r="Q7" s="19"/>
      <c r="R7" s="19"/>
      <c r="S7" s="19"/>
    </row>
    <row r="8" spans="1:19" x14ac:dyDescent="0.2">
      <c r="A8" s="83" t="s">
        <v>114</v>
      </c>
      <c r="B8" s="46" t="s">
        <v>113</v>
      </c>
      <c r="C8" s="82" t="s">
        <v>133</v>
      </c>
      <c r="D8" s="144">
        <v>43101</v>
      </c>
      <c r="E8" s="120">
        <f t="shared" si="1"/>
        <v>1.2734030087788899</v>
      </c>
      <c r="F8" s="134">
        <v>1.5333333015441895</v>
      </c>
      <c r="G8" s="103">
        <v>1.3999999761581421</v>
      </c>
      <c r="H8" s="91">
        <v>1.6666666269302368</v>
      </c>
      <c r="I8" s="126">
        <v>1.1502314805984497</v>
      </c>
      <c r="J8" s="103">
        <v>0.46759259700775146</v>
      </c>
      <c r="K8" s="110">
        <v>2</v>
      </c>
      <c r="L8" s="111">
        <v>1.7999999523162842</v>
      </c>
      <c r="M8" s="18">
        <v>0.3333333432674408</v>
      </c>
      <c r="N8" s="29">
        <v>1.1366442441940308</v>
      </c>
      <c r="O8" s="103">
        <v>1.3086420297622681</v>
      </c>
      <c r="P8" s="91">
        <v>0.96464645862579346</v>
      </c>
      <c r="Q8" s="19"/>
      <c r="R8" s="19"/>
      <c r="S8" s="19"/>
    </row>
    <row r="9" spans="1:19" x14ac:dyDescent="0.2">
      <c r="A9" s="83" t="s">
        <v>63</v>
      </c>
      <c r="B9" s="46" t="s">
        <v>31</v>
      </c>
      <c r="C9" s="82" t="s">
        <v>133</v>
      </c>
      <c r="D9" s="144">
        <v>43101</v>
      </c>
      <c r="E9" s="120">
        <f t="shared" ref="E9:E43" si="2">IF(AND(F9=".",I9=".",N9="."),".",AVERAGE(F9,I9,N9))</f>
        <v>1.4254511594772339</v>
      </c>
      <c r="F9" s="134">
        <v>1.579744815826416</v>
      </c>
      <c r="G9" s="103">
        <v>1.0382775068283081</v>
      </c>
      <c r="H9" s="91">
        <v>2.1212120056152344</v>
      </c>
      <c r="I9" s="126">
        <v>1.3397904634475708</v>
      </c>
      <c r="J9" s="103">
        <v>1.2850877046585083</v>
      </c>
      <c r="K9" s="110">
        <v>0.66666668653488159</v>
      </c>
      <c r="L9" s="110">
        <v>2.1140351295471191</v>
      </c>
      <c r="M9" s="18">
        <v>1.2933722734451294</v>
      </c>
      <c r="N9" s="29">
        <v>1.3568181991577148</v>
      </c>
      <c r="O9" s="103">
        <v>1.3500000238418579</v>
      </c>
      <c r="P9" s="91">
        <v>1.3636363744735718</v>
      </c>
      <c r="Q9" s="19"/>
      <c r="R9" s="19"/>
      <c r="S9" s="19"/>
    </row>
    <row r="10" spans="1:19" x14ac:dyDescent="0.2">
      <c r="A10" s="83" t="s">
        <v>77</v>
      </c>
      <c r="B10" s="46" t="s">
        <v>47</v>
      </c>
      <c r="C10" s="82" t="s">
        <v>133</v>
      </c>
      <c r="D10" s="144">
        <v>43101</v>
      </c>
      <c r="E10" s="120">
        <f t="shared" ref="E10" si="3">IF(AND(F10=".",I10=".",N10="."),".",AVERAGE(F10,I10,N10))</f>
        <v>1.7850589354832966</v>
      </c>
      <c r="F10" s="134">
        <v>1.9313397407531738</v>
      </c>
      <c r="G10" s="103">
        <v>0.69999998807907104</v>
      </c>
      <c r="H10" s="91">
        <v>3.1626794338226318</v>
      </c>
      <c r="I10" s="126">
        <v>1.5715643167495728</v>
      </c>
      <c r="J10" s="103">
        <v>3.1973683834075928</v>
      </c>
      <c r="K10" s="110">
        <v>0.66666668653488159</v>
      </c>
      <c r="L10" s="110">
        <v>0.69999998807907104</v>
      </c>
      <c r="M10" s="18">
        <v>1.7222222089767456</v>
      </c>
      <c r="N10" s="29">
        <v>1.8522727489471436</v>
      </c>
      <c r="O10" s="103">
        <v>1.25</v>
      </c>
      <c r="P10" s="91">
        <v>2.4545454978942871</v>
      </c>
      <c r="Q10" s="19"/>
      <c r="R10" s="19"/>
      <c r="S10" s="19"/>
    </row>
    <row r="11" spans="1:19" x14ac:dyDescent="0.2">
      <c r="A11" s="83" t="s">
        <v>98</v>
      </c>
      <c r="B11" s="46" t="s">
        <v>97</v>
      </c>
      <c r="C11" s="305" t="s">
        <v>134</v>
      </c>
      <c r="D11" s="144">
        <v>43101</v>
      </c>
      <c r="E11" s="120">
        <f t="shared" si="2"/>
        <v>1.9969741900761921</v>
      </c>
      <c r="F11" s="134">
        <v>2.1224880218505859</v>
      </c>
      <c r="G11" s="103">
        <v>2.1684210300445557</v>
      </c>
      <c r="H11" s="91">
        <v>2.0765550136566162</v>
      </c>
      <c r="I11" s="126">
        <v>1.6916667222976685</v>
      </c>
      <c r="J11" s="103">
        <v>2</v>
      </c>
      <c r="K11" s="110">
        <v>0.66666668653488159</v>
      </c>
      <c r="L11" s="110">
        <v>2.4333333969116211</v>
      </c>
      <c r="M11" s="18">
        <v>1.6666666269302368</v>
      </c>
      <c r="N11" s="29">
        <v>2.1767678260803223</v>
      </c>
      <c r="O11" s="103">
        <v>2.1111111640930176</v>
      </c>
      <c r="P11" s="91">
        <v>2.2424242496490479</v>
      </c>
      <c r="Q11" s="19"/>
      <c r="R11" s="19"/>
      <c r="S11" s="19"/>
    </row>
    <row r="12" spans="1:19" x14ac:dyDescent="0.2">
      <c r="A12" s="83" t="s">
        <v>78</v>
      </c>
      <c r="B12" s="46" t="s">
        <v>28</v>
      </c>
      <c r="C12" s="305" t="s">
        <v>134</v>
      </c>
      <c r="D12" s="144">
        <v>43466</v>
      </c>
      <c r="E12" s="120">
        <f t="shared" ref="E12:E14" si="4">IF(AND(F12=".",I12=".",N12="."),".",AVERAGE(F12,I12,N12))</f>
        <v>3.1937852700551352</v>
      </c>
      <c r="F12" s="134">
        <v>4.2189474105834961</v>
      </c>
      <c r="G12" s="103">
        <v>4.2189474105834961</v>
      </c>
      <c r="H12" s="91" t="s">
        <v>173</v>
      </c>
      <c r="I12" s="126">
        <v>3.5428071022033691</v>
      </c>
      <c r="J12" s="103">
        <v>5.4378948211669922</v>
      </c>
      <c r="K12" s="110">
        <v>3.3333332538604736</v>
      </c>
      <c r="L12" s="110">
        <v>2.4000000953674316</v>
      </c>
      <c r="M12" s="18">
        <v>3</v>
      </c>
      <c r="N12" s="29">
        <v>1.81960129737854</v>
      </c>
      <c r="O12" s="103">
        <v>1.9856140613555908</v>
      </c>
      <c r="P12" s="91">
        <v>1.6535885334014893</v>
      </c>
      <c r="Q12" s="19"/>
      <c r="R12" s="19"/>
      <c r="S12" s="19"/>
    </row>
    <row r="13" spans="1:19" x14ac:dyDescent="0.2">
      <c r="A13" s="83" t="s">
        <v>64</v>
      </c>
      <c r="B13" s="46" t="s">
        <v>60</v>
      </c>
      <c r="C13" s="82" t="s">
        <v>133</v>
      </c>
      <c r="D13" s="144">
        <v>43101</v>
      </c>
      <c r="E13" s="120">
        <f t="shared" ref="E13" si="5">IF(AND(F13=".",I13=".",N13="."),".",AVERAGE(F13,I13,N13))</f>
        <v>1.2349392970403035</v>
      </c>
      <c r="F13" s="134">
        <v>0.82336521148681641</v>
      </c>
      <c r="G13" s="103">
        <v>0.8133971095085144</v>
      </c>
      <c r="H13" s="91">
        <v>0.83333331346511841</v>
      </c>
      <c r="I13" s="126">
        <v>1.2079678773880005</v>
      </c>
      <c r="J13" s="103">
        <v>0.74122804403305054</v>
      </c>
      <c r="K13" s="110">
        <v>0.75730991363525391</v>
      </c>
      <c r="L13" s="110">
        <v>2</v>
      </c>
      <c r="M13" s="18">
        <v>1.3333333730697632</v>
      </c>
      <c r="N13" s="29">
        <v>1.6734848022460938</v>
      </c>
      <c r="O13" s="103">
        <v>1.6499999761581421</v>
      </c>
      <c r="P13" s="91">
        <v>1.696969747543335</v>
      </c>
      <c r="Q13" s="19"/>
      <c r="R13" s="19"/>
      <c r="S13" s="19"/>
    </row>
    <row r="14" spans="1:19" x14ac:dyDescent="0.2">
      <c r="A14" s="83" t="s">
        <v>79</v>
      </c>
      <c r="B14" s="46" t="s">
        <v>54</v>
      </c>
      <c r="C14" s="82" t="s">
        <v>133</v>
      </c>
      <c r="D14" s="144">
        <v>43101</v>
      </c>
      <c r="E14" s="120">
        <f t="shared" si="4"/>
        <v>0.92040324211120605</v>
      </c>
      <c r="F14" s="134">
        <v>0.75312334299087524</v>
      </c>
      <c r="G14" s="103">
        <v>0.50478470325469971</v>
      </c>
      <c r="H14" s="91">
        <v>1.0014619827270508</v>
      </c>
      <c r="I14" s="126">
        <v>0.68005603551864624</v>
      </c>
      <c r="J14" s="103">
        <v>0.46271929144859314</v>
      </c>
      <c r="K14" s="110">
        <v>0</v>
      </c>
      <c r="L14" s="110">
        <v>1.7000000476837158</v>
      </c>
      <c r="M14" s="18">
        <v>0.55750489234924316</v>
      </c>
      <c r="N14" s="29">
        <v>1.3280303478240967</v>
      </c>
      <c r="O14" s="103">
        <v>1.0499999523162842</v>
      </c>
      <c r="P14" s="91">
        <v>1.6060606241226196</v>
      </c>
      <c r="Q14" s="19"/>
      <c r="R14" s="19"/>
      <c r="S14" s="19"/>
    </row>
    <row r="15" spans="1:19" x14ac:dyDescent="0.2">
      <c r="A15" s="83" t="s">
        <v>65</v>
      </c>
      <c r="B15" s="46" t="s">
        <v>34</v>
      </c>
      <c r="C15" s="82" t="s">
        <v>133</v>
      </c>
      <c r="D15" s="144">
        <v>43466</v>
      </c>
      <c r="E15" s="120">
        <f t="shared" si="2"/>
        <v>1.1550504763921101</v>
      </c>
      <c r="F15" s="135">
        <v>0.97412276268005371</v>
      </c>
      <c r="G15" s="103">
        <v>1.0315788984298706</v>
      </c>
      <c r="H15" s="91">
        <v>0.91666668653488159</v>
      </c>
      <c r="I15" s="127">
        <v>1.0050438642501831</v>
      </c>
      <c r="J15" s="103">
        <v>0.55789476633071899</v>
      </c>
      <c r="K15" s="110">
        <v>0.86228072643280029</v>
      </c>
      <c r="L15" s="110">
        <v>2.0999999046325684</v>
      </c>
      <c r="M15" s="18">
        <v>0.5</v>
      </c>
      <c r="N15" s="29">
        <v>1.4859848022460938</v>
      </c>
      <c r="O15" s="103">
        <v>1.2749999761581421</v>
      </c>
      <c r="P15" s="91">
        <v>1.696969747543335</v>
      </c>
      <c r="Q15" s="19"/>
      <c r="R15" s="19"/>
      <c r="S15" s="19"/>
    </row>
    <row r="16" spans="1:19" x14ac:dyDescent="0.2">
      <c r="A16" s="83" t="s">
        <v>66</v>
      </c>
      <c r="B16" s="46" t="s">
        <v>38</v>
      </c>
      <c r="C16" s="82" t="s">
        <v>133</v>
      </c>
      <c r="D16" s="144">
        <v>43101</v>
      </c>
      <c r="E16" s="120">
        <f t="shared" si="2"/>
        <v>1.601747711499532</v>
      </c>
      <c r="F16" s="135">
        <v>2.0095694065093994</v>
      </c>
      <c r="G16" s="103">
        <v>0.83732056617736816</v>
      </c>
      <c r="H16" s="91">
        <v>3.1818182468414307</v>
      </c>
      <c r="I16" s="127">
        <v>1.0528508424758911</v>
      </c>
      <c r="J16" s="103">
        <v>1.4517543315887451</v>
      </c>
      <c r="K16" s="110">
        <v>7.8947365283966064E-2</v>
      </c>
      <c r="L16" s="110">
        <v>1.8473684787750244</v>
      </c>
      <c r="M16" s="18">
        <v>0.83333331346511841</v>
      </c>
      <c r="N16" s="31">
        <v>1.7428228855133057</v>
      </c>
      <c r="O16" s="103">
        <v>1.4210525751113892</v>
      </c>
      <c r="P16" s="91">
        <v>2.0645933151245117</v>
      </c>
      <c r="Q16" s="19"/>
      <c r="R16" s="19"/>
      <c r="S16" s="19"/>
    </row>
    <row r="17" spans="1:19" x14ac:dyDescent="0.2">
      <c r="A17" s="83" t="s">
        <v>67</v>
      </c>
      <c r="B17" s="46" t="s">
        <v>48</v>
      </c>
      <c r="C17" s="82" t="s">
        <v>133</v>
      </c>
      <c r="D17" s="144">
        <v>43101</v>
      </c>
      <c r="E17" s="120">
        <f t="shared" si="2"/>
        <v>1.2605617046356201</v>
      </c>
      <c r="F17" s="135">
        <v>1.2837917804718018</v>
      </c>
      <c r="G17" s="103">
        <v>1.1004784107208252</v>
      </c>
      <c r="H17" s="91">
        <v>1.4671052694320679</v>
      </c>
      <c r="I17" s="127">
        <v>1.1488304138183594</v>
      </c>
      <c r="J17" s="103">
        <v>2.6210527420043945</v>
      </c>
      <c r="K17" s="110">
        <v>0.12280701100826263</v>
      </c>
      <c r="L17" s="110">
        <v>1.5736842155456543</v>
      </c>
      <c r="M17" s="18">
        <v>0.27777779102325439</v>
      </c>
      <c r="N17" s="31">
        <v>1.3490629196166992</v>
      </c>
      <c r="O17" s="103">
        <v>1.3855262994766235</v>
      </c>
      <c r="P17" s="91">
        <v>1.3125996589660645</v>
      </c>
      <c r="Q17" s="19"/>
      <c r="R17" s="19"/>
      <c r="S17" s="19"/>
    </row>
    <row r="18" spans="1:19" x14ac:dyDescent="0.2">
      <c r="A18" s="83" t="s">
        <v>80</v>
      </c>
      <c r="B18" s="46" t="s">
        <v>51</v>
      </c>
      <c r="C18" s="82" t="s">
        <v>133</v>
      </c>
      <c r="D18" s="144">
        <v>43101</v>
      </c>
      <c r="E18" s="120">
        <f t="shared" ref="E18:E19" si="6">IF(AND(F18=".",I18=".",N18="."),".",AVERAGE(F18,I18,N18))</f>
        <v>0.9596037666002909</v>
      </c>
      <c r="F18" s="135">
        <v>0.69868826866149902</v>
      </c>
      <c r="G18" s="103">
        <v>0.5</v>
      </c>
      <c r="H18" s="91">
        <v>0.89737653732299805</v>
      </c>
      <c r="I18" s="127">
        <v>0.78731995820999146</v>
      </c>
      <c r="J18" s="103">
        <v>0.63425928354263306</v>
      </c>
      <c r="K18" s="110">
        <v>6.6872432827949524E-2</v>
      </c>
      <c r="L18" s="110">
        <v>1.92037034034729</v>
      </c>
      <c r="M18" s="18">
        <v>0.52777779102325439</v>
      </c>
      <c r="N18" s="31">
        <v>1.3928030729293823</v>
      </c>
      <c r="O18" s="103">
        <v>1.5305556058883667</v>
      </c>
      <c r="P18" s="91">
        <v>1.2550505399703979</v>
      </c>
      <c r="Q18" s="19"/>
      <c r="R18" s="19"/>
      <c r="S18" s="19"/>
    </row>
    <row r="19" spans="1:19" x14ac:dyDescent="0.2">
      <c r="A19" s="83" t="s">
        <v>92</v>
      </c>
      <c r="B19" s="46" t="s">
        <v>46</v>
      </c>
      <c r="C19" s="82" t="s">
        <v>133</v>
      </c>
      <c r="D19" s="144">
        <v>43101</v>
      </c>
      <c r="E19" s="120">
        <f t="shared" si="6"/>
        <v>1.6833797693252563</v>
      </c>
      <c r="F19" s="134">
        <v>2.0456538200378418</v>
      </c>
      <c r="G19" s="103">
        <v>1.6746411323547363</v>
      </c>
      <c r="H19" s="91">
        <v>2.4166667461395264</v>
      </c>
      <c r="I19" s="127">
        <v>1.4131578207015991</v>
      </c>
      <c r="J19" s="103">
        <v>2</v>
      </c>
      <c r="K19" s="110">
        <v>0.71929824352264404</v>
      </c>
      <c r="L19" s="110">
        <v>2.0999999046325684</v>
      </c>
      <c r="M19" s="18">
        <v>0.83333331346511841</v>
      </c>
      <c r="N19" s="31">
        <v>1.5913276672363281</v>
      </c>
      <c r="O19" s="103">
        <v>1.4171051979064941</v>
      </c>
      <c r="P19" s="91">
        <v>1.7655502557754517</v>
      </c>
      <c r="Q19" s="19"/>
      <c r="R19" s="19"/>
      <c r="S19" s="19"/>
    </row>
    <row r="20" spans="1:19" x14ac:dyDescent="0.2">
      <c r="A20" s="83" t="s">
        <v>122</v>
      </c>
      <c r="B20" s="46" t="s">
        <v>121</v>
      </c>
      <c r="C20" s="82" t="s">
        <v>133</v>
      </c>
      <c r="D20" s="144">
        <v>43101</v>
      </c>
      <c r="E20" s="120">
        <f t="shared" si="2"/>
        <v>1.398761510848999</v>
      </c>
      <c r="F20" s="134">
        <v>1.6439814567565918</v>
      </c>
      <c r="G20" s="103">
        <v>1.0055555105209351</v>
      </c>
      <c r="H20" s="91">
        <v>2.2824075222015381</v>
      </c>
      <c r="I20" s="127">
        <v>1.5238940715789795</v>
      </c>
      <c r="J20" s="103">
        <v>0.42129629850387573</v>
      </c>
      <c r="K20" s="110">
        <v>2</v>
      </c>
      <c r="L20" s="110">
        <v>2.1351852416992188</v>
      </c>
      <c r="M20" s="18">
        <v>1.5390946865081787</v>
      </c>
      <c r="N20" s="31">
        <v>1.0284090042114258</v>
      </c>
      <c r="O20" s="103">
        <v>0.875</v>
      </c>
      <c r="P20" s="91">
        <v>1.1818181276321411</v>
      </c>
      <c r="Q20" s="19"/>
      <c r="R20" s="19"/>
      <c r="S20" s="19"/>
    </row>
    <row r="21" spans="1:19" x14ac:dyDescent="0.2">
      <c r="A21" s="83" t="s">
        <v>82</v>
      </c>
      <c r="B21" s="46" t="s">
        <v>45</v>
      </c>
      <c r="C21" s="82" t="s">
        <v>133</v>
      </c>
      <c r="D21" s="144">
        <v>43101</v>
      </c>
      <c r="E21" s="120">
        <f t="shared" ref="E21" si="7">IF(AND(F21=".",I21=".",N21="."),".",AVERAGE(F21,I21,N21))</f>
        <v>1.4068174362182617</v>
      </c>
      <c r="F21" s="134">
        <v>1.3875597715377808</v>
      </c>
      <c r="G21" s="103">
        <v>1.3875597715377808</v>
      </c>
      <c r="H21" s="91" t="s">
        <v>173</v>
      </c>
      <c r="I21" s="126">
        <v>1.1044834852218628</v>
      </c>
      <c r="J21" s="103" t="s">
        <v>173</v>
      </c>
      <c r="K21" s="110">
        <v>0.71345031261444092</v>
      </c>
      <c r="L21" s="110">
        <v>1.6000000238418579</v>
      </c>
      <c r="M21" s="18">
        <v>1</v>
      </c>
      <c r="N21" s="31">
        <v>1.7284090518951416</v>
      </c>
      <c r="O21" s="103">
        <v>1.2749999761581421</v>
      </c>
      <c r="P21" s="91">
        <v>2.1818182468414307</v>
      </c>
      <c r="Q21" s="19"/>
      <c r="R21" s="19"/>
      <c r="S21" s="19"/>
    </row>
    <row r="22" spans="1:19" x14ac:dyDescent="0.2">
      <c r="A22" s="83" t="s">
        <v>95</v>
      </c>
      <c r="B22" s="46" t="s">
        <v>42</v>
      </c>
      <c r="C22" s="82" t="s">
        <v>133</v>
      </c>
      <c r="D22" s="144">
        <v>43101</v>
      </c>
      <c r="E22" s="120">
        <f t="shared" si="2"/>
        <v>1.2828555901845295</v>
      </c>
      <c r="F22" s="134">
        <v>1.2372407913208008</v>
      </c>
      <c r="G22" s="103">
        <v>1.1411483287811279</v>
      </c>
      <c r="H22" s="91">
        <v>1.3333333730697632</v>
      </c>
      <c r="I22" s="126">
        <v>1.1253411769866943</v>
      </c>
      <c r="J22" s="103">
        <v>1.9254386425018311</v>
      </c>
      <c r="K22" s="110">
        <v>5.7504873722791672E-2</v>
      </c>
      <c r="L22" s="110">
        <v>1.8517544269561768</v>
      </c>
      <c r="M22" s="18">
        <v>0.66666668653488159</v>
      </c>
      <c r="N22" s="29">
        <v>1.4859848022460938</v>
      </c>
      <c r="O22" s="103">
        <v>1.2749999761581421</v>
      </c>
      <c r="P22" s="91">
        <v>1.696969747543335</v>
      </c>
      <c r="Q22" s="19"/>
      <c r="R22" s="19"/>
      <c r="S22" s="19"/>
    </row>
    <row r="23" spans="1:19" ht="14.25" x14ac:dyDescent="0.2">
      <c r="A23" s="83" t="s">
        <v>68</v>
      </c>
      <c r="B23" s="46" t="s">
        <v>57</v>
      </c>
      <c r="C23" s="82" t="s">
        <v>133</v>
      </c>
      <c r="D23" s="144">
        <v>43101</v>
      </c>
      <c r="E23" s="120">
        <f t="shared" ref="E23" si="8">IF(AND(F23=".",I23=".",N23="."),".",AVERAGE(F23,I23,N23))</f>
        <v>2.5593213240305581</v>
      </c>
      <c r="F23" s="134">
        <v>2.7174639701843262</v>
      </c>
      <c r="G23" s="103">
        <v>2.8894736766815186</v>
      </c>
      <c r="H23" s="91">
        <v>2.5454545021057129</v>
      </c>
      <c r="I23" s="126">
        <v>2.4195907115936279</v>
      </c>
      <c r="J23" s="103">
        <v>5.1789474487304688</v>
      </c>
      <c r="K23" s="110">
        <v>1.4736841917037964</v>
      </c>
      <c r="L23" s="110">
        <v>2.4000000953674316</v>
      </c>
      <c r="M23" s="18">
        <v>0.62573099136352539</v>
      </c>
      <c r="N23" s="29">
        <v>2.5409092903137207</v>
      </c>
      <c r="O23" s="103">
        <v>2.9000000953674316</v>
      </c>
      <c r="P23" s="91">
        <v>2.1818182468414307</v>
      </c>
      <c r="Q23" s="19"/>
      <c r="R23" s="19"/>
      <c r="S23" s="19"/>
    </row>
    <row r="24" spans="1:19" x14ac:dyDescent="0.2">
      <c r="A24" s="83" t="s">
        <v>69</v>
      </c>
      <c r="B24" s="46" t="s">
        <v>30</v>
      </c>
      <c r="C24" s="82" t="s">
        <v>133</v>
      </c>
      <c r="D24" s="144">
        <v>43101</v>
      </c>
      <c r="E24" s="120">
        <f t="shared" si="2"/>
        <v>0.89519757032394409</v>
      </c>
      <c r="F24" s="134">
        <v>0.85134238004684448</v>
      </c>
      <c r="G24" s="103">
        <v>0.5550239086151123</v>
      </c>
      <c r="H24" s="91">
        <v>1.1476608514785767</v>
      </c>
      <c r="I24" s="126">
        <v>0.80526316165924072</v>
      </c>
      <c r="J24" s="103">
        <v>0.76754385232925415</v>
      </c>
      <c r="K24" s="110">
        <v>0</v>
      </c>
      <c r="L24" s="110">
        <v>1.6201754808425903</v>
      </c>
      <c r="M24" s="18">
        <v>0.83333331346511841</v>
      </c>
      <c r="N24" s="29">
        <v>1.0289871692657471</v>
      </c>
      <c r="O24" s="103">
        <v>0.76052629947662354</v>
      </c>
      <c r="P24" s="91">
        <v>1.2974481582641602</v>
      </c>
      <c r="Q24" s="19"/>
      <c r="R24" s="19"/>
      <c r="S24" s="19"/>
    </row>
    <row r="25" spans="1:19" x14ac:dyDescent="0.2">
      <c r="A25" s="83" t="s">
        <v>83</v>
      </c>
      <c r="B25" s="46" t="s">
        <v>29</v>
      </c>
      <c r="C25" s="82" t="s">
        <v>133</v>
      </c>
      <c r="D25" s="144">
        <v>43101</v>
      </c>
      <c r="E25" s="120">
        <f t="shared" si="2"/>
        <v>1.8657029469807942</v>
      </c>
      <c r="F25" s="134">
        <v>1.9252393245697021</v>
      </c>
      <c r="G25" s="103">
        <v>1.6004785299301147</v>
      </c>
      <c r="H25" s="91">
        <v>2.25</v>
      </c>
      <c r="I25" s="126">
        <v>1.5322761535644531</v>
      </c>
      <c r="J25" s="103">
        <v>1.4605263471603394</v>
      </c>
      <c r="K25" s="110">
        <v>1.3333333730697632</v>
      </c>
      <c r="L25" s="110">
        <v>1.9463562965393066</v>
      </c>
      <c r="M25" s="18">
        <v>1.3888888359069824</v>
      </c>
      <c r="N25" s="29">
        <v>2.1395933628082275</v>
      </c>
      <c r="O25" s="103">
        <v>1.8605263233184814</v>
      </c>
      <c r="P25" s="91">
        <v>2.4186604022979736</v>
      </c>
      <c r="Q25" s="19"/>
      <c r="R25" s="19"/>
      <c r="S25" s="19"/>
    </row>
    <row r="26" spans="1:19" x14ac:dyDescent="0.2">
      <c r="A26" s="83" t="s">
        <v>70</v>
      </c>
      <c r="B26" s="46" t="s">
        <v>33</v>
      </c>
      <c r="C26" s="82" t="s">
        <v>133</v>
      </c>
      <c r="D26" s="144">
        <v>43101</v>
      </c>
      <c r="E26" s="120">
        <f t="shared" si="2"/>
        <v>2.1728843450546265</v>
      </c>
      <c r="F26" s="135">
        <v>3.2354068756103516</v>
      </c>
      <c r="G26" s="103">
        <v>2.5736842155456543</v>
      </c>
      <c r="H26" s="91">
        <v>3.8971292972564697</v>
      </c>
      <c r="I26" s="127">
        <v>1.5165795087814331</v>
      </c>
      <c r="J26" s="103">
        <v>1.5473684072494507</v>
      </c>
      <c r="K26" s="110">
        <v>0.82236844301223755</v>
      </c>
      <c r="L26" s="110">
        <v>2.307692289352417</v>
      </c>
      <c r="M26" s="18">
        <v>1.3888888359069824</v>
      </c>
      <c r="N26" s="31">
        <v>1.7666666507720947</v>
      </c>
      <c r="O26" s="103">
        <v>2.2000000476837158</v>
      </c>
      <c r="P26" s="91">
        <v>1.3333333730697632</v>
      </c>
      <c r="Q26" s="19"/>
      <c r="R26" s="19"/>
      <c r="S26" s="19"/>
    </row>
    <row r="27" spans="1:19" x14ac:dyDescent="0.2">
      <c r="A27" s="83" t="s">
        <v>84</v>
      </c>
      <c r="B27" s="46" t="s">
        <v>43</v>
      </c>
      <c r="C27" s="82" t="s">
        <v>133</v>
      </c>
      <c r="D27" s="144">
        <v>43101</v>
      </c>
      <c r="E27" s="120">
        <f t="shared" ref="E27:E29" si="9">IF(AND(F27=".",I27=".",N27="."),".",AVERAGE(F27,I27,N27))</f>
        <v>1.2931496699651082</v>
      </c>
      <c r="F27" s="134">
        <v>1.6802730560302734</v>
      </c>
      <c r="G27" s="103">
        <v>1.4186602830886841</v>
      </c>
      <c r="H27" s="91">
        <v>1.9418859481811523</v>
      </c>
      <c r="I27" s="126">
        <v>1.0781432390213013</v>
      </c>
      <c r="J27" s="103">
        <v>0.60087716579437256</v>
      </c>
      <c r="K27" s="110">
        <v>0.84502923488616943</v>
      </c>
      <c r="L27" s="110">
        <v>1.7000000476837158</v>
      </c>
      <c r="M27" s="18">
        <v>1.1666666269302368</v>
      </c>
      <c r="N27" s="29">
        <v>1.12103271484375</v>
      </c>
      <c r="O27" s="103">
        <v>1.0355262756347656</v>
      </c>
      <c r="P27" s="91">
        <v>1.2065390348434448</v>
      </c>
      <c r="Q27" s="19"/>
      <c r="R27" s="19"/>
      <c r="S27" s="19"/>
    </row>
    <row r="28" spans="1:19" x14ac:dyDescent="0.2">
      <c r="A28" s="83" t="s">
        <v>85</v>
      </c>
      <c r="B28" s="46" t="s">
        <v>36</v>
      </c>
      <c r="C28" s="82" t="s">
        <v>133</v>
      </c>
      <c r="D28" s="144">
        <v>43101</v>
      </c>
      <c r="E28" s="120">
        <f t="shared" si="9"/>
        <v>1.4789938926696777</v>
      </c>
      <c r="F28" s="134">
        <v>1.8569378852844238</v>
      </c>
      <c r="G28" s="103">
        <v>2.3263158798217773</v>
      </c>
      <c r="H28" s="91">
        <v>1.3875597715377808</v>
      </c>
      <c r="I28" s="126">
        <v>1.4258770942687988</v>
      </c>
      <c r="J28" s="103">
        <v>0.87719297409057617</v>
      </c>
      <c r="K28" s="110">
        <v>2.2105262279510498</v>
      </c>
      <c r="L28" s="110">
        <v>1.7999999523162842</v>
      </c>
      <c r="M28" s="18">
        <v>0.81578946113586426</v>
      </c>
      <c r="N28" s="29">
        <v>1.1541666984558105</v>
      </c>
      <c r="O28" s="103">
        <v>0.97500002384185791</v>
      </c>
      <c r="P28" s="91">
        <v>1.3333333730697632</v>
      </c>
      <c r="Q28" s="19"/>
      <c r="R28" s="19"/>
      <c r="S28" s="19"/>
    </row>
    <row r="29" spans="1:19" x14ac:dyDescent="0.2">
      <c r="A29" s="83" t="s">
        <v>71</v>
      </c>
      <c r="B29" s="46" t="s">
        <v>24</v>
      </c>
      <c r="C29" s="82" t="s">
        <v>133</v>
      </c>
      <c r="D29" s="144">
        <v>43101</v>
      </c>
      <c r="E29" s="120">
        <f t="shared" si="9"/>
        <v>1.5149321953455608</v>
      </c>
      <c r="F29" s="134">
        <v>1.1601873636245728</v>
      </c>
      <c r="G29" s="103">
        <v>0.94976073503494263</v>
      </c>
      <c r="H29" s="91">
        <v>1.3706140518188477</v>
      </c>
      <c r="I29" s="126">
        <v>1.522587776184082</v>
      </c>
      <c r="J29" s="103">
        <v>3.0745613574981689</v>
      </c>
      <c r="K29" s="110">
        <v>0.81578946113586426</v>
      </c>
      <c r="L29" s="110">
        <v>1.2000000476837158</v>
      </c>
      <c r="M29" s="18">
        <v>1</v>
      </c>
      <c r="N29" s="29">
        <v>1.8620214462280273</v>
      </c>
      <c r="O29" s="103">
        <v>1.3197368383407593</v>
      </c>
      <c r="P29" s="91">
        <v>2.404306173324585</v>
      </c>
      <c r="Q29" s="19"/>
      <c r="R29" s="19"/>
      <c r="S29" s="19"/>
    </row>
    <row r="30" spans="1:19" x14ac:dyDescent="0.2">
      <c r="A30" s="83" t="s">
        <v>110</v>
      </c>
      <c r="B30" s="46" t="s">
        <v>109</v>
      </c>
      <c r="C30" s="82" t="s">
        <v>133</v>
      </c>
      <c r="D30" s="144">
        <v>43101</v>
      </c>
      <c r="E30" s="120">
        <f t="shared" si="2"/>
        <v>2.1680134932200112</v>
      </c>
      <c r="F30" s="134">
        <v>2.6087121963500977</v>
      </c>
      <c r="G30" s="103">
        <v>1.9249999523162842</v>
      </c>
      <c r="H30" s="91">
        <v>3.292424201965332</v>
      </c>
      <c r="I30" s="126">
        <v>2.2638888359069824</v>
      </c>
      <c r="J30" s="103">
        <v>4</v>
      </c>
      <c r="K30" s="110">
        <v>1.3333333730697632</v>
      </c>
      <c r="L30" s="110">
        <v>2</v>
      </c>
      <c r="M30" s="18">
        <v>1.7222222089767456</v>
      </c>
      <c r="N30" s="29">
        <v>1.6314394474029541</v>
      </c>
      <c r="O30" s="103">
        <v>1.4750000238418579</v>
      </c>
      <c r="P30" s="91">
        <v>1.7878787517547607</v>
      </c>
      <c r="Q30" s="19"/>
      <c r="R30" s="19"/>
      <c r="S30" s="19"/>
    </row>
    <row r="31" spans="1:19" x14ac:dyDescent="0.2">
      <c r="A31" s="83" t="s">
        <v>123</v>
      </c>
      <c r="B31" s="46" t="s">
        <v>124</v>
      </c>
      <c r="C31" s="82" t="s">
        <v>133</v>
      </c>
      <c r="D31" s="144">
        <v>43101</v>
      </c>
      <c r="E31" s="120">
        <f t="shared" si="2"/>
        <v>0.66055512428283691</v>
      </c>
      <c r="F31" s="134">
        <v>0.53535354137420654</v>
      </c>
      <c r="G31" s="103">
        <v>0.18181818723678589</v>
      </c>
      <c r="H31" s="91">
        <v>0.8888888955116272</v>
      </c>
      <c r="I31" s="126">
        <v>0.80767548084259033</v>
      </c>
      <c r="J31" s="103">
        <v>1.0657894611358643</v>
      </c>
      <c r="K31" s="110">
        <v>0.1315789520740509</v>
      </c>
      <c r="L31" s="110">
        <v>1.7000000476837158</v>
      </c>
      <c r="M31" s="18">
        <v>0.3333333432674408</v>
      </c>
      <c r="N31" s="29">
        <v>0.63863635063171387</v>
      </c>
      <c r="O31" s="103">
        <v>0.55000001192092896</v>
      </c>
      <c r="P31" s="91">
        <v>0.72727274894714355</v>
      </c>
      <c r="Q31" s="19"/>
      <c r="R31" s="19"/>
      <c r="S31" s="19"/>
    </row>
    <row r="32" spans="1:19" x14ac:dyDescent="0.2">
      <c r="A32" s="83" t="s">
        <v>86</v>
      </c>
      <c r="B32" s="46" t="s">
        <v>35</v>
      </c>
      <c r="C32" s="82" t="s">
        <v>133</v>
      </c>
      <c r="D32" s="144">
        <v>43101</v>
      </c>
      <c r="E32" s="120">
        <f t="shared" ref="E32" si="10">IF(AND(F32=".",I32=".",N32="."),".",AVERAGE(F32,I32,N32))</f>
        <v>1.7097380757331848</v>
      </c>
      <c r="F32" s="134">
        <v>2.022860050201416</v>
      </c>
      <c r="G32" s="103">
        <v>1.6626794338226318</v>
      </c>
      <c r="H32" s="91">
        <v>2.3830409049987793</v>
      </c>
      <c r="I32" s="126">
        <v>0.97828382253646851</v>
      </c>
      <c r="J32" s="103">
        <v>1.9578946828842163</v>
      </c>
      <c r="K32" s="110">
        <v>0.13255360722541809</v>
      </c>
      <c r="L32" s="110">
        <v>0.92307692766189575</v>
      </c>
      <c r="M32" s="18">
        <v>0.89961016178131104</v>
      </c>
      <c r="N32" s="29">
        <v>2.1280703544616699</v>
      </c>
      <c r="O32" s="103">
        <v>2.2561404705047607</v>
      </c>
      <c r="P32" s="91">
        <v>2</v>
      </c>
      <c r="Q32" s="19"/>
      <c r="R32" s="19"/>
      <c r="S32" s="19"/>
    </row>
    <row r="33" spans="1:19" x14ac:dyDescent="0.2">
      <c r="A33" s="83" t="s">
        <v>72</v>
      </c>
      <c r="B33" s="46" t="s">
        <v>40</v>
      </c>
      <c r="C33" s="82" t="s">
        <v>133</v>
      </c>
      <c r="D33" s="144">
        <v>43101</v>
      </c>
      <c r="E33" s="120">
        <f t="shared" si="2"/>
        <v>1.3797736565272014</v>
      </c>
      <c r="F33" s="134">
        <v>1.5828948020935059</v>
      </c>
      <c r="G33" s="103">
        <v>0.70789474248886108</v>
      </c>
      <c r="H33" s="91">
        <v>2.4578948020935059</v>
      </c>
      <c r="I33" s="126">
        <v>1.0856724977493286</v>
      </c>
      <c r="J33" s="103">
        <v>1.0263158082962036</v>
      </c>
      <c r="K33" s="110">
        <v>0.67251461744308472</v>
      </c>
      <c r="L33" s="110">
        <v>1.8105263710021973</v>
      </c>
      <c r="M33" s="18">
        <v>0.83333331346511841</v>
      </c>
      <c r="N33" s="29">
        <v>1.4707536697387695</v>
      </c>
      <c r="O33" s="103">
        <v>1.2907894849777222</v>
      </c>
      <c r="P33" s="91">
        <v>1.6507177352905273</v>
      </c>
      <c r="Q33" s="19"/>
      <c r="R33" s="19"/>
      <c r="S33" s="19"/>
    </row>
    <row r="34" spans="1:19" x14ac:dyDescent="0.2">
      <c r="A34" s="83" t="s">
        <v>73</v>
      </c>
      <c r="B34" s="46" t="s">
        <v>44</v>
      </c>
      <c r="C34" s="82" t="s">
        <v>133</v>
      </c>
      <c r="D34" s="144">
        <v>43101</v>
      </c>
      <c r="E34" s="120">
        <f t="shared" ref="E34" si="11">IF(AND(F34=".",I34=".",N34="."),".",AVERAGE(F34,I34,N34))</f>
        <v>1.4068924188613892</v>
      </c>
      <c r="F34" s="134">
        <v>1.8778908252716064</v>
      </c>
      <c r="G34" s="103">
        <v>1.4377990961074829</v>
      </c>
      <c r="H34" s="91">
        <v>2.3179824352264404</v>
      </c>
      <c r="I34" s="126">
        <v>1.1431652307510376</v>
      </c>
      <c r="J34" s="103">
        <v>0.63596493005752563</v>
      </c>
      <c r="K34" s="110">
        <v>0.80116957426071167</v>
      </c>
      <c r="L34" s="110">
        <v>1.7605262994766235</v>
      </c>
      <c r="M34" s="18">
        <v>1.375</v>
      </c>
      <c r="N34" s="29">
        <v>1.1996212005615234</v>
      </c>
      <c r="O34" s="103">
        <v>0.97500002384185791</v>
      </c>
      <c r="P34" s="91">
        <v>1.424242377281189</v>
      </c>
      <c r="Q34" s="19"/>
      <c r="R34" s="19"/>
      <c r="S34" s="19"/>
    </row>
    <row r="35" spans="1:19" x14ac:dyDescent="0.2">
      <c r="A35" s="83" t="s">
        <v>87</v>
      </c>
      <c r="B35" s="46" t="s">
        <v>50</v>
      </c>
      <c r="C35" s="82" t="s">
        <v>133</v>
      </c>
      <c r="D35" s="144">
        <v>43101</v>
      </c>
      <c r="E35" s="120">
        <f t="shared" si="2"/>
        <v>1.0108342170715332</v>
      </c>
      <c r="F35" s="134">
        <v>0.97348487377166748</v>
      </c>
      <c r="G35" s="103">
        <v>0.36363637447357178</v>
      </c>
      <c r="H35" s="91">
        <v>1.5833333730697632</v>
      </c>
      <c r="I35" s="126">
        <v>1.4624269008636475</v>
      </c>
      <c r="J35" s="103">
        <v>2.4780702590942383</v>
      </c>
      <c r="K35" s="110">
        <v>0.19298246502876282</v>
      </c>
      <c r="L35" s="110">
        <v>1.7999999523162842</v>
      </c>
      <c r="M35" s="18">
        <v>1.378654956817627</v>
      </c>
      <c r="N35" s="29">
        <v>0.59659087657928467</v>
      </c>
      <c r="O35" s="103">
        <v>0.375</v>
      </c>
      <c r="P35" s="91">
        <v>0.81818181276321411</v>
      </c>
      <c r="Q35" s="19"/>
      <c r="R35" s="19"/>
      <c r="S35" s="19"/>
    </row>
    <row r="36" spans="1:19" x14ac:dyDescent="0.2">
      <c r="A36" s="83" t="s">
        <v>99</v>
      </c>
      <c r="B36" s="46" t="s">
        <v>100</v>
      </c>
      <c r="C36" s="82" t="s">
        <v>133</v>
      </c>
      <c r="D36" s="144">
        <v>43101</v>
      </c>
      <c r="E36" s="120">
        <f t="shared" si="2"/>
        <v>1.2101768652598064</v>
      </c>
      <c r="F36" s="134">
        <v>1.3587021827697754</v>
      </c>
      <c r="G36" s="103">
        <v>1.1351674795150757</v>
      </c>
      <c r="H36" s="91">
        <v>1.5822368860244751</v>
      </c>
      <c r="I36" s="126">
        <v>1.0044041872024536</v>
      </c>
      <c r="J36" s="103">
        <v>0.66228067874908447</v>
      </c>
      <c r="K36" s="110">
        <v>8.2236841320991516E-2</v>
      </c>
      <c r="L36" s="110">
        <v>1.7000000476837158</v>
      </c>
      <c r="M36" s="18">
        <v>1.5730993747711182</v>
      </c>
      <c r="N36" s="29">
        <v>1.2674242258071899</v>
      </c>
      <c r="O36" s="103">
        <v>1.0499999523162842</v>
      </c>
      <c r="P36" s="91">
        <v>1.4848484992980957</v>
      </c>
      <c r="Q36" s="19"/>
      <c r="R36" s="19"/>
      <c r="S36" s="19"/>
    </row>
    <row r="37" spans="1:19" x14ac:dyDescent="0.2">
      <c r="A37" s="83" t="s">
        <v>88</v>
      </c>
      <c r="B37" s="46" t="s">
        <v>41</v>
      </c>
      <c r="C37" s="82" t="s">
        <v>133</v>
      </c>
      <c r="D37" s="144">
        <v>43101</v>
      </c>
      <c r="E37" s="120">
        <f t="shared" ref="E37" si="12">IF(AND(F37=".",I37=".",N37="."),".",AVERAGE(F37,I37,N37))</f>
        <v>1.3580387036005657</v>
      </c>
      <c r="F37" s="134">
        <v>0.99720895290374756</v>
      </c>
      <c r="G37" s="103">
        <v>0.80143541097640991</v>
      </c>
      <c r="H37" s="91">
        <v>1.1929824352264404</v>
      </c>
      <c r="I37" s="126">
        <v>1.5910818576812744</v>
      </c>
      <c r="J37" s="103">
        <v>1.0526316165924072</v>
      </c>
      <c r="K37" s="110">
        <v>2</v>
      </c>
      <c r="L37" s="110">
        <v>2.7999999523162842</v>
      </c>
      <c r="M37" s="18">
        <v>0.51169592142105103</v>
      </c>
      <c r="N37" s="29">
        <v>1.4858253002166748</v>
      </c>
      <c r="O37" s="103">
        <v>1.3065789937973022</v>
      </c>
      <c r="P37" s="91">
        <v>1.6650717258453369</v>
      </c>
      <c r="Q37" s="19"/>
      <c r="R37" s="19"/>
      <c r="S37" s="19"/>
    </row>
    <row r="38" spans="1:19" x14ac:dyDescent="0.2">
      <c r="A38" s="83" t="s">
        <v>89</v>
      </c>
      <c r="B38" s="46" t="s">
        <v>39</v>
      </c>
      <c r="C38" s="82" t="s">
        <v>133</v>
      </c>
      <c r="D38" s="144">
        <v>43101</v>
      </c>
      <c r="E38" s="120">
        <f t="shared" si="2"/>
        <v>1.0788520971934001</v>
      </c>
      <c r="F38" s="134">
        <v>0.61742424964904785</v>
      </c>
      <c r="G38" s="103">
        <v>0.31818181276321411</v>
      </c>
      <c r="H38" s="91">
        <v>0.91666668653488159</v>
      </c>
      <c r="I38" s="126">
        <v>1.1634502410888672</v>
      </c>
      <c r="J38" s="103">
        <v>2.6228070259094238</v>
      </c>
      <c r="K38" s="110">
        <v>6.4327485859394073E-2</v>
      </c>
      <c r="L38" s="110">
        <v>1.7999999523162842</v>
      </c>
      <c r="M38" s="18">
        <v>0.1666666716337204</v>
      </c>
      <c r="N38" s="29">
        <v>1.4556818008422852</v>
      </c>
      <c r="O38" s="103">
        <v>1.2749999761581421</v>
      </c>
      <c r="P38" s="91">
        <v>1.6363636255264282</v>
      </c>
      <c r="Q38" s="19"/>
      <c r="R38" s="19"/>
      <c r="S38" s="19"/>
    </row>
    <row r="39" spans="1:19" x14ac:dyDescent="0.2">
      <c r="A39" s="83" t="s">
        <v>74</v>
      </c>
      <c r="B39" s="46" t="s">
        <v>32</v>
      </c>
      <c r="C39" s="82" t="s">
        <v>133</v>
      </c>
      <c r="D39" s="144">
        <v>43101</v>
      </c>
      <c r="E39" s="120">
        <f t="shared" ref="E39:E42" si="13">IF(AND(F39=".",I39=".",N39="."),".",AVERAGE(F39,I39,N39))</f>
        <v>1.1728490988413494</v>
      </c>
      <c r="F39" s="134">
        <v>1.3421052694320679</v>
      </c>
      <c r="G39" s="103">
        <v>0.93421053886413574</v>
      </c>
      <c r="H39" s="91">
        <v>1.75</v>
      </c>
      <c r="I39" s="126">
        <v>0.68326020240783691</v>
      </c>
      <c r="J39" s="103">
        <v>0.42543858289718628</v>
      </c>
      <c r="K39" s="110">
        <v>0.6871345043182373</v>
      </c>
      <c r="L39" s="110">
        <v>1.1000000238418579</v>
      </c>
      <c r="M39" s="18">
        <v>0.52046781778335571</v>
      </c>
      <c r="N39" s="29">
        <v>1.4931818246841431</v>
      </c>
      <c r="O39" s="103">
        <v>1.3500000238418579</v>
      </c>
      <c r="P39" s="91">
        <v>1.6363636255264282</v>
      </c>
      <c r="Q39" s="19"/>
      <c r="R39" s="19"/>
      <c r="S39" s="19"/>
    </row>
    <row r="40" spans="1:19" x14ac:dyDescent="0.2">
      <c r="A40" s="83" t="s">
        <v>90</v>
      </c>
      <c r="B40" s="46" t="s">
        <v>26</v>
      </c>
      <c r="C40" s="82" t="s">
        <v>133</v>
      </c>
      <c r="D40" s="144">
        <v>43101</v>
      </c>
      <c r="E40" s="120">
        <f t="shared" si="13"/>
        <v>2.1122762759526572</v>
      </c>
      <c r="F40" s="134">
        <v>2.5529904365539551</v>
      </c>
      <c r="G40" s="103">
        <v>1.50789475440979</v>
      </c>
      <c r="H40" s="91">
        <v>3.5980861186981201</v>
      </c>
      <c r="I40" s="126">
        <v>1.5891813039779663</v>
      </c>
      <c r="J40" s="103">
        <v>1.9157894849777222</v>
      </c>
      <c r="K40" s="110">
        <v>0.72514617443084717</v>
      </c>
      <c r="L40" s="110">
        <v>2.9000000953674316</v>
      </c>
      <c r="M40" s="18">
        <v>0.81578946113586426</v>
      </c>
      <c r="N40" s="29">
        <v>2.1946570873260498</v>
      </c>
      <c r="O40" s="103">
        <v>1.7912280559539795</v>
      </c>
      <c r="P40" s="91">
        <v>2.5980861186981201</v>
      </c>
      <c r="Q40" s="19"/>
      <c r="R40" s="19"/>
      <c r="S40" s="19"/>
    </row>
    <row r="41" spans="1:19" x14ac:dyDescent="0.2">
      <c r="A41" s="83" t="s">
        <v>91</v>
      </c>
      <c r="B41" s="46" t="s">
        <v>52</v>
      </c>
      <c r="C41" s="82" t="s">
        <v>133</v>
      </c>
      <c r="D41" s="144">
        <v>43101</v>
      </c>
      <c r="E41" s="120">
        <f t="shared" si="13"/>
        <v>1.8712355295817058</v>
      </c>
      <c r="F41" s="134">
        <v>2.4242424964904785</v>
      </c>
      <c r="G41" s="103">
        <v>2.1616160869598389</v>
      </c>
      <c r="H41" s="91">
        <v>2.6868686676025391</v>
      </c>
      <c r="I41" s="126">
        <v>1.8469135761260986</v>
      </c>
      <c r="J41" s="103">
        <v>0.92592591047286987</v>
      </c>
      <c r="K41" s="110">
        <v>1.7283951044082642</v>
      </c>
      <c r="L41" s="110">
        <v>2.9000000953674316</v>
      </c>
      <c r="M41" s="18">
        <v>1.8333333730697632</v>
      </c>
      <c r="N41" s="29">
        <v>1.34255051612854</v>
      </c>
      <c r="O41" s="103">
        <v>1.230555534362793</v>
      </c>
      <c r="P41" s="91">
        <v>1.4545454978942871</v>
      </c>
      <c r="Q41" s="19"/>
      <c r="R41" s="19"/>
      <c r="S41" s="19"/>
    </row>
    <row r="42" spans="1:19" x14ac:dyDescent="0.2">
      <c r="A42" s="83" t="s">
        <v>81</v>
      </c>
      <c r="B42" s="46" t="s">
        <v>49</v>
      </c>
      <c r="C42" s="82" t="s">
        <v>133</v>
      </c>
      <c r="D42" s="144">
        <v>43101</v>
      </c>
      <c r="E42" s="120">
        <f t="shared" si="13"/>
        <v>0.63320708274841309</v>
      </c>
      <c r="F42" s="134">
        <v>0.3125</v>
      </c>
      <c r="G42" s="103">
        <v>0</v>
      </c>
      <c r="H42" s="91">
        <v>0.625</v>
      </c>
      <c r="I42" s="126">
        <v>0.59166669845581055</v>
      </c>
      <c r="J42" s="103">
        <v>0.3333333432674408</v>
      </c>
      <c r="K42" s="110">
        <v>0</v>
      </c>
      <c r="L42" s="110">
        <v>1.2000000476837158</v>
      </c>
      <c r="M42" s="18">
        <v>0.83333331346511841</v>
      </c>
      <c r="N42" s="29">
        <v>0.99545454978942871</v>
      </c>
      <c r="O42" s="103">
        <v>0.89999997615814209</v>
      </c>
      <c r="P42" s="91">
        <v>1.0909091234207153</v>
      </c>
      <c r="Q42" s="19"/>
      <c r="R42" s="19"/>
      <c r="S42" s="19"/>
    </row>
    <row r="43" spans="1:19" x14ac:dyDescent="0.2">
      <c r="A43" s="83" t="s">
        <v>105</v>
      </c>
      <c r="B43" s="46" t="s">
        <v>104</v>
      </c>
      <c r="C43" s="82" t="s">
        <v>133</v>
      </c>
      <c r="D43" s="144">
        <v>43466</v>
      </c>
      <c r="E43" s="120">
        <f t="shared" si="2"/>
        <v>1.2378446261088054</v>
      </c>
      <c r="F43" s="134">
        <v>0.96464645862579346</v>
      </c>
      <c r="G43" s="103">
        <v>0.81818181276321411</v>
      </c>
      <c r="H43" s="91">
        <v>1.1111111640930176</v>
      </c>
      <c r="I43" s="126">
        <v>1.2882813215255737</v>
      </c>
      <c r="J43" s="103">
        <v>1.2864583730697632</v>
      </c>
      <c r="K43" s="110">
        <v>0.66666668653488159</v>
      </c>
      <c r="L43" s="110">
        <v>1.7000000476837158</v>
      </c>
      <c r="M43" s="18">
        <v>1.5</v>
      </c>
      <c r="N43" s="29">
        <v>1.4606060981750488</v>
      </c>
      <c r="O43" s="103">
        <v>1.4666666984558105</v>
      </c>
      <c r="P43" s="91">
        <v>1.4545454978942871</v>
      </c>
      <c r="Q43" s="19"/>
      <c r="R43" s="19"/>
      <c r="S43" s="19"/>
    </row>
    <row r="44" spans="1:19" x14ac:dyDescent="0.2">
      <c r="A44" s="83"/>
      <c r="B44" s="225" t="s">
        <v>129</v>
      </c>
      <c r="C44" s="82"/>
      <c r="D44" s="140"/>
      <c r="E44" s="120"/>
      <c r="F44" s="134"/>
      <c r="G44" s="103"/>
      <c r="H44" s="91"/>
      <c r="I44" s="126"/>
      <c r="J44" s="103"/>
      <c r="K44" s="110"/>
      <c r="L44" s="110"/>
      <c r="M44" s="18"/>
      <c r="N44" s="29"/>
      <c r="O44" s="103"/>
      <c r="P44" s="91"/>
      <c r="Q44" s="20"/>
      <c r="R44" s="20"/>
      <c r="S44" s="20"/>
    </row>
    <row r="45" spans="1:19" x14ac:dyDescent="0.2">
      <c r="A45" s="83" t="s">
        <v>270</v>
      </c>
      <c r="B45" s="46" t="s">
        <v>269</v>
      </c>
      <c r="C45" s="82" t="s">
        <v>134</v>
      </c>
      <c r="D45" s="144">
        <v>43101</v>
      </c>
      <c r="E45" s="120">
        <f t="shared" ref="E45" si="14">IF(AND(F45=".",I45=".",N45="."),".",AVERAGE(F45,I45,N45))</f>
        <v>2.8089624245961509</v>
      </c>
      <c r="F45" s="134">
        <v>2.6946172714233398</v>
      </c>
      <c r="G45" s="103">
        <v>2.1500000953674316</v>
      </c>
      <c r="H45" s="91">
        <v>3.239234447479248</v>
      </c>
      <c r="I45" s="126">
        <v>2.2209064960479736</v>
      </c>
      <c r="J45" s="103">
        <v>1.9912281036376953</v>
      </c>
      <c r="K45" s="110">
        <v>2.8128654956817627</v>
      </c>
      <c r="L45" s="110">
        <v>2.2666666507720947</v>
      </c>
      <c r="M45" s="18">
        <v>1.8128654956817627</v>
      </c>
      <c r="N45" s="29">
        <v>3.5113635063171387</v>
      </c>
      <c r="O45" s="103">
        <v>3.75</v>
      </c>
      <c r="P45" s="91">
        <v>3.2727272510528564</v>
      </c>
      <c r="Q45" s="19"/>
      <c r="R45" s="19"/>
      <c r="S45" s="19"/>
    </row>
    <row r="46" spans="1:19" x14ac:dyDescent="0.2">
      <c r="A46" s="83" t="s">
        <v>75</v>
      </c>
      <c r="B46" s="46" t="s">
        <v>27</v>
      </c>
      <c r="C46" s="82" t="s">
        <v>133</v>
      </c>
      <c r="D46" s="144">
        <v>43101</v>
      </c>
      <c r="E46" s="120">
        <f t="shared" ref="E46:E55" si="15">IF(AND(F46=".",I46=".",N46="."),".",AVERAGE(F46,I46,N46))</f>
        <v>2.153866171836853</v>
      </c>
      <c r="F46" s="134">
        <v>2.7332534790039063</v>
      </c>
      <c r="G46" s="103">
        <v>2.3110048770904541</v>
      </c>
      <c r="H46" s="91">
        <v>3.1555023193359375</v>
      </c>
      <c r="I46" s="126">
        <v>1.5260721445083618</v>
      </c>
      <c r="J46" s="103">
        <v>1.4035087823867798</v>
      </c>
      <c r="K46" s="110">
        <v>8.9668616652488708E-2</v>
      </c>
      <c r="L46" s="110">
        <v>2.5</v>
      </c>
      <c r="M46" s="18">
        <v>2.1111111640930176</v>
      </c>
      <c r="N46" s="29">
        <v>2.202272891998291</v>
      </c>
      <c r="O46" s="103">
        <v>1.9500000476837158</v>
      </c>
      <c r="P46" s="91">
        <v>2.4545454978942871</v>
      </c>
      <c r="Q46" s="19"/>
      <c r="R46" s="19"/>
      <c r="S46" s="19"/>
    </row>
    <row r="47" spans="1:19" x14ac:dyDescent="0.2">
      <c r="A47" s="83" t="s">
        <v>103</v>
      </c>
      <c r="B47" s="46" t="s">
        <v>102</v>
      </c>
      <c r="C47" s="82" t="s">
        <v>133</v>
      </c>
      <c r="D47" s="144">
        <v>43466</v>
      </c>
      <c r="E47" s="120">
        <f t="shared" si="15"/>
        <v>1.2843145926793416</v>
      </c>
      <c r="F47" s="134">
        <v>1.7039473056793213</v>
      </c>
      <c r="G47" s="103">
        <v>1.1423444747924805</v>
      </c>
      <c r="H47" s="91">
        <v>2.2655501365661621</v>
      </c>
      <c r="I47" s="126">
        <v>0.94217836856842041</v>
      </c>
      <c r="J47" s="103">
        <v>0.68859648704528809</v>
      </c>
      <c r="K47" s="110">
        <v>0.74561405181884766</v>
      </c>
      <c r="L47" s="110">
        <v>1.7000000476837158</v>
      </c>
      <c r="M47" s="18">
        <v>0.63450294733047485</v>
      </c>
      <c r="N47" s="29">
        <v>1.2068181037902832</v>
      </c>
      <c r="O47" s="103">
        <v>1.0499999523162842</v>
      </c>
      <c r="P47" s="91">
        <v>1.3636363744735718</v>
      </c>
      <c r="Q47" s="19"/>
      <c r="R47" s="19"/>
      <c r="S47" s="19"/>
    </row>
    <row r="48" spans="1:19" x14ac:dyDescent="0.2">
      <c r="A48" s="83" t="s">
        <v>106</v>
      </c>
      <c r="B48" s="46" t="s">
        <v>151</v>
      </c>
      <c r="C48" s="82" t="s">
        <v>134</v>
      </c>
      <c r="D48" s="144">
        <v>43831</v>
      </c>
      <c r="E48" s="120">
        <f t="shared" si="15"/>
        <v>3.5260964234670005</v>
      </c>
      <c r="F48" s="134">
        <v>3.1413874626159668</v>
      </c>
      <c r="G48" s="103">
        <v>3.005263090133667</v>
      </c>
      <c r="H48" s="91">
        <v>3.2775118350982666</v>
      </c>
      <c r="I48" s="126">
        <v>2.92960524559021</v>
      </c>
      <c r="J48" s="103">
        <v>4.425438404083252</v>
      </c>
      <c r="K48" s="110">
        <v>3.6169590950012207</v>
      </c>
      <c r="L48" s="110">
        <v>2.1701755523681641</v>
      </c>
      <c r="M48" s="18">
        <v>1.5058479309082031</v>
      </c>
      <c r="N48" s="29">
        <v>4.5072965621948242</v>
      </c>
      <c r="O48" s="103">
        <v>5.0552630424499512</v>
      </c>
      <c r="P48" s="91">
        <v>3.9593300819396973</v>
      </c>
      <c r="Q48" s="19"/>
      <c r="R48" s="19"/>
      <c r="S48" s="19"/>
    </row>
    <row r="49" spans="1:35" x14ac:dyDescent="0.2">
      <c r="A49" s="83" t="s">
        <v>93</v>
      </c>
      <c r="B49" s="46" t="s">
        <v>18</v>
      </c>
      <c r="C49" s="82" t="s">
        <v>133</v>
      </c>
      <c r="D49" s="144">
        <v>43466</v>
      </c>
      <c r="E49" s="120">
        <f t="shared" si="15"/>
        <v>1.1523059407869976</v>
      </c>
      <c r="F49" s="134">
        <v>1.617457389831543</v>
      </c>
      <c r="G49" s="103">
        <v>1.2224880456924438</v>
      </c>
      <c r="H49" s="91">
        <v>2.0124268531799316</v>
      </c>
      <c r="I49" s="126">
        <v>0.80650585889816284</v>
      </c>
      <c r="J49" s="103">
        <v>0.74122804403305054</v>
      </c>
      <c r="K49" s="110">
        <v>0.27192983031272888</v>
      </c>
      <c r="L49" s="110">
        <v>1.3999999761581421</v>
      </c>
      <c r="M49" s="18">
        <v>0.8128654956817627</v>
      </c>
      <c r="N49" s="29">
        <v>1.0329545736312866</v>
      </c>
      <c r="O49" s="103">
        <v>0.97500002384185791</v>
      </c>
      <c r="P49" s="91">
        <v>1.0909091234207153</v>
      </c>
      <c r="Q49" s="19"/>
      <c r="R49" s="19"/>
      <c r="S49" s="19"/>
    </row>
    <row r="50" spans="1:35" ht="14.25" x14ac:dyDescent="0.2">
      <c r="A50" s="83" t="s">
        <v>108</v>
      </c>
      <c r="B50" s="46" t="s">
        <v>232</v>
      </c>
      <c r="C50" s="82" t="s">
        <v>133</v>
      </c>
      <c r="D50" s="144">
        <v>43466</v>
      </c>
      <c r="E50" s="120">
        <f t="shared" si="15"/>
        <v>1.7660287618637085</v>
      </c>
      <c r="F50" s="134">
        <v>2.3842105865478516</v>
      </c>
      <c r="G50" s="103">
        <v>2.3842105865478516</v>
      </c>
      <c r="H50" s="91" t="s">
        <v>173</v>
      </c>
      <c r="I50" s="126">
        <v>1.242165207862854</v>
      </c>
      <c r="J50" s="103" t="s">
        <v>173</v>
      </c>
      <c r="K50" s="110">
        <v>2</v>
      </c>
      <c r="L50" s="110">
        <v>1.615384578704834</v>
      </c>
      <c r="M50" s="18">
        <v>0.1111111119389534</v>
      </c>
      <c r="N50" s="29">
        <v>1.6717104911804199</v>
      </c>
      <c r="O50" s="103">
        <v>1.5592105388641357</v>
      </c>
      <c r="P50" s="91">
        <v>1.7842105627059937</v>
      </c>
      <c r="Q50" s="19"/>
      <c r="R50" s="19"/>
      <c r="S50" s="19"/>
    </row>
    <row r="51" spans="1:35" x14ac:dyDescent="0.2">
      <c r="A51" s="83" t="s">
        <v>118</v>
      </c>
      <c r="B51" s="46" t="s">
        <v>117</v>
      </c>
      <c r="C51" s="82" t="s">
        <v>133</v>
      </c>
      <c r="D51" s="144">
        <v>43831</v>
      </c>
      <c r="E51" s="120">
        <f t="shared" ref="E51" si="16">IF(AND(F51=".",I51=".",N51="."),".",AVERAGE(F51,I51,N51))</f>
        <v>3.1144415537516275</v>
      </c>
      <c r="F51" s="134">
        <v>3.436342716217041</v>
      </c>
      <c r="G51" s="104">
        <v>3.4305555820465088</v>
      </c>
      <c r="H51" s="92">
        <v>3.4421296119689941</v>
      </c>
      <c r="I51" s="126">
        <v>1.968724250793457</v>
      </c>
      <c r="J51" s="103">
        <v>2.6611111164093018</v>
      </c>
      <c r="K51" s="110">
        <v>1.3816872835159302</v>
      </c>
      <c r="L51" s="110">
        <v>2.0203704833984375</v>
      </c>
      <c r="M51" s="18">
        <v>1.8117283582687378</v>
      </c>
      <c r="N51" s="29">
        <v>3.9382576942443848</v>
      </c>
      <c r="O51" s="104">
        <v>4.0305557250976563</v>
      </c>
      <c r="P51" s="92">
        <v>3.8459596633911133</v>
      </c>
      <c r="Q51" s="19"/>
      <c r="R51" s="19"/>
      <c r="S51" s="19"/>
    </row>
    <row r="52" spans="1:35" x14ac:dyDescent="0.2">
      <c r="A52" s="83" t="s">
        <v>120</v>
      </c>
      <c r="B52" s="46" t="s">
        <v>119</v>
      </c>
      <c r="C52" s="82" t="s">
        <v>133</v>
      </c>
      <c r="D52" s="144">
        <v>43466</v>
      </c>
      <c r="E52" s="120">
        <f t="shared" si="15"/>
        <v>1.9690181612968445</v>
      </c>
      <c r="F52" s="134">
        <v>3.5355262756347656</v>
      </c>
      <c r="G52" s="104">
        <v>3.5355262756347656</v>
      </c>
      <c r="H52" s="92" t="s">
        <v>173</v>
      </c>
      <c r="I52" s="126">
        <v>0.77834635972976685</v>
      </c>
      <c r="J52" s="103" t="s">
        <v>173</v>
      </c>
      <c r="K52" s="110">
        <v>0</v>
      </c>
      <c r="L52" s="110">
        <v>1.125</v>
      </c>
      <c r="M52" s="18">
        <v>1.2100390195846558</v>
      </c>
      <c r="N52" s="29">
        <v>1.593181848526001</v>
      </c>
      <c r="O52" s="104">
        <v>1.5499999523162842</v>
      </c>
      <c r="P52" s="92">
        <v>1.6363636255264282</v>
      </c>
      <c r="Q52" s="19"/>
      <c r="R52" s="19"/>
      <c r="S52" s="19"/>
    </row>
    <row r="53" spans="1:35" x14ac:dyDescent="0.2">
      <c r="A53" s="83" t="s">
        <v>115</v>
      </c>
      <c r="B53" s="46" t="s">
        <v>152</v>
      </c>
      <c r="C53" s="82" t="s">
        <v>134</v>
      </c>
      <c r="D53" s="144">
        <v>43831</v>
      </c>
      <c r="E53" s="120">
        <f t="shared" si="15"/>
        <v>2.2063130935033164</v>
      </c>
      <c r="F53" s="134">
        <v>2.3204545974731445</v>
      </c>
      <c r="G53" s="104">
        <v>1.5499999523162842</v>
      </c>
      <c r="H53" s="92">
        <v>3.0909090042114258</v>
      </c>
      <c r="I53" s="126">
        <v>1.6499999761581421</v>
      </c>
      <c r="J53" s="103">
        <v>1</v>
      </c>
      <c r="K53" s="110">
        <v>2</v>
      </c>
      <c r="L53" s="110">
        <v>2.0999999046325684</v>
      </c>
      <c r="M53" s="18">
        <v>1.5</v>
      </c>
      <c r="N53" s="29">
        <v>2.6484847068786621</v>
      </c>
      <c r="O53" s="104">
        <v>3.5999999046325684</v>
      </c>
      <c r="P53" s="92">
        <v>1.696969747543335</v>
      </c>
      <c r="Q53" s="19"/>
      <c r="R53" s="19"/>
      <c r="S53" s="19"/>
    </row>
    <row r="54" spans="1:35" x14ac:dyDescent="0.2">
      <c r="A54" s="83" t="s">
        <v>271</v>
      </c>
      <c r="B54" s="46" t="s">
        <v>272</v>
      </c>
      <c r="C54" s="82" t="s">
        <v>133</v>
      </c>
      <c r="D54" s="144">
        <v>43466</v>
      </c>
      <c r="E54" s="120">
        <f t="shared" ref="E54" si="17">IF(AND(F54=".",I54=".",N54="."),".",AVERAGE(F54,I54,N54))</f>
        <v>1.0935124158859253</v>
      </c>
      <c r="F54" s="134">
        <v>1.5629984140396118</v>
      </c>
      <c r="G54" s="103">
        <v>1.3540669679641724</v>
      </c>
      <c r="H54" s="91">
        <v>1.7719298601150513</v>
      </c>
      <c r="I54" s="126">
        <v>1.1629934310913086</v>
      </c>
      <c r="J54" s="103">
        <v>0.98245614767074585</v>
      </c>
      <c r="K54" s="110">
        <v>0.80701756477355957</v>
      </c>
      <c r="L54" s="110">
        <v>1.7999999523162842</v>
      </c>
      <c r="M54" s="18">
        <v>1.0625</v>
      </c>
      <c r="N54" s="29">
        <v>0.55454540252685547</v>
      </c>
      <c r="O54" s="103">
        <v>0.53333330154418945</v>
      </c>
      <c r="P54" s="91">
        <v>0.57575756311416626</v>
      </c>
      <c r="Q54" s="19"/>
      <c r="R54" s="19"/>
      <c r="S54" s="19"/>
    </row>
    <row r="55" spans="1:35" x14ac:dyDescent="0.2">
      <c r="A55" s="83" t="s">
        <v>94</v>
      </c>
      <c r="B55" s="46" t="s">
        <v>53</v>
      </c>
      <c r="C55" s="82" t="s">
        <v>133</v>
      </c>
      <c r="D55" s="144">
        <v>43101</v>
      </c>
      <c r="E55" s="120">
        <f t="shared" si="15"/>
        <v>2.722350001335144</v>
      </c>
      <c r="F55" s="134">
        <v>3.9280862808227539</v>
      </c>
      <c r="G55" s="104">
        <v>4.2111110687255859</v>
      </c>
      <c r="H55" s="92">
        <v>3.645061731338501</v>
      </c>
      <c r="I55" s="126">
        <v>1.5430041551589966</v>
      </c>
      <c r="J55" s="103">
        <v>2.5185184478759766</v>
      </c>
      <c r="K55" s="110">
        <v>1.0123456716537476</v>
      </c>
      <c r="L55" s="110">
        <v>2.303703784942627</v>
      </c>
      <c r="M55" s="18">
        <v>0.33744856715202332</v>
      </c>
      <c r="N55" s="29">
        <v>2.6959595680236816</v>
      </c>
      <c r="O55" s="104">
        <v>2.7555556297302246</v>
      </c>
      <c r="P55" s="92">
        <v>2.6363637447357178</v>
      </c>
      <c r="Q55" s="19"/>
      <c r="R55" s="19"/>
      <c r="S55" s="19"/>
    </row>
    <row r="56" spans="1:35" x14ac:dyDescent="0.2">
      <c r="A56" s="87"/>
      <c r="B56" s="46"/>
      <c r="C56" s="85"/>
      <c r="E56" s="120"/>
      <c r="F56" s="134"/>
      <c r="G56" s="103"/>
      <c r="H56" s="91"/>
      <c r="I56" s="126"/>
      <c r="J56" s="103"/>
      <c r="K56" s="110"/>
      <c r="L56" s="110"/>
      <c r="M56" s="18"/>
      <c r="N56" s="29"/>
      <c r="O56" s="103"/>
      <c r="P56" s="91"/>
      <c r="Q56" s="19"/>
      <c r="R56" s="19"/>
      <c r="S56" s="19"/>
    </row>
    <row r="57" spans="1:35" ht="21" customHeight="1" x14ac:dyDescent="0.2">
      <c r="A57" s="95"/>
      <c r="B57" s="150" t="s">
        <v>156</v>
      </c>
      <c r="C57" s="96"/>
      <c r="D57" s="68"/>
      <c r="E57" s="121">
        <f t="shared" ref="E57:P57" si="18">AVERAGE(E6:E43)</f>
        <v>1.4601073280761112</v>
      </c>
      <c r="F57" s="136">
        <f t="shared" si="18"/>
        <v>1.5741480181091709</v>
      </c>
      <c r="G57" s="105">
        <f t="shared" si="18"/>
        <v>1.2314686304644535</v>
      </c>
      <c r="H57" s="98">
        <f t="shared" si="18"/>
        <v>1.8675815065701802</v>
      </c>
      <c r="I57" s="128">
        <f t="shared" si="18"/>
        <v>1.3450693535177332</v>
      </c>
      <c r="J57" s="105">
        <f t="shared" si="18"/>
        <v>1.6646801168854173</v>
      </c>
      <c r="K57" s="113">
        <f t="shared" si="18"/>
        <v>0.80957652324516527</v>
      </c>
      <c r="L57" s="113">
        <f t="shared" si="18"/>
        <v>1.8503344404070001</v>
      </c>
      <c r="M57" s="97">
        <f t="shared" si="18"/>
        <v>1.0704283584889613</v>
      </c>
      <c r="N57" s="118">
        <f t="shared" si="18"/>
        <v>1.4611046126014309</v>
      </c>
      <c r="O57" s="105">
        <f t="shared" si="18"/>
        <v>1.3365024328231812</v>
      </c>
      <c r="P57" s="98">
        <f t="shared" si="18"/>
        <v>1.5857068025752117</v>
      </c>
      <c r="Q57" s="19"/>
      <c r="R57" s="19"/>
      <c r="S57" s="19"/>
    </row>
    <row r="58" spans="1:35" ht="25.5" x14ac:dyDescent="0.2">
      <c r="A58" s="87"/>
      <c r="B58" s="151" t="s">
        <v>146</v>
      </c>
      <c r="C58" s="85"/>
      <c r="D58" s="139"/>
      <c r="E58" s="122">
        <f t="shared" ref="E58:P58" si="19">AVERAGE(SMALL(E6:E43,1),SMALL(E6:E43,2),SMALL(E6:E43,3),SMALL(E6:E43,4),SMALL(E6:E43,5))</f>
        <v>0.79768245220184331</v>
      </c>
      <c r="F58" s="137">
        <f t="shared" si="19"/>
        <v>0.58341788053512578</v>
      </c>
      <c r="G58" s="106">
        <f t="shared" si="19"/>
        <v>0.20909091234207153</v>
      </c>
      <c r="H58" s="93">
        <f t="shared" si="19"/>
        <v>0.83225308656692509</v>
      </c>
      <c r="I58" s="129">
        <f t="shared" si="19"/>
        <v>0.7095132112503052</v>
      </c>
      <c r="J58" s="106">
        <f t="shared" si="19"/>
        <v>0.42207602262496946</v>
      </c>
      <c r="K58" s="114">
        <f t="shared" si="19"/>
        <v>2.4366471916437149E-2</v>
      </c>
      <c r="L58" s="114">
        <f t="shared" si="19"/>
        <v>1.0246154069900513</v>
      </c>
      <c r="M58" s="21">
        <f t="shared" si="19"/>
        <v>0.32222222983837129</v>
      </c>
      <c r="N58" s="32">
        <f t="shared" si="19"/>
        <v>0.72607254981994629</v>
      </c>
      <c r="O58" s="106">
        <f t="shared" si="19"/>
        <v>0.59394736289978023</v>
      </c>
      <c r="P58" s="93">
        <f t="shared" si="19"/>
        <v>0.80505049824714658</v>
      </c>
      <c r="Q58" s="26"/>
      <c r="R58" s="26"/>
      <c r="S58" s="26"/>
    </row>
    <row r="59" spans="1:35" ht="25.5" x14ac:dyDescent="0.2">
      <c r="A59" s="88"/>
      <c r="B59" s="152" t="s">
        <v>158</v>
      </c>
      <c r="C59" s="86"/>
      <c r="D59" s="148"/>
      <c r="E59" s="123">
        <f t="shared" ref="E59:P59" si="20">AVERAGE(LARGE(E6:E43,1),LARGE(E6:E43,2),LARGE(E6:E43,3),LARGE(E6:E43,4),LARGE(E6:E43,5))</f>
        <v>2.4412561416625977</v>
      </c>
      <c r="F59" s="138">
        <f t="shared" si="20"/>
        <v>3.0667041778564452</v>
      </c>
      <c r="G59" s="107">
        <f t="shared" si="20"/>
        <v>2.8353684425354002</v>
      </c>
      <c r="H59" s="94">
        <f t="shared" si="20"/>
        <v>3.426427459716797</v>
      </c>
      <c r="I59" s="130">
        <f t="shared" si="20"/>
        <v>2.3873256206512452</v>
      </c>
      <c r="J59" s="107">
        <f t="shared" si="20"/>
        <v>4.3265263557434084</v>
      </c>
      <c r="K59" s="115">
        <f t="shared" si="20"/>
        <v>2.3087718963623045</v>
      </c>
      <c r="L59" s="115">
        <f t="shared" si="20"/>
        <v>2.68666672706604</v>
      </c>
      <c r="M59" s="22">
        <f t="shared" si="20"/>
        <v>1.9888888835906982</v>
      </c>
      <c r="N59" s="33">
        <f t="shared" si="20"/>
        <v>2.235999584197998</v>
      </c>
      <c r="O59" s="107">
        <f t="shared" si="20"/>
        <v>2.2905731678009031</v>
      </c>
      <c r="P59" s="94">
        <f t="shared" si="20"/>
        <v>2.4236044883728027</v>
      </c>
      <c r="Q59" s="26"/>
      <c r="R59" s="26"/>
      <c r="S59" s="26"/>
    </row>
    <row r="60" spans="1:35" s="27" customFormat="1" x14ac:dyDescent="0.2">
      <c r="C60" s="78"/>
      <c r="D60" s="139"/>
      <c r="E60" s="25"/>
      <c r="F60" s="25"/>
      <c r="G60" s="25"/>
      <c r="H60" s="25"/>
      <c r="I60" s="25"/>
      <c r="J60" s="25"/>
      <c r="K60" s="25"/>
      <c r="L60" s="25"/>
      <c r="M60" s="25"/>
      <c r="N60" s="25"/>
    </row>
    <row r="61" spans="1:35" s="27" customFormat="1" x14ac:dyDescent="0.2">
      <c r="A61" s="13" t="s">
        <v>277</v>
      </c>
      <c r="B61" s="78"/>
      <c r="C61" s="140"/>
      <c r="D61" s="25"/>
      <c r="E61" s="25"/>
      <c r="F61" s="25"/>
      <c r="G61" s="25"/>
      <c r="H61" s="25"/>
      <c r="I61" s="25"/>
      <c r="J61" s="25"/>
      <c r="K61" s="25"/>
      <c r="L61" s="25"/>
    </row>
    <row r="62" spans="1:35" s="28" customFormat="1" x14ac:dyDescent="0.2">
      <c r="A62" s="13" t="s">
        <v>59</v>
      </c>
      <c r="B62" s="79"/>
      <c r="C62" s="140"/>
      <c r="D62" s="25"/>
      <c r="E62" s="25"/>
      <c r="F62" s="25"/>
      <c r="G62" s="25"/>
      <c r="H62" s="25"/>
      <c r="I62" s="25"/>
      <c r="J62" s="25"/>
      <c r="K62" s="25"/>
      <c r="L62" s="25"/>
      <c r="M62" s="25"/>
      <c r="N62" s="25"/>
      <c r="O62" s="25"/>
      <c r="P62" s="25"/>
      <c r="Q62" s="25"/>
      <c r="R62" s="25"/>
      <c r="S62" s="25"/>
      <c r="T62" s="25"/>
      <c r="U62" s="25"/>
      <c r="V62" s="25"/>
    </row>
    <row r="63" spans="1:35" s="28" customFormat="1" x14ac:dyDescent="0.2">
      <c r="A63" s="13"/>
      <c r="B63" s="79"/>
      <c r="C63" s="140"/>
      <c r="D63" s="25"/>
      <c r="E63" s="25"/>
      <c r="F63" s="25"/>
      <c r="G63" s="25"/>
      <c r="H63" s="25"/>
      <c r="I63" s="25"/>
      <c r="J63" s="25"/>
      <c r="K63" s="25"/>
      <c r="L63" s="25"/>
      <c r="M63" s="25"/>
      <c r="N63" s="25"/>
      <c r="O63" s="25"/>
      <c r="P63" s="25"/>
      <c r="Q63" s="25"/>
      <c r="R63" s="25"/>
      <c r="S63" s="25"/>
      <c r="T63" s="25"/>
      <c r="U63" s="25"/>
      <c r="V63" s="25"/>
    </row>
    <row r="64" spans="1:35" customFormat="1" ht="22.5" customHeight="1" x14ac:dyDescent="0.2">
      <c r="A64" s="12" t="s">
        <v>56</v>
      </c>
      <c r="B64" s="78"/>
      <c r="C64" s="140"/>
      <c r="D64" s="10"/>
      <c r="E64" s="10"/>
      <c r="F64" s="10"/>
      <c r="G64" s="10"/>
      <c r="H64" s="10"/>
      <c r="I64" s="10"/>
      <c r="J64" s="10"/>
      <c r="K64" s="10"/>
      <c r="L64" s="10"/>
      <c r="M64" s="10"/>
      <c r="N64" s="10"/>
      <c r="O64" s="10"/>
      <c r="P64" s="10"/>
      <c r="Q64" s="10"/>
      <c r="R64" s="10"/>
      <c r="S64" s="10"/>
      <c r="T64" s="10"/>
      <c r="U64" s="10"/>
      <c r="V64" s="10"/>
      <c r="AA64" s="1"/>
      <c r="AB64" s="1"/>
      <c r="AC64" s="1"/>
      <c r="AD64" s="1"/>
      <c r="AE64" s="1"/>
      <c r="AF64" s="1"/>
      <c r="AG64" s="1"/>
      <c r="AH64" s="1"/>
      <c r="AI64" s="1"/>
    </row>
    <row r="65" spans="1:36" s="14" customFormat="1" ht="22.5" customHeight="1" x14ac:dyDescent="0.2">
      <c r="A65" s="43" t="s">
        <v>135</v>
      </c>
      <c r="B65" s="80"/>
      <c r="C65" s="140"/>
      <c r="D65" s="11"/>
      <c r="E65" s="11"/>
      <c r="F65" s="11"/>
      <c r="G65" s="11"/>
      <c r="H65" s="11"/>
      <c r="I65" s="11"/>
      <c r="J65" s="1"/>
      <c r="K65" s="1"/>
      <c r="L65" s="1"/>
      <c r="M65" s="1"/>
      <c r="N65" s="1"/>
      <c r="O65" s="1"/>
      <c r="P65" s="1"/>
      <c r="Q65" s="1"/>
      <c r="R65" s="1"/>
      <c r="S65" s="1"/>
      <c r="T65" s="1"/>
      <c r="U65" s="1"/>
      <c r="V65" s="1"/>
      <c r="W65" s="1"/>
      <c r="X65" s="12"/>
      <c r="Z65" s="1"/>
      <c r="AA65" s="1"/>
      <c r="AB65" s="1"/>
      <c r="AC65" s="1"/>
      <c r="AD65" s="1"/>
      <c r="AE65" s="1"/>
      <c r="AF65" s="1"/>
      <c r="AG65" s="1"/>
      <c r="AH65" s="1"/>
      <c r="AI65" s="1"/>
      <c r="AJ65" s="1"/>
    </row>
    <row r="66" spans="1:36" s="14" customFormat="1" ht="19.5" customHeight="1" x14ac:dyDescent="0.2">
      <c r="A66" s="43" t="s">
        <v>259</v>
      </c>
      <c r="B66" s="80"/>
      <c r="C66" s="140"/>
      <c r="D66" s="11"/>
      <c r="E66" s="11"/>
      <c r="F66" s="11"/>
      <c r="G66" s="11"/>
      <c r="H66" s="11"/>
      <c r="I66" s="11"/>
      <c r="J66" s="1"/>
      <c r="K66" s="1"/>
      <c r="L66" s="1"/>
      <c r="M66" s="1"/>
      <c r="N66" s="1"/>
      <c r="O66" s="1"/>
      <c r="P66" s="1"/>
      <c r="Q66" s="1"/>
      <c r="R66" s="1"/>
      <c r="S66" s="1"/>
      <c r="T66" s="1"/>
      <c r="U66" s="1"/>
      <c r="V66" s="1"/>
      <c r="W66" s="1"/>
      <c r="X66" s="12"/>
      <c r="Z66" s="1"/>
      <c r="AA66" s="1"/>
      <c r="AB66" s="1"/>
      <c r="AC66" s="1"/>
      <c r="AD66" s="1"/>
      <c r="AE66" s="1"/>
      <c r="AF66" s="1"/>
      <c r="AG66" s="1"/>
      <c r="AH66" s="1"/>
      <c r="AI66" s="1"/>
      <c r="AJ66" s="1"/>
    </row>
    <row r="67" spans="1:36" ht="22.5" customHeight="1" x14ac:dyDescent="0.2">
      <c r="A67" s="44" t="s">
        <v>276</v>
      </c>
      <c r="B67" s="77"/>
      <c r="C67" s="141"/>
      <c r="D67" s="16"/>
      <c r="P67" s="15"/>
    </row>
    <row r="68" spans="1:36" ht="22.5" customHeight="1" x14ac:dyDescent="0.2">
      <c r="A68" s="24" t="s">
        <v>55</v>
      </c>
      <c r="B68" s="77"/>
      <c r="C68" s="141"/>
      <c r="D68" s="16"/>
      <c r="P68" s="15"/>
    </row>
    <row r="69" spans="1:36" ht="22.5" customHeight="1" x14ac:dyDescent="0.2">
      <c r="A69" s="24" t="s">
        <v>233</v>
      </c>
      <c r="B69" s="77"/>
      <c r="C69" s="10"/>
      <c r="D69" s="16"/>
      <c r="P69" s="15"/>
    </row>
    <row r="70" spans="1:36" ht="22.5" customHeight="1" x14ac:dyDescent="0.2">
      <c r="A70" s="11" t="s">
        <v>234</v>
      </c>
      <c r="B70" s="77"/>
      <c r="C70" s="10"/>
      <c r="D70" s="16"/>
      <c r="P70" s="15"/>
    </row>
    <row r="71" spans="1:36" ht="22.5" customHeight="1" x14ac:dyDescent="0.2">
      <c r="A71" s="20" t="s">
        <v>235</v>
      </c>
      <c r="B71" s="77"/>
      <c r="C71" s="10"/>
      <c r="D71" s="16"/>
      <c r="P71" s="15"/>
    </row>
    <row r="72" spans="1:36" ht="22.5" customHeight="1" x14ac:dyDescent="0.2">
      <c r="A72" s="20" t="s">
        <v>236</v>
      </c>
      <c r="B72" s="77"/>
      <c r="C72" s="10"/>
      <c r="D72" s="16"/>
      <c r="P72" s="15"/>
    </row>
    <row r="73" spans="1:36" ht="22.5" customHeight="1" x14ac:dyDescent="0.2">
      <c r="A73" s="20" t="s">
        <v>240</v>
      </c>
      <c r="B73" s="77"/>
      <c r="C73" s="10"/>
      <c r="D73" s="16"/>
      <c r="P73" s="15"/>
    </row>
    <row r="74" spans="1:36" ht="22.5" customHeight="1" x14ac:dyDescent="0.2">
      <c r="A74" s="20" t="s">
        <v>237</v>
      </c>
      <c r="B74" s="77"/>
      <c r="C74" s="10"/>
      <c r="D74" s="16"/>
      <c r="P74" s="15"/>
    </row>
    <row r="75" spans="1:36" ht="22.5" customHeight="1" x14ac:dyDescent="0.2">
      <c r="A75" s="15" t="s">
        <v>238</v>
      </c>
      <c r="B75" s="77"/>
      <c r="C75" s="10"/>
      <c r="D75" s="16"/>
      <c r="P75" s="15"/>
    </row>
    <row r="76" spans="1:36" ht="22.5" customHeight="1" x14ac:dyDescent="0.2">
      <c r="A76" s="15" t="s">
        <v>239</v>
      </c>
      <c r="B76" s="77"/>
      <c r="C76" s="10"/>
      <c r="D76" s="16"/>
      <c r="P76" s="15"/>
    </row>
  </sheetData>
  <sortState xmlns:xlrd2="http://schemas.microsoft.com/office/spreadsheetml/2017/richdata2" ref="B61:E94">
    <sortCondition ref="E61:E94"/>
  </sortState>
  <mergeCells count="7">
    <mergeCell ref="I3:M3"/>
    <mergeCell ref="N3:P3"/>
    <mergeCell ref="B3:B4"/>
    <mergeCell ref="C3:C4"/>
    <mergeCell ref="A3:A4"/>
    <mergeCell ref="D3:D4"/>
    <mergeCell ref="F3:H3"/>
  </mergeCells>
  <conditionalFormatting sqref="E57:E58">
    <cfRule type="cellIs" dxfId="7" priority="1" operator="greaterThan">
      <formula>1.38</formula>
    </cfRule>
  </conditionalFormatting>
  <pageMargins left="0.7" right="0.7" top="0.75" bottom="0.75" header="0.3" footer="0.3"/>
  <pageSetup paperSize="9" scale="96" fitToWidth="0" orientation="landscape" r:id="rId1"/>
  <headerFooter>
    <oddFooter>&amp;R_x000D_&amp;1#&amp;"Calibri"&amp;10&amp;K000000 Official Use Only</oddFooter>
  </headerFooter>
  <colBreaks count="2" manualBreakCount="2">
    <brk id="8" min="1" max="12" man="1"/>
    <brk id="13" min="1" max="1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DAF8A-C470-4C22-B7C0-DF0475ECAEAC}">
  <dimension ref="A1:XH77"/>
  <sheetViews>
    <sheetView zoomScale="70" zoomScaleNormal="70" workbookViewId="0">
      <pane xSplit="2" ySplit="5" topLeftCell="C21" activePane="bottomRight" state="frozen"/>
      <selection pane="topRight" activeCell="B1" sqref="B1"/>
      <selection pane="bottomLeft" activeCell="A8" sqref="A8"/>
      <selection pane="bottomRight" activeCell="C11" sqref="C11:C17"/>
    </sheetView>
  </sheetViews>
  <sheetFormatPr defaultColWidth="9.140625" defaultRowHeight="12.75" x14ac:dyDescent="0.2"/>
  <cols>
    <col min="1" max="1" width="17.42578125" style="15" customWidth="1"/>
    <col min="2" max="2" width="27.85546875" style="15" customWidth="1"/>
    <col min="3" max="3" width="25.140625" style="15" customWidth="1"/>
    <col min="4" max="4" width="20.5703125" style="10" customWidth="1"/>
    <col min="5" max="5" width="14.28515625" style="16" customWidth="1"/>
    <col min="6" max="11" width="17.5703125" style="16" customWidth="1"/>
    <col min="12" max="12" width="15" style="16" customWidth="1"/>
    <col min="13" max="13" width="9.140625" style="16" customWidth="1"/>
    <col min="14" max="16384" width="9.140625" style="15"/>
  </cols>
  <sheetData>
    <row r="1" spans="1:13" ht="18" x14ac:dyDescent="0.2">
      <c r="A1" s="58" t="s">
        <v>228</v>
      </c>
      <c r="D1" s="50"/>
    </row>
    <row r="2" spans="1:13" x14ac:dyDescent="0.2">
      <c r="D2" s="50"/>
      <c r="E2" s="27"/>
      <c r="F2" s="27"/>
      <c r="G2" s="27"/>
      <c r="H2" s="27"/>
      <c r="I2" s="27"/>
      <c r="J2" s="27"/>
      <c r="K2" s="27"/>
    </row>
    <row r="3" spans="1:13" s="162" customFormat="1" ht="32.25" customHeight="1" x14ac:dyDescent="0.25">
      <c r="F3" s="354" t="s">
        <v>254</v>
      </c>
      <c r="G3" s="355"/>
      <c r="H3" s="355"/>
      <c r="I3" s="355"/>
      <c r="J3" s="355"/>
      <c r="K3" s="356"/>
      <c r="M3" s="163"/>
    </row>
    <row r="4" spans="1:13" s="73" customFormat="1" ht="33.75" customHeight="1" x14ac:dyDescent="0.25">
      <c r="A4" s="357" t="s">
        <v>127</v>
      </c>
      <c r="B4" s="359" t="s">
        <v>157</v>
      </c>
      <c r="C4" s="357" t="s">
        <v>149</v>
      </c>
      <c r="D4" s="335" t="s">
        <v>101</v>
      </c>
      <c r="E4" s="348" t="s">
        <v>12</v>
      </c>
      <c r="F4" s="350" t="s">
        <v>13</v>
      </c>
      <c r="G4" s="352" t="s">
        <v>253</v>
      </c>
      <c r="H4" s="352" t="s">
        <v>0</v>
      </c>
      <c r="I4" s="352" t="s">
        <v>1</v>
      </c>
      <c r="J4" s="352" t="s">
        <v>2</v>
      </c>
      <c r="K4" s="352" t="s">
        <v>23</v>
      </c>
      <c r="L4" s="348" t="s">
        <v>160</v>
      </c>
      <c r="M4" s="81"/>
    </row>
    <row r="5" spans="1:13" s="81" customFormat="1" ht="56.25" customHeight="1" x14ac:dyDescent="0.2">
      <c r="A5" s="358"/>
      <c r="B5" s="360"/>
      <c r="C5" s="358"/>
      <c r="D5" s="336"/>
      <c r="E5" s="349"/>
      <c r="F5" s="351"/>
      <c r="G5" s="353" t="s">
        <v>11</v>
      </c>
      <c r="H5" s="353" t="s">
        <v>11</v>
      </c>
      <c r="I5" s="353" t="s">
        <v>11</v>
      </c>
      <c r="J5" s="353" t="s">
        <v>11</v>
      </c>
      <c r="K5" s="353" t="s">
        <v>11</v>
      </c>
      <c r="L5" s="349"/>
    </row>
    <row r="6" spans="1:13" s="16" customFormat="1" x14ac:dyDescent="0.2">
      <c r="B6" s="225" t="s">
        <v>128</v>
      </c>
      <c r="C6" s="61"/>
      <c r="D6" s="10"/>
      <c r="E6" s="39" t="s">
        <v>96</v>
      </c>
      <c r="F6" s="165"/>
      <c r="G6" s="45"/>
      <c r="H6" s="45"/>
      <c r="I6" s="45"/>
      <c r="J6" s="45"/>
      <c r="K6" s="45"/>
      <c r="L6" s="39"/>
    </row>
    <row r="7" spans="1:13" s="16" customFormat="1" x14ac:dyDescent="0.2">
      <c r="A7" s="11" t="s">
        <v>62</v>
      </c>
      <c r="B7" s="46" t="s">
        <v>61</v>
      </c>
      <c r="C7" s="82" t="s">
        <v>133</v>
      </c>
      <c r="D7" s="144">
        <v>44927</v>
      </c>
      <c r="E7" s="40">
        <v>0.4285714328289032</v>
      </c>
      <c r="F7" s="126">
        <v>1.2857142686843872</v>
      </c>
      <c r="G7" s="29" t="s">
        <v>173</v>
      </c>
      <c r="H7" s="29">
        <v>7.1428574621677399E-2</v>
      </c>
      <c r="I7" s="29">
        <v>0.5</v>
      </c>
      <c r="J7" s="29">
        <v>0</v>
      </c>
      <c r="K7" s="29">
        <v>1</v>
      </c>
      <c r="L7" s="40">
        <v>3.5</v>
      </c>
    </row>
    <row r="8" spans="1:13" s="16" customFormat="1" x14ac:dyDescent="0.2">
      <c r="A8" s="11" t="s">
        <v>76</v>
      </c>
      <c r="B8" s="46" t="s">
        <v>37</v>
      </c>
      <c r="C8" s="82" t="s">
        <v>133</v>
      </c>
      <c r="D8" s="144">
        <v>44927</v>
      </c>
      <c r="E8" s="40">
        <v>1.7091836929321289</v>
      </c>
      <c r="F8" s="126">
        <v>2.7857143878936768</v>
      </c>
      <c r="G8" s="29">
        <v>5.1428570747375488</v>
      </c>
      <c r="H8" s="29">
        <v>1.6964285373687744</v>
      </c>
      <c r="I8" s="29">
        <v>1.6785714626312256</v>
      </c>
      <c r="J8" s="29">
        <v>3.1428570747375488</v>
      </c>
      <c r="K8" s="29">
        <v>1.1785714626312256</v>
      </c>
      <c r="L8" s="40">
        <v>5.125</v>
      </c>
    </row>
    <row r="9" spans="1:13" s="16" customFormat="1" x14ac:dyDescent="0.2">
      <c r="A9" s="11" t="s">
        <v>114</v>
      </c>
      <c r="B9" s="46" t="s">
        <v>113</v>
      </c>
      <c r="C9" s="82" t="s">
        <v>133</v>
      </c>
      <c r="D9" s="144">
        <v>44927</v>
      </c>
      <c r="E9" s="40">
        <v>2.3775510787963867</v>
      </c>
      <c r="F9" s="126">
        <v>3.25</v>
      </c>
      <c r="G9" s="29">
        <v>4.0714287757873535</v>
      </c>
      <c r="H9" s="29">
        <v>1.3214285373687744</v>
      </c>
      <c r="I9" s="29">
        <v>2.7142856121063232</v>
      </c>
      <c r="J9" s="29">
        <v>7.1428574621677399E-2</v>
      </c>
      <c r="K9" s="29">
        <v>1.4615384340286255</v>
      </c>
      <c r="L9" s="40">
        <v>3.5</v>
      </c>
    </row>
    <row r="10" spans="1:13" s="16" customFormat="1" x14ac:dyDescent="0.2">
      <c r="A10" s="11" t="s">
        <v>63</v>
      </c>
      <c r="B10" s="46" t="s">
        <v>31</v>
      </c>
      <c r="C10" s="82" t="s">
        <v>133</v>
      </c>
      <c r="D10" s="144">
        <v>44927</v>
      </c>
      <c r="E10" s="40">
        <v>1.1428571939468384</v>
      </c>
      <c r="F10" s="126">
        <v>2.0357143878936768</v>
      </c>
      <c r="G10" s="29" t="s">
        <v>173</v>
      </c>
      <c r="H10" s="29">
        <v>1.75</v>
      </c>
      <c r="I10" s="29">
        <v>3.0357143878936768</v>
      </c>
      <c r="J10" s="29">
        <v>2.4642856121063232</v>
      </c>
      <c r="K10" s="29">
        <v>1.3928571939468384</v>
      </c>
      <c r="L10" s="40">
        <v>0.375</v>
      </c>
    </row>
    <row r="11" spans="1:13" s="16" customFormat="1" x14ac:dyDescent="0.2">
      <c r="A11" s="11" t="s">
        <v>77</v>
      </c>
      <c r="B11" s="46" t="s">
        <v>47</v>
      </c>
      <c r="C11" s="82" t="s">
        <v>133</v>
      </c>
      <c r="D11" s="144">
        <v>44927</v>
      </c>
      <c r="E11" s="40">
        <v>0.1428571492433548</v>
      </c>
      <c r="F11" s="126">
        <v>0.8928571343421936</v>
      </c>
      <c r="G11" s="29">
        <v>5.2857141494750977</v>
      </c>
      <c r="H11" s="29">
        <v>0</v>
      </c>
      <c r="I11" s="29">
        <v>0.8571428656578064</v>
      </c>
      <c r="J11" s="29">
        <v>0.91071426868438721</v>
      </c>
      <c r="K11" s="29">
        <v>0</v>
      </c>
      <c r="L11" s="40">
        <v>1</v>
      </c>
    </row>
    <row r="12" spans="1:13" s="16" customFormat="1" x14ac:dyDescent="0.2">
      <c r="A12" s="11" t="s">
        <v>98</v>
      </c>
      <c r="B12" s="46" t="s">
        <v>97</v>
      </c>
      <c r="C12" s="305" t="s">
        <v>134</v>
      </c>
      <c r="D12" s="144">
        <v>44927</v>
      </c>
      <c r="E12" s="40">
        <v>1.2857142686843872</v>
      </c>
      <c r="F12" s="126">
        <v>1.3571428060531616</v>
      </c>
      <c r="G12" s="29">
        <v>4.9285712242126465</v>
      </c>
      <c r="H12" s="29">
        <v>2.2857143878936768</v>
      </c>
      <c r="I12" s="29">
        <v>1.2142857313156128</v>
      </c>
      <c r="J12" s="29">
        <v>1.1071428060531616</v>
      </c>
      <c r="K12" s="29">
        <v>0</v>
      </c>
      <c r="L12" s="40">
        <v>0.5</v>
      </c>
    </row>
    <row r="13" spans="1:13" s="16" customFormat="1" x14ac:dyDescent="0.2">
      <c r="A13" s="11" t="s">
        <v>78</v>
      </c>
      <c r="B13" s="46" t="s">
        <v>28</v>
      </c>
      <c r="C13" s="305" t="s">
        <v>134</v>
      </c>
      <c r="D13" s="144">
        <v>44927</v>
      </c>
      <c r="E13" s="40">
        <v>1.5714285373687744</v>
      </c>
      <c r="F13" s="126">
        <v>4.5357141494750977</v>
      </c>
      <c r="G13" s="29">
        <v>4.3214287757873535</v>
      </c>
      <c r="H13" s="29">
        <v>1.4285714626312256</v>
      </c>
      <c r="I13" s="29">
        <v>1.6428571939468384</v>
      </c>
      <c r="J13" s="29">
        <v>1.7142857313156128</v>
      </c>
      <c r="K13" s="29">
        <v>0</v>
      </c>
      <c r="L13" s="40">
        <v>1</v>
      </c>
    </row>
    <row r="14" spans="1:13" s="16" customFormat="1" x14ac:dyDescent="0.2">
      <c r="A14" s="11" t="s">
        <v>64</v>
      </c>
      <c r="B14" s="46" t="s">
        <v>60</v>
      </c>
      <c r="C14" s="82" t="s">
        <v>133</v>
      </c>
      <c r="D14" s="144">
        <v>44927</v>
      </c>
      <c r="E14" s="40">
        <v>0.8571428656578064</v>
      </c>
      <c r="F14" s="126">
        <v>4.3214287757873535</v>
      </c>
      <c r="G14" s="31">
        <v>4.6428570747375488</v>
      </c>
      <c r="H14" s="29">
        <v>0.28571429848670959</v>
      </c>
      <c r="I14" s="29">
        <v>2.4285714626312256</v>
      </c>
      <c r="J14" s="29">
        <v>2.5714285373687744</v>
      </c>
      <c r="K14" s="29">
        <v>0.55357140302658081</v>
      </c>
      <c r="L14" s="40">
        <v>0.25</v>
      </c>
    </row>
    <row r="15" spans="1:13" s="16" customFormat="1" x14ac:dyDescent="0.2">
      <c r="A15" s="11" t="s">
        <v>79</v>
      </c>
      <c r="B15" s="46" t="s">
        <v>54</v>
      </c>
      <c r="C15" s="82" t="s">
        <v>133</v>
      </c>
      <c r="D15" s="144">
        <v>44927</v>
      </c>
      <c r="E15" s="40">
        <v>0.31868132948875427</v>
      </c>
      <c r="F15" s="126">
        <v>3.1071429252624512</v>
      </c>
      <c r="G15" s="31" t="s">
        <v>173</v>
      </c>
      <c r="H15" s="29">
        <v>0</v>
      </c>
      <c r="I15" s="29">
        <v>0</v>
      </c>
      <c r="J15" s="29">
        <v>0</v>
      </c>
      <c r="K15" s="29">
        <v>0.69642859697341919</v>
      </c>
      <c r="L15" s="40">
        <v>2.5</v>
      </c>
    </row>
    <row r="16" spans="1:13" s="16" customFormat="1" x14ac:dyDescent="0.2">
      <c r="A16" s="11" t="s">
        <v>65</v>
      </c>
      <c r="B16" s="46" t="s">
        <v>34</v>
      </c>
      <c r="C16" s="82" t="s">
        <v>133</v>
      </c>
      <c r="D16" s="144">
        <v>44927</v>
      </c>
      <c r="E16" s="40">
        <v>0</v>
      </c>
      <c r="F16" s="126">
        <v>4.1428570747375488</v>
      </c>
      <c r="G16" s="31">
        <v>5.6428570747375488</v>
      </c>
      <c r="H16" s="29">
        <v>0</v>
      </c>
      <c r="I16" s="31">
        <v>0.82142859697341919</v>
      </c>
      <c r="J16" s="31">
        <v>0.46428570151329041</v>
      </c>
      <c r="K16" s="29">
        <v>0</v>
      </c>
      <c r="L16" s="40">
        <v>2.875</v>
      </c>
    </row>
    <row r="17" spans="1:12" s="16" customFormat="1" x14ac:dyDescent="0.2">
      <c r="A17" s="11" t="s">
        <v>66</v>
      </c>
      <c r="B17" s="46" t="s">
        <v>38</v>
      </c>
      <c r="C17" s="82" t="s">
        <v>133</v>
      </c>
      <c r="D17" s="144">
        <v>44927</v>
      </c>
      <c r="E17" s="40">
        <v>1.0714285373687744</v>
      </c>
      <c r="F17" s="127">
        <v>2.2678570747375488</v>
      </c>
      <c r="G17" s="31" t="s">
        <v>173</v>
      </c>
      <c r="H17" s="29">
        <v>0</v>
      </c>
      <c r="I17" s="31">
        <v>0</v>
      </c>
      <c r="J17" s="31">
        <v>0</v>
      </c>
      <c r="K17" s="31">
        <v>0.1785714328289032</v>
      </c>
      <c r="L17" s="40">
        <v>4.5</v>
      </c>
    </row>
    <row r="18" spans="1:12" s="16" customFormat="1" x14ac:dyDescent="0.2">
      <c r="A18" s="11" t="s">
        <v>67</v>
      </c>
      <c r="B18" s="46" t="s">
        <v>48</v>
      </c>
      <c r="C18" s="82" t="s">
        <v>133</v>
      </c>
      <c r="D18" s="144">
        <v>44927</v>
      </c>
      <c r="E18" s="40">
        <v>2.076923131942749</v>
      </c>
      <c r="F18" s="127">
        <v>3.3571429252624512</v>
      </c>
      <c r="G18" s="31">
        <v>3.0714285373687744</v>
      </c>
      <c r="H18" s="31">
        <v>2.2857143878936768</v>
      </c>
      <c r="I18" s="31">
        <v>2.3392856121063232</v>
      </c>
      <c r="J18" s="31">
        <v>7.1428574621677399E-2</v>
      </c>
      <c r="K18" s="31">
        <v>0.76923078298568726</v>
      </c>
      <c r="L18" s="40">
        <v>3.75</v>
      </c>
    </row>
    <row r="19" spans="1:12" s="16" customFormat="1" x14ac:dyDescent="0.2">
      <c r="A19" s="11" t="s">
        <v>80</v>
      </c>
      <c r="B19" s="46" t="s">
        <v>51</v>
      </c>
      <c r="C19" s="82" t="s">
        <v>133</v>
      </c>
      <c r="D19" s="144">
        <v>44927</v>
      </c>
      <c r="E19" s="40">
        <v>0.5</v>
      </c>
      <c r="F19" s="127">
        <v>3.125</v>
      </c>
      <c r="G19" s="31">
        <v>5.3928570747375488</v>
      </c>
      <c r="H19" s="31">
        <v>2.2142856121063232</v>
      </c>
      <c r="I19" s="31">
        <v>3.1071429252624512</v>
      </c>
      <c r="J19" s="31">
        <v>1.1071428060531616</v>
      </c>
      <c r="K19" s="31">
        <v>0.2142857164144516</v>
      </c>
      <c r="L19" s="40">
        <v>2.75</v>
      </c>
    </row>
    <row r="20" spans="1:12" s="16" customFormat="1" x14ac:dyDescent="0.2">
      <c r="A20" s="11" t="s">
        <v>92</v>
      </c>
      <c r="B20" s="46" t="s">
        <v>46</v>
      </c>
      <c r="C20" s="82" t="s">
        <v>133</v>
      </c>
      <c r="D20" s="144">
        <v>44927</v>
      </c>
      <c r="E20" s="40">
        <v>2.2448978424072266</v>
      </c>
      <c r="F20" s="127">
        <v>4.5714287757873535</v>
      </c>
      <c r="G20" s="31">
        <v>5.3571429252624512</v>
      </c>
      <c r="H20" s="31">
        <v>0.4285714328289032</v>
      </c>
      <c r="I20" s="31">
        <v>1.8214285373687744</v>
      </c>
      <c r="J20" s="29">
        <v>1.8214285373687744</v>
      </c>
      <c r="K20" s="31">
        <v>0.5</v>
      </c>
      <c r="L20" s="40">
        <v>3.5</v>
      </c>
    </row>
    <row r="21" spans="1:12" s="16" customFormat="1" x14ac:dyDescent="0.2">
      <c r="A21" s="11" t="s">
        <v>122</v>
      </c>
      <c r="B21" s="46" t="s">
        <v>121</v>
      </c>
      <c r="C21" s="82" t="s">
        <v>133</v>
      </c>
      <c r="D21" s="144">
        <v>45292</v>
      </c>
      <c r="E21" s="40">
        <v>1.2857142686843872</v>
      </c>
      <c r="F21" s="127">
        <v>4.7142858505249023</v>
      </c>
      <c r="G21" s="31">
        <v>5.3571429252624512</v>
      </c>
      <c r="H21" s="31">
        <v>0.4285714328289032</v>
      </c>
      <c r="I21" s="31">
        <v>2.0714285373687744</v>
      </c>
      <c r="J21" s="29">
        <v>2.1428570747375488</v>
      </c>
      <c r="K21" s="31">
        <v>0.8571428656578064</v>
      </c>
      <c r="L21" s="40">
        <v>3.125</v>
      </c>
    </row>
    <row r="22" spans="1:12" s="16" customFormat="1" x14ac:dyDescent="0.2">
      <c r="A22" s="11" t="s">
        <v>82</v>
      </c>
      <c r="B22" s="46" t="s">
        <v>45</v>
      </c>
      <c r="C22" s="82" t="s">
        <v>133</v>
      </c>
      <c r="D22" s="144">
        <v>44927</v>
      </c>
      <c r="E22" s="40">
        <v>1.2857142686843872</v>
      </c>
      <c r="F22" s="127">
        <v>4.0178570747375488</v>
      </c>
      <c r="G22" s="31" t="s">
        <v>173</v>
      </c>
      <c r="H22" s="31">
        <v>0</v>
      </c>
      <c r="I22" s="31">
        <v>1.6428571939468384</v>
      </c>
      <c r="J22" s="31">
        <v>1.6785714626312256</v>
      </c>
      <c r="K22" s="31">
        <v>2.5</v>
      </c>
      <c r="L22" s="40">
        <v>1.5</v>
      </c>
    </row>
    <row r="23" spans="1:12" s="16" customFormat="1" x14ac:dyDescent="0.2">
      <c r="A23" s="11" t="s">
        <v>95</v>
      </c>
      <c r="B23" s="46" t="s">
        <v>42</v>
      </c>
      <c r="C23" s="82" t="s">
        <v>133</v>
      </c>
      <c r="D23" s="144">
        <v>44927</v>
      </c>
      <c r="E23" s="40">
        <v>0.71428573131561279</v>
      </c>
      <c r="F23" s="127">
        <v>3.25</v>
      </c>
      <c r="G23" s="31">
        <v>3.8928570747375488</v>
      </c>
      <c r="H23" s="31">
        <v>0.15384615957736969</v>
      </c>
      <c r="I23" s="31">
        <v>0.25</v>
      </c>
      <c r="J23" s="31">
        <v>0.57142859697341919</v>
      </c>
      <c r="K23" s="31">
        <v>0.4285714328289032</v>
      </c>
      <c r="L23" s="40">
        <v>1.25</v>
      </c>
    </row>
    <row r="24" spans="1:12" s="16" customFormat="1" ht="14.25" x14ac:dyDescent="0.2">
      <c r="A24" s="11" t="s">
        <v>68</v>
      </c>
      <c r="B24" s="46" t="s">
        <v>57</v>
      </c>
      <c r="C24" s="82" t="s">
        <v>133</v>
      </c>
      <c r="D24" s="144">
        <v>44927</v>
      </c>
      <c r="E24" s="40">
        <v>1.1785714626312256</v>
      </c>
      <c r="F24" s="127">
        <v>4.6785712242126465</v>
      </c>
      <c r="G24" s="31" t="s">
        <v>173</v>
      </c>
      <c r="H24" s="31">
        <v>0</v>
      </c>
      <c r="I24" s="31">
        <v>1.4642857313156128</v>
      </c>
      <c r="J24" s="31">
        <v>1.3928571939468384</v>
      </c>
      <c r="K24" s="31">
        <v>0.46428570151329041</v>
      </c>
      <c r="L24" s="40">
        <v>0</v>
      </c>
    </row>
    <row r="25" spans="1:12" s="16" customFormat="1" x14ac:dyDescent="0.2">
      <c r="A25" s="11" t="s">
        <v>69</v>
      </c>
      <c r="B25" s="46" t="s">
        <v>30</v>
      </c>
      <c r="C25" s="82" t="s">
        <v>133</v>
      </c>
      <c r="D25" s="144">
        <v>44927</v>
      </c>
      <c r="E25" s="40">
        <v>1.9285714626312256</v>
      </c>
      <c r="F25" s="127">
        <v>2.8392856121063232</v>
      </c>
      <c r="G25" s="31">
        <v>4.1428570747375488</v>
      </c>
      <c r="H25" s="31">
        <v>2.8214285373687744</v>
      </c>
      <c r="I25" s="31">
        <v>3.2142856121063232</v>
      </c>
      <c r="J25" s="31">
        <v>1.8214285373687744</v>
      </c>
      <c r="K25" s="31">
        <v>1.3928571939468384</v>
      </c>
      <c r="L25" s="40">
        <v>4.125</v>
      </c>
    </row>
    <row r="26" spans="1:12" s="16" customFormat="1" x14ac:dyDescent="0.2">
      <c r="A26" s="11" t="s">
        <v>83</v>
      </c>
      <c r="B26" s="46" t="s">
        <v>29</v>
      </c>
      <c r="C26" s="82" t="s">
        <v>133</v>
      </c>
      <c r="D26" s="144">
        <v>44927</v>
      </c>
      <c r="E26" s="40">
        <v>0.1428571492433548</v>
      </c>
      <c r="F26" s="127">
        <v>2.9642856121063232</v>
      </c>
      <c r="G26" s="31">
        <v>5.2857141494750977</v>
      </c>
      <c r="H26" s="31">
        <v>3.5357143878936768</v>
      </c>
      <c r="I26" s="31">
        <v>0.46428570151329041</v>
      </c>
      <c r="J26" s="31">
        <v>0.28571429848670959</v>
      </c>
      <c r="K26" s="31">
        <v>1.1538461446762085</v>
      </c>
      <c r="L26" s="40">
        <v>0.375</v>
      </c>
    </row>
    <row r="27" spans="1:12" s="16" customFormat="1" x14ac:dyDescent="0.2">
      <c r="A27" s="11" t="s">
        <v>70</v>
      </c>
      <c r="B27" s="46" t="s">
        <v>33</v>
      </c>
      <c r="C27" s="82" t="s">
        <v>133</v>
      </c>
      <c r="D27" s="144">
        <v>44927</v>
      </c>
      <c r="E27" s="40">
        <v>0.8571428656578064</v>
      </c>
      <c r="F27" s="127">
        <v>4.25</v>
      </c>
      <c r="G27" s="29">
        <v>4.3214287757873535</v>
      </c>
      <c r="H27" s="31">
        <v>3.1785714626312256</v>
      </c>
      <c r="I27" s="31">
        <v>2.3571429252624512</v>
      </c>
      <c r="J27" s="31">
        <v>0.4821428656578064</v>
      </c>
      <c r="K27" s="31">
        <v>0.82142859697341919</v>
      </c>
      <c r="L27" s="40">
        <v>4.5</v>
      </c>
    </row>
    <row r="28" spans="1:12" s="16" customFormat="1" x14ac:dyDescent="0.2">
      <c r="A28" s="11" t="s">
        <v>84</v>
      </c>
      <c r="B28" s="46" t="s">
        <v>43</v>
      </c>
      <c r="C28" s="82" t="s">
        <v>133</v>
      </c>
      <c r="D28" s="144">
        <v>44927</v>
      </c>
      <c r="E28" s="40">
        <v>0.78571426868438721</v>
      </c>
      <c r="F28" s="127">
        <v>3.7142856121063232</v>
      </c>
      <c r="G28" s="29">
        <v>5.4615383148193359</v>
      </c>
      <c r="H28" s="29">
        <v>0.4285714328289032</v>
      </c>
      <c r="I28" s="31">
        <v>1.1428571939468384</v>
      </c>
      <c r="J28" s="31">
        <v>1.1428571939468384</v>
      </c>
      <c r="K28" s="31">
        <v>0</v>
      </c>
      <c r="L28" s="40">
        <v>3.625</v>
      </c>
    </row>
    <row r="29" spans="1:12" s="16" customFormat="1" x14ac:dyDescent="0.2">
      <c r="A29" s="11" t="s">
        <v>85</v>
      </c>
      <c r="B29" s="46" t="s">
        <v>36</v>
      </c>
      <c r="C29" s="82" t="s">
        <v>133</v>
      </c>
      <c r="D29" s="144">
        <v>44927</v>
      </c>
      <c r="E29" s="40">
        <v>0</v>
      </c>
      <c r="F29" s="126">
        <v>3.7142856121063232</v>
      </c>
      <c r="G29" s="29">
        <v>4.9285712242126465</v>
      </c>
      <c r="H29" s="29">
        <v>0</v>
      </c>
      <c r="I29" s="29">
        <v>1.8214285373687744</v>
      </c>
      <c r="J29" s="31">
        <v>1.3035714626312256</v>
      </c>
      <c r="K29" s="29">
        <v>0</v>
      </c>
      <c r="L29" s="40">
        <v>1.5</v>
      </c>
    </row>
    <row r="30" spans="1:12" s="16" customFormat="1" x14ac:dyDescent="0.2">
      <c r="A30" s="11" t="s">
        <v>71</v>
      </c>
      <c r="B30" s="46" t="s">
        <v>24</v>
      </c>
      <c r="C30" s="82" t="s">
        <v>133</v>
      </c>
      <c r="D30" s="144">
        <v>44927</v>
      </c>
      <c r="E30" s="40">
        <v>1.3061224222183228</v>
      </c>
      <c r="F30" s="126">
        <v>4.25</v>
      </c>
      <c r="G30" s="29">
        <v>5.7142858505249023</v>
      </c>
      <c r="H30" s="29">
        <v>1.6428571939468384</v>
      </c>
      <c r="I30" s="29">
        <v>2.5714285373687744</v>
      </c>
      <c r="J30" s="29">
        <v>2.5</v>
      </c>
      <c r="K30" s="29">
        <v>0.3214285671710968</v>
      </c>
      <c r="L30" s="40">
        <v>5.5</v>
      </c>
    </row>
    <row r="31" spans="1:12" s="16" customFormat="1" x14ac:dyDescent="0.2">
      <c r="A31" s="11" t="s">
        <v>110</v>
      </c>
      <c r="B31" s="46" t="s">
        <v>109</v>
      </c>
      <c r="C31" s="82" t="s">
        <v>133</v>
      </c>
      <c r="D31" s="144">
        <v>44927</v>
      </c>
      <c r="E31" s="40">
        <v>1.2857142686843872</v>
      </c>
      <c r="F31" s="126">
        <v>3.1428570747375488</v>
      </c>
      <c r="G31" s="29">
        <v>5.5714287757873535</v>
      </c>
      <c r="H31" s="29">
        <v>3.1428570747375488</v>
      </c>
      <c r="I31" s="29">
        <v>3.1428570747375488</v>
      </c>
      <c r="J31" s="29">
        <v>3.1428570747375488</v>
      </c>
      <c r="K31" s="29">
        <v>1.0384615659713745</v>
      </c>
      <c r="L31" s="40">
        <v>0</v>
      </c>
    </row>
    <row r="32" spans="1:12" s="16" customFormat="1" x14ac:dyDescent="0.2">
      <c r="A32" s="11" t="s">
        <v>123</v>
      </c>
      <c r="B32" s="46" t="s">
        <v>124</v>
      </c>
      <c r="C32" s="82" t="s">
        <v>133</v>
      </c>
      <c r="D32" s="144">
        <v>45292</v>
      </c>
      <c r="E32" s="40">
        <v>1.1836735010147095</v>
      </c>
      <c r="F32" s="126">
        <v>2.25</v>
      </c>
      <c r="G32" s="29">
        <v>2.3571429252624512</v>
      </c>
      <c r="H32" s="29">
        <v>1.75</v>
      </c>
      <c r="I32" s="29">
        <v>7.1428574621677399E-2</v>
      </c>
      <c r="J32" s="29">
        <v>0</v>
      </c>
      <c r="K32" s="29">
        <v>0</v>
      </c>
      <c r="L32" s="40">
        <v>0.125</v>
      </c>
    </row>
    <row r="33" spans="1:12" s="16" customFormat="1" x14ac:dyDescent="0.2">
      <c r="A33" s="11" t="s">
        <v>86</v>
      </c>
      <c r="B33" s="46" t="s">
        <v>35</v>
      </c>
      <c r="C33" s="82" t="s">
        <v>133</v>
      </c>
      <c r="D33" s="144">
        <v>44927</v>
      </c>
      <c r="E33" s="40">
        <v>0.57142859697341919</v>
      </c>
      <c r="F33" s="126">
        <v>3.0357143878936768</v>
      </c>
      <c r="G33" s="29" t="s">
        <v>173</v>
      </c>
      <c r="H33" s="29">
        <v>1</v>
      </c>
      <c r="I33" s="29">
        <v>7.1428574621677399E-2</v>
      </c>
      <c r="J33" s="29">
        <v>7.1428574621677399E-2</v>
      </c>
      <c r="K33" s="29">
        <v>0.46428570151329041</v>
      </c>
      <c r="L33" s="40">
        <v>0.625</v>
      </c>
    </row>
    <row r="34" spans="1:12" s="16" customFormat="1" x14ac:dyDescent="0.2">
      <c r="A34" s="11" t="s">
        <v>72</v>
      </c>
      <c r="B34" s="46" t="s">
        <v>40</v>
      </c>
      <c r="C34" s="82" t="s">
        <v>133</v>
      </c>
      <c r="D34" s="144">
        <v>44927</v>
      </c>
      <c r="E34" s="40">
        <v>0.46153846383094788</v>
      </c>
      <c r="F34" s="126">
        <v>3.2321429252624512</v>
      </c>
      <c r="G34" s="29" t="s">
        <v>173</v>
      </c>
      <c r="H34" s="29">
        <v>0.53571426868438721</v>
      </c>
      <c r="I34" s="29">
        <v>7.1428574621677399E-2</v>
      </c>
      <c r="J34" s="29">
        <v>7.1428574621677399E-2</v>
      </c>
      <c r="K34" s="29">
        <v>0.6428571343421936</v>
      </c>
      <c r="L34" s="40">
        <v>0.25</v>
      </c>
    </row>
    <row r="35" spans="1:12" s="16" customFormat="1" x14ac:dyDescent="0.2">
      <c r="A35" s="11" t="s">
        <v>73</v>
      </c>
      <c r="B35" s="46" t="s">
        <v>44</v>
      </c>
      <c r="C35" s="82" t="s">
        <v>133</v>
      </c>
      <c r="D35" s="144">
        <v>44927</v>
      </c>
      <c r="E35" s="40">
        <v>1.0612244606018066</v>
      </c>
      <c r="F35" s="126">
        <v>3.8928570747375488</v>
      </c>
      <c r="G35" s="29">
        <v>4.2857141494750977</v>
      </c>
      <c r="H35" s="29">
        <v>0</v>
      </c>
      <c r="I35" s="29">
        <v>2.0714285373687744</v>
      </c>
      <c r="J35" s="29">
        <v>1.8214285373687744</v>
      </c>
      <c r="K35" s="29">
        <v>0</v>
      </c>
      <c r="L35" s="40">
        <v>3</v>
      </c>
    </row>
    <row r="36" spans="1:12" s="16" customFormat="1" x14ac:dyDescent="0.2">
      <c r="A36" s="11" t="s">
        <v>87</v>
      </c>
      <c r="B36" s="46" t="s">
        <v>50</v>
      </c>
      <c r="C36" s="82" t="s">
        <v>133</v>
      </c>
      <c r="D36" s="144">
        <v>44927</v>
      </c>
      <c r="E36" s="40">
        <v>2.2857143878936768</v>
      </c>
      <c r="F36" s="126">
        <v>3.2678570747375488</v>
      </c>
      <c r="G36" s="29">
        <v>5.1428570747375488</v>
      </c>
      <c r="H36" s="29">
        <v>2.1428570747375488</v>
      </c>
      <c r="I36" s="29">
        <v>1.5</v>
      </c>
      <c r="J36" s="29">
        <v>2.5</v>
      </c>
      <c r="K36" s="29">
        <v>0.3571428656578064</v>
      </c>
      <c r="L36" s="40">
        <v>3.375</v>
      </c>
    </row>
    <row r="37" spans="1:12" s="16" customFormat="1" x14ac:dyDescent="0.2">
      <c r="A37" s="11" t="s">
        <v>99</v>
      </c>
      <c r="B37" s="46" t="s">
        <v>100</v>
      </c>
      <c r="C37" s="82" t="s">
        <v>133</v>
      </c>
      <c r="D37" s="144">
        <v>44927</v>
      </c>
      <c r="E37" s="40">
        <v>1.0969387292861938</v>
      </c>
      <c r="F37" s="126">
        <v>3.9285714626312256</v>
      </c>
      <c r="G37" s="29">
        <v>5.7857141494750977</v>
      </c>
      <c r="H37" s="29">
        <v>0</v>
      </c>
      <c r="I37" s="29">
        <v>3.1428570747375488</v>
      </c>
      <c r="J37" s="29">
        <v>3.1428570747375488</v>
      </c>
      <c r="K37" s="29">
        <v>0</v>
      </c>
      <c r="L37" s="40">
        <v>1</v>
      </c>
    </row>
    <row r="38" spans="1:12" s="16" customFormat="1" x14ac:dyDescent="0.2">
      <c r="A38" s="11" t="s">
        <v>88</v>
      </c>
      <c r="B38" s="46" t="s">
        <v>41</v>
      </c>
      <c r="C38" s="82" t="s">
        <v>133</v>
      </c>
      <c r="D38" s="144">
        <v>44927</v>
      </c>
      <c r="E38" s="40">
        <v>0.34693878889083862</v>
      </c>
      <c r="F38" s="126">
        <v>5</v>
      </c>
      <c r="G38" s="29">
        <v>5.3571429252624512</v>
      </c>
      <c r="H38" s="29">
        <v>0</v>
      </c>
      <c r="I38" s="29">
        <v>1.8928571939468384</v>
      </c>
      <c r="J38" s="29">
        <v>1.8214285373687744</v>
      </c>
      <c r="K38" s="29">
        <v>1.1785714626312256</v>
      </c>
      <c r="L38" s="40">
        <v>3.125</v>
      </c>
    </row>
    <row r="39" spans="1:12" s="16" customFormat="1" x14ac:dyDescent="0.2">
      <c r="A39" s="11" t="s">
        <v>89</v>
      </c>
      <c r="B39" s="46" t="s">
        <v>39</v>
      </c>
      <c r="C39" s="82" t="s">
        <v>133</v>
      </c>
      <c r="D39" s="144">
        <v>44927</v>
      </c>
      <c r="E39" s="40">
        <v>1.6938775777816772</v>
      </c>
      <c r="F39" s="126">
        <v>2.9821429252624512</v>
      </c>
      <c r="G39" s="29">
        <v>5.4285712242126465</v>
      </c>
      <c r="H39" s="29">
        <v>0</v>
      </c>
      <c r="I39" s="29">
        <v>1.1428571939468384</v>
      </c>
      <c r="J39" s="29">
        <v>1.1428571939468384</v>
      </c>
      <c r="K39" s="29">
        <v>0.4285714328289032</v>
      </c>
      <c r="L39" s="40">
        <v>4</v>
      </c>
    </row>
    <row r="40" spans="1:12" s="16" customFormat="1" x14ac:dyDescent="0.2">
      <c r="A40" s="11" t="s">
        <v>74</v>
      </c>
      <c r="B40" s="46" t="s">
        <v>32</v>
      </c>
      <c r="C40" s="82" t="s">
        <v>133</v>
      </c>
      <c r="D40" s="144">
        <v>44927</v>
      </c>
      <c r="E40" s="40">
        <v>0.57142859697341919</v>
      </c>
      <c r="F40" s="126">
        <v>2.2857143878936768</v>
      </c>
      <c r="G40" s="29">
        <v>0.75</v>
      </c>
      <c r="H40" s="29">
        <v>0</v>
      </c>
      <c r="I40" s="29">
        <v>0</v>
      </c>
      <c r="J40" s="29">
        <v>0</v>
      </c>
      <c r="K40" s="29">
        <v>1.2678571939468384</v>
      </c>
      <c r="L40" s="40">
        <v>0</v>
      </c>
    </row>
    <row r="41" spans="1:12" s="16" customFormat="1" x14ac:dyDescent="0.2">
      <c r="A41" s="11" t="s">
        <v>90</v>
      </c>
      <c r="B41" s="46" t="s">
        <v>26</v>
      </c>
      <c r="C41" s="82" t="s">
        <v>133</v>
      </c>
      <c r="D41" s="144">
        <v>44927</v>
      </c>
      <c r="E41" s="40">
        <v>0.39795917272567749</v>
      </c>
      <c r="F41" s="126">
        <v>3.3214285373687744</v>
      </c>
      <c r="G41" s="29" t="s">
        <v>173</v>
      </c>
      <c r="H41" s="29">
        <v>0</v>
      </c>
      <c r="I41" s="29">
        <v>0.4285714328289032</v>
      </c>
      <c r="J41" s="29">
        <v>0.4285714328289032</v>
      </c>
      <c r="K41" s="29">
        <v>0</v>
      </c>
      <c r="L41" s="40">
        <v>0.5</v>
      </c>
    </row>
    <row r="42" spans="1:12" s="16" customFormat="1" x14ac:dyDescent="0.2">
      <c r="A42" s="11" t="s">
        <v>91</v>
      </c>
      <c r="B42" s="46" t="s">
        <v>52</v>
      </c>
      <c r="C42" s="82" t="s">
        <v>133</v>
      </c>
      <c r="D42" s="144">
        <v>44927</v>
      </c>
      <c r="E42" s="40">
        <v>1</v>
      </c>
      <c r="F42" s="126">
        <v>5.1428570747375488</v>
      </c>
      <c r="G42" s="29">
        <v>5.2142858505249023</v>
      </c>
      <c r="H42" s="29">
        <v>5.0714287757873535</v>
      </c>
      <c r="I42" s="29">
        <v>3.4285714626312256</v>
      </c>
      <c r="J42" s="29">
        <v>3.769230842590332</v>
      </c>
      <c r="K42" s="29">
        <v>1.4615384340286255</v>
      </c>
      <c r="L42" s="40">
        <v>6</v>
      </c>
    </row>
    <row r="43" spans="1:12" s="16" customFormat="1" x14ac:dyDescent="0.2">
      <c r="A43" s="11" t="s">
        <v>81</v>
      </c>
      <c r="B43" s="46" t="s">
        <v>49</v>
      </c>
      <c r="C43" s="82" t="s">
        <v>133</v>
      </c>
      <c r="D43" s="144">
        <v>44927</v>
      </c>
      <c r="E43" s="40">
        <v>0.1428571492433548</v>
      </c>
      <c r="F43" s="126">
        <v>1.5714285373687744</v>
      </c>
      <c r="G43" s="29" t="s">
        <v>173</v>
      </c>
      <c r="H43" s="29">
        <v>0</v>
      </c>
      <c r="I43" s="29">
        <v>7.1428574621677399E-2</v>
      </c>
      <c r="J43" s="29">
        <v>0.5</v>
      </c>
      <c r="K43" s="29">
        <v>0.4285714328289032</v>
      </c>
      <c r="L43" s="40">
        <v>0.75</v>
      </c>
    </row>
    <row r="44" spans="1:12" s="16" customFormat="1" x14ac:dyDescent="0.2">
      <c r="A44" s="11" t="s">
        <v>105</v>
      </c>
      <c r="B44" s="46" t="s">
        <v>104</v>
      </c>
      <c r="C44" s="82" t="s">
        <v>133</v>
      </c>
      <c r="D44" s="144">
        <v>45292</v>
      </c>
      <c r="E44" s="40">
        <v>1.5714285373687744</v>
      </c>
      <c r="F44" s="126">
        <v>2.8928570747375488</v>
      </c>
      <c r="G44" s="29">
        <v>1.1428571939468384</v>
      </c>
      <c r="H44" s="29">
        <v>0</v>
      </c>
      <c r="I44" s="29">
        <v>3.0357143878936768</v>
      </c>
      <c r="J44" s="29">
        <v>2.5714285373687744</v>
      </c>
      <c r="K44" s="29">
        <v>1.4285714626312256</v>
      </c>
      <c r="L44" s="40">
        <v>0</v>
      </c>
    </row>
    <row r="45" spans="1:12" s="16" customFormat="1" x14ac:dyDescent="0.2">
      <c r="A45" s="11"/>
      <c r="B45" s="225" t="s">
        <v>129</v>
      </c>
      <c r="C45" s="82"/>
      <c r="D45" s="142"/>
      <c r="E45" s="40"/>
      <c r="F45" s="126"/>
      <c r="G45" s="29"/>
      <c r="H45" s="29"/>
      <c r="I45" s="29"/>
      <c r="J45" s="29"/>
      <c r="K45" s="29"/>
      <c r="L45" s="40"/>
    </row>
    <row r="46" spans="1:12" s="16" customFormat="1" x14ac:dyDescent="0.2">
      <c r="A46" s="11" t="s">
        <v>270</v>
      </c>
      <c r="B46" s="46" t="s">
        <v>269</v>
      </c>
      <c r="C46" s="82" t="s">
        <v>134</v>
      </c>
      <c r="D46" s="144">
        <v>45658</v>
      </c>
      <c r="E46" s="40">
        <v>1.307692289352417</v>
      </c>
      <c r="F46" s="126">
        <v>2.1428570747375488</v>
      </c>
      <c r="G46" s="29">
        <v>5.0714287757873535</v>
      </c>
      <c r="H46" s="29">
        <v>3.4285714626312256</v>
      </c>
      <c r="I46" s="29">
        <v>2.6785714626312256</v>
      </c>
      <c r="J46" s="29">
        <v>1.3571428060531616</v>
      </c>
      <c r="K46" s="29">
        <v>1.7142857313156128</v>
      </c>
      <c r="L46" s="40">
        <v>2.75</v>
      </c>
    </row>
    <row r="47" spans="1:12" s="16" customFormat="1" x14ac:dyDescent="0.2">
      <c r="A47" s="11" t="s">
        <v>75</v>
      </c>
      <c r="B47" s="46" t="s">
        <v>27</v>
      </c>
      <c r="C47" s="82" t="s">
        <v>133</v>
      </c>
      <c r="D47" s="144">
        <v>44927</v>
      </c>
      <c r="E47" s="40">
        <v>0.92307692766189575</v>
      </c>
      <c r="F47" s="126">
        <v>5.4642858505249023</v>
      </c>
      <c r="G47" s="29">
        <v>5.2142858505249023</v>
      </c>
      <c r="H47" s="29">
        <v>4.5357141494750977</v>
      </c>
      <c r="I47" s="29">
        <v>1.5</v>
      </c>
      <c r="J47" s="29">
        <v>2.1428570747375488</v>
      </c>
      <c r="K47" s="29">
        <v>2.1785714626312256</v>
      </c>
      <c r="L47" s="40">
        <v>0.75</v>
      </c>
    </row>
    <row r="48" spans="1:12" s="16" customFormat="1" x14ac:dyDescent="0.2">
      <c r="A48" s="11" t="s">
        <v>103</v>
      </c>
      <c r="B48" s="46" t="s">
        <v>102</v>
      </c>
      <c r="C48" s="82" t="s">
        <v>133</v>
      </c>
      <c r="D48" s="144">
        <v>45292</v>
      </c>
      <c r="E48" s="40">
        <v>1.3928571939468384</v>
      </c>
      <c r="F48" s="126">
        <v>4.1785712242126465</v>
      </c>
      <c r="G48" s="29">
        <v>5.5714287757873535</v>
      </c>
      <c r="H48" s="29">
        <v>0</v>
      </c>
      <c r="I48" s="29">
        <v>2.1785714626312256</v>
      </c>
      <c r="J48" s="29">
        <v>2.1071429252624512</v>
      </c>
      <c r="K48" s="29">
        <v>0</v>
      </c>
      <c r="L48" s="40">
        <v>1.75</v>
      </c>
    </row>
    <row r="49" spans="1:13" s="16" customFormat="1" x14ac:dyDescent="0.2">
      <c r="A49" s="11" t="s">
        <v>106</v>
      </c>
      <c r="B49" s="46" t="s">
        <v>151</v>
      </c>
      <c r="C49" s="82" t="s">
        <v>134</v>
      </c>
      <c r="D49" s="144">
        <v>45292</v>
      </c>
      <c r="E49" s="40">
        <v>1.4285714626312256</v>
      </c>
      <c r="F49" s="126">
        <v>3.9285714626312256</v>
      </c>
      <c r="G49" s="29">
        <v>4</v>
      </c>
      <c r="H49" s="29">
        <v>3.7142856121063232</v>
      </c>
      <c r="I49" s="29">
        <v>1.7916666269302368</v>
      </c>
      <c r="J49" s="29">
        <v>0.67857140302658081</v>
      </c>
      <c r="K49" s="29">
        <v>0.78571426868438721</v>
      </c>
      <c r="L49" s="40">
        <v>1.5</v>
      </c>
    </row>
    <row r="50" spans="1:13" s="16" customFormat="1" x14ac:dyDescent="0.2">
      <c r="A50" s="11" t="s">
        <v>93</v>
      </c>
      <c r="B50" s="46" t="s">
        <v>18</v>
      </c>
      <c r="C50" s="82" t="s">
        <v>133</v>
      </c>
      <c r="D50" s="144">
        <v>44927</v>
      </c>
      <c r="E50" s="40">
        <v>1.4285714626312256</v>
      </c>
      <c r="F50" s="126">
        <v>3.1428570747375488</v>
      </c>
      <c r="G50" s="29">
        <v>5.7142858505249023</v>
      </c>
      <c r="H50" s="29">
        <v>0</v>
      </c>
      <c r="I50" s="29">
        <v>0.8571428656578064</v>
      </c>
      <c r="J50" s="29">
        <v>0.8571428656578064</v>
      </c>
      <c r="K50" s="29">
        <v>0.71428573131561279</v>
      </c>
      <c r="L50" s="40">
        <v>4.5</v>
      </c>
    </row>
    <row r="51" spans="1:13" s="16" customFormat="1" ht="14.25" x14ac:dyDescent="0.2">
      <c r="A51" s="11" t="s">
        <v>108</v>
      </c>
      <c r="B51" s="46" t="s">
        <v>232</v>
      </c>
      <c r="C51" s="82" t="s">
        <v>133</v>
      </c>
      <c r="D51" s="144">
        <v>45292</v>
      </c>
      <c r="E51" s="40">
        <v>1.2857142686843872</v>
      </c>
      <c r="F51" s="126">
        <v>3.8571429252624512</v>
      </c>
      <c r="G51" s="29" t="s">
        <v>173</v>
      </c>
      <c r="H51" s="29">
        <v>0</v>
      </c>
      <c r="I51" s="29">
        <v>2.2142856121063232</v>
      </c>
      <c r="J51" s="29">
        <v>2.2142856121063232</v>
      </c>
      <c r="K51" s="29">
        <v>2.2142856121063232</v>
      </c>
      <c r="L51" s="40">
        <v>3.875</v>
      </c>
    </row>
    <row r="52" spans="1:13" s="16" customFormat="1" x14ac:dyDescent="0.2">
      <c r="A52" s="11" t="s">
        <v>118</v>
      </c>
      <c r="B52" s="46" t="s">
        <v>117</v>
      </c>
      <c r="C52" s="82" t="s">
        <v>133</v>
      </c>
      <c r="D52" s="144">
        <v>45292</v>
      </c>
      <c r="E52" s="40">
        <v>1.4897959232330322</v>
      </c>
      <c r="F52" s="126">
        <v>2.7142856121063232</v>
      </c>
      <c r="G52" s="29">
        <v>5.1428570747375488</v>
      </c>
      <c r="H52" s="29">
        <v>3.5714285373687744</v>
      </c>
      <c r="I52" s="29">
        <v>2.5357143878936768</v>
      </c>
      <c r="J52" s="29">
        <v>1.5535714626312256</v>
      </c>
      <c r="K52" s="29">
        <v>2.4642856121063232</v>
      </c>
      <c r="L52" s="40">
        <v>1.25</v>
      </c>
    </row>
    <row r="53" spans="1:13" s="16" customFormat="1" x14ac:dyDescent="0.2">
      <c r="A53" s="11" t="s">
        <v>120</v>
      </c>
      <c r="B53" s="46" t="s">
        <v>119</v>
      </c>
      <c r="C53" s="82" t="s">
        <v>133</v>
      </c>
      <c r="D53" s="144">
        <v>45292</v>
      </c>
      <c r="E53" s="40">
        <v>1.0714285373687744</v>
      </c>
      <c r="F53" s="126">
        <v>4.5</v>
      </c>
      <c r="G53" s="29">
        <v>5.3571429252624512</v>
      </c>
      <c r="H53" s="29">
        <v>1.4642857313156128</v>
      </c>
      <c r="I53" s="29">
        <v>2.1071429252624512</v>
      </c>
      <c r="J53" s="29">
        <v>2.1785714626312256</v>
      </c>
      <c r="K53" s="29">
        <v>0.6428571343421936</v>
      </c>
      <c r="L53" s="40">
        <v>4.25</v>
      </c>
    </row>
    <row r="54" spans="1:13" s="16" customFormat="1" x14ac:dyDescent="0.2">
      <c r="A54" s="11" t="s">
        <v>115</v>
      </c>
      <c r="B54" s="46" t="s">
        <v>152</v>
      </c>
      <c r="C54" s="82" t="s">
        <v>134</v>
      </c>
      <c r="D54" s="144">
        <v>45292</v>
      </c>
      <c r="E54" s="40">
        <v>0.71428573131561279</v>
      </c>
      <c r="F54" s="126">
        <v>1.1428571939468384</v>
      </c>
      <c r="G54" s="29">
        <v>5.7857141494750977</v>
      </c>
      <c r="H54" s="29">
        <v>1.3571428060531616</v>
      </c>
      <c r="I54" s="29">
        <v>1.5357142686843872</v>
      </c>
      <c r="J54" s="29">
        <v>1.3928571939468384</v>
      </c>
      <c r="K54" s="29">
        <v>7.1428574621677399E-2</v>
      </c>
      <c r="L54" s="40">
        <v>0.875</v>
      </c>
    </row>
    <row r="55" spans="1:13" s="16" customFormat="1" x14ac:dyDescent="0.2">
      <c r="A55" s="11" t="s">
        <v>271</v>
      </c>
      <c r="B55" s="46" t="s">
        <v>272</v>
      </c>
      <c r="C55" s="82" t="s">
        <v>133</v>
      </c>
      <c r="D55" s="144">
        <v>45292</v>
      </c>
      <c r="E55" s="40">
        <v>2.7142856121063232</v>
      </c>
      <c r="F55" s="126">
        <v>3.1785714626312256</v>
      </c>
      <c r="G55" s="29">
        <v>4.7142858505249023</v>
      </c>
      <c r="H55" s="29">
        <v>1.8928571939468384</v>
      </c>
      <c r="I55" s="29">
        <v>2.1428570747375488</v>
      </c>
      <c r="J55" s="29">
        <v>1.0357142686843872</v>
      </c>
      <c r="K55" s="29">
        <v>0.4285714328289032</v>
      </c>
      <c r="L55" s="40">
        <v>2.25</v>
      </c>
    </row>
    <row r="56" spans="1:13" s="16" customFormat="1" x14ac:dyDescent="0.2">
      <c r="A56" s="11" t="s">
        <v>94</v>
      </c>
      <c r="B56" s="46" t="s">
        <v>53</v>
      </c>
      <c r="C56" s="82" t="s">
        <v>133</v>
      </c>
      <c r="D56" s="144">
        <v>44927</v>
      </c>
      <c r="E56" s="40">
        <v>2.153846263885498</v>
      </c>
      <c r="F56" s="126">
        <v>4.7142858505249023</v>
      </c>
      <c r="G56" s="29" t="s">
        <v>173</v>
      </c>
      <c r="H56" s="29">
        <v>0.78571426868438721</v>
      </c>
      <c r="I56" s="29">
        <v>2.25</v>
      </c>
      <c r="J56" s="29">
        <v>1.9545454978942871</v>
      </c>
      <c r="K56" s="29">
        <v>2.5714285373687744</v>
      </c>
      <c r="L56" s="40">
        <v>4</v>
      </c>
    </row>
    <row r="57" spans="1:13" s="16" customFormat="1" x14ac:dyDescent="0.2">
      <c r="A57" s="11" t="s">
        <v>274</v>
      </c>
      <c r="B57" s="46" t="s">
        <v>273</v>
      </c>
      <c r="C57" s="82" t="s">
        <v>275</v>
      </c>
      <c r="D57" s="144">
        <v>45658</v>
      </c>
      <c r="E57" s="40">
        <v>0.6428571343421936</v>
      </c>
      <c r="F57" s="126">
        <v>2</v>
      </c>
      <c r="G57" s="29" t="s">
        <v>173</v>
      </c>
      <c r="H57" s="29">
        <v>1.7857142686843872</v>
      </c>
      <c r="I57" s="29">
        <v>1.1071428060531616</v>
      </c>
      <c r="J57" s="29">
        <v>1.6428571939468384</v>
      </c>
      <c r="K57" s="29">
        <v>0.4285714328289032</v>
      </c>
      <c r="L57" s="40">
        <v>1.875</v>
      </c>
    </row>
    <row r="58" spans="1:13" s="16" customFormat="1" x14ac:dyDescent="0.2">
      <c r="A58" s="11" t="s">
        <v>258</v>
      </c>
      <c r="B58" s="46" t="s">
        <v>257</v>
      </c>
      <c r="C58" s="82" t="s">
        <v>133</v>
      </c>
      <c r="D58" s="144">
        <v>45292</v>
      </c>
      <c r="E58" s="40">
        <v>0.71428573131561279</v>
      </c>
      <c r="F58" s="126">
        <v>3.6785714626312256</v>
      </c>
      <c r="G58" s="29">
        <v>4.1428570747375488</v>
      </c>
      <c r="H58" s="29">
        <v>3.9642856121063232</v>
      </c>
      <c r="I58" s="29">
        <v>3.75</v>
      </c>
      <c r="J58" s="29">
        <v>1.6071428060531616</v>
      </c>
      <c r="K58" s="29">
        <v>1.6071428060531616</v>
      </c>
      <c r="L58" s="40">
        <v>2.25</v>
      </c>
    </row>
    <row r="59" spans="1:13" s="16" customFormat="1" x14ac:dyDescent="0.2">
      <c r="B59" s="164"/>
      <c r="C59" s="66"/>
      <c r="D59" s="10"/>
      <c r="E59" s="40"/>
      <c r="F59" s="126"/>
      <c r="G59" s="29"/>
      <c r="H59" s="29"/>
      <c r="I59" s="29"/>
      <c r="J59" s="29"/>
      <c r="K59" s="29"/>
      <c r="L59" s="40"/>
    </row>
    <row r="60" spans="1:13" s="16" customFormat="1" x14ac:dyDescent="0.2">
      <c r="A60" s="156"/>
      <c r="B60" s="65" t="s">
        <v>145</v>
      </c>
      <c r="C60" s="62"/>
      <c r="D60" s="68"/>
      <c r="E60" s="56">
        <f t="shared" ref="E60:L60" si="0">AVERAGE(E7:E44)</f>
        <v>1.0232277155706757</v>
      </c>
      <c r="F60" s="128">
        <f t="shared" si="0"/>
        <v>3.2993421005575279</v>
      </c>
      <c r="G60" s="118">
        <f t="shared" si="0"/>
        <v>4.5713304408958981</v>
      </c>
      <c r="H60" s="118">
        <f t="shared" si="0"/>
        <v>1.0421125008479546</v>
      </c>
      <c r="I60" s="118">
        <f t="shared" si="0"/>
        <v>1.5587406056491953</v>
      </c>
      <c r="J60" s="118">
        <f t="shared" si="0"/>
        <v>1.3092466655530428</v>
      </c>
      <c r="K60" s="118">
        <f t="shared" si="0"/>
        <v>0.64686958452588639</v>
      </c>
      <c r="L60" s="157">
        <f t="shared" si="0"/>
        <v>2.1940789473684212</v>
      </c>
    </row>
    <row r="61" spans="1:13" s="16" customFormat="1" x14ac:dyDescent="0.2">
      <c r="A61" s="158"/>
      <c r="B61" s="38" t="s">
        <v>146</v>
      </c>
      <c r="C61" s="63"/>
      <c r="D61" s="139"/>
      <c r="E61" s="41">
        <f t="shared" ref="E61:L61" si="1">AVERAGE(SMALL(E7:E44,1),SMALL(E7:E44,2),SMALL(E7:E44,3),SMALL(E7:E44,4),SMALL(E7:E44,5))</f>
        <v>8.5714289546012873E-2</v>
      </c>
      <c r="F61" s="129">
        <f t="shared" si="1"/>
        <v>1.4285714268684386</v>
      </c>
      <c r="G61" s="32">
        <f t="shared" si="1"/>
        <v>2.2428571462631224</v>
      </c>
      <c r="H61" s="32">
        <f t="shared" si="1"/>
        <v>0</v>
      </c>
      <c r="I61" s="32">
        <f t="shared" si="1"/>
        <v>2.8571429848670959E-2</v>
      </c>
      <c r="J61" s="32">
        <f t="shared" si="1"/>
        <v>0</v>
      </c>
      <c r="K61" s="32">
        <f t="shared" si="1"/>
        <v>0</v>
      </c>
      <c r="L61" s="159">
        <f t="shared" si="1"/>
        <v>2.5000000000000001E-2</v>
      </c>
    </row>
    <row r="62" spans="1:13" s="16" customFormat="1" x14ac:dyDescent="0.2">
      <c r="A62" s="160"/>
      <c r="B62" s="161" t="s">
        <v>147</v>
      </c>
      <c r="C62" s="64"/>
      <c r="D62" s="145"/>
      <c r="E62" s="42">
        <f t="shared" ref="E62:L62" si="2">AVERAGE(LARGE(E7:E44,1),LARGE(E7:E44,2),LARGE(E7:E44,3),LARGE(E7:E44,4),LARGE(E7:E44,5))</f>
        <v>2.1827315807342531</v>
      </c>
      <c r="F62" s="130">
        <f t="shared" si="2"/>
        <v>4.8214285850524901</v>
      </c>
      <c r="G62" s="33">
        <f t="shared" si="2"/>
        <v>5.6351648330688473</v>
      </c>
      <c r="H62" s="33">
        <f t="shared" si="2"/>
        <v>3.5500000476837159</v>
      </c>
      <c r="I62" s="33">
        <f t="shared" si="2"/>
        <v>3.2071428298950195</v>
      </c>
      <c r="J62" s="33">
        <f t="shared" si="2"/>
        <v>3.1538461208343507</v>
      </c>
      <c r="K62" s="33">
        <f t="shared" si="2"/>
        <v>1.648901104927063</v>
      </c>
      <c r="L62" s="149">
        <f t="shared" si="2"/>
        <v>5.125</v>
      </c>
    </row>
    <row r="63" spans="1:13" s="20" customFormat="1" x14ac:dyDescent="0.2">
      <c r="A63" s="10"/>
      <c r="B63" s="10"/>
      <c r="C63" s="10"/>
      <c r="D63" s="10"/>
      <c r="E63" s="10"/>
      <c r="F63" s="10"/>
      <c r="G63" s="10"/>
      <c r="H63" s="10"/>
      <c r="I63" s="10"/>
      <c r="J63" s="10"/>
      <c r="K63" s="10"/>
      <c r="L63" s="10"/>
      <c r="M63" s="25"/>
    </row>
    <row r="64" spans="1:13" x14ac:dyDescent="0.2">
      <c r="A64" s="13" t="s">
        <v>277</v>
      </c>
      <c r="B64" s="11"/>
      <c r="C64" s="11"/>
      <c r="D64" s="16"/>
    </row>
    <row r="65" spans="1:632" x14ac:dyDescent="0.2">
      <c r="A65" s="13"/>
      <c r="B65" s="11"/>
      <c r="C65" s="11"/>
      <c r="D65" s="16"/>
    </row>
    <row r="66" spans="1:632" ht="17.45" customHeight="1" x14ac:dyDescent="0.2">
      <c r="A66" s="12" t="s">
        <v>56</v>
      </c>
      <c r="B66" s="11"/>
      <c r="C66" s="11"/>
      <c r="D66" s="16"/>
    </row>
    <row r="67" spans="1:632" s="23" customFormat="1" ht="17.45" customHeight="1" x14ac:dyDescent="0.2">
      <c r="A67" s="43" t="s">
        <v>136</v>
      </c>
      <c r="B67" s="10"/>
      <c r="C67" s="10"/>
      <c r="D67" s="16"/>
      <c r="E67" s="16"/>
      <c r="F67" s="16"/>
      <c r="G67" s="16"/>
      <c r="H67" s="16"/>
      <c r="I67" s="16"/>
      <c r="J67" s="16"/>
      <c r="K67" s="16"/>
      <c r="L67" s="48"/>
      <c r="M67" s="48"/>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c r="CK67" s="14"/>
      <c r="CL67" s="14"/>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c r="FA67" s="14"/>
      <c r="FB67" s="14"/>
      <c r="FC67" s="14"/>
      <c r="FD67" s="14"/>
      <c r="FE67" s="14"/>
      <c r="FF67" s="14"/>
      <c r="FG67" s="14"/>
      <c r="FH67" s="14"/>
      <c r="FI67" s="14"/>
      <c r="FJ67" s="14"/>
      <c r="FK67" s="14"/>
      <c r="FL67" s="14"/>
      <c r="FM67" s="14"/>
      <c r="FN67" s="14"/>
      <c r="FO67" s="14"/>
      <c r="FP67" s="14"/>
      <c r="FQ67" s="14"/>
      <c r="FR67" s="14"/>
      <c r="FS67" s="14"/>
      <c r="FT67" s="14"/>
      <c r="FU67" s="14"/>
      <c r="FV67" s="14"/>
      <c r="FW67" s="14"/>
      <c r="FX67" s="14"/>
      <c r="FY67" s="14"/>
      <c r="FZ67" s="14"/>
      <c r="GA67" s="14"/>
      <c r="GB67" s="14"/>
      <c r="GC67" s="14"/>
      <c r="GD67" s="14"/>
      <c r="GE67" s="14"/>
      <c r="GF67" s="14"/>
      <c r="GG67" s="14"/>
      <c r="GH67" s="14"/>
      <c r="GI67" s="14"/>
      <c r="GJ67" s="14"/>
      <c r="GK67" s="14"/>
      <c r="GL67" s="14"/>
      <c r="GM67" s="14"/>
      <c r="GN67" s="14"/>
      <c r="GO67" s="14"/>
      <c r="GP67" s="14"/>
      <c r="GQ67" s="14"/>
      <c r="GR67" s="14"/>
      <c r="GS67" s="14"/>
      <c r="GT67" s="14"/>
      <c r="GU67" s="14"/>
      <c r="GV67" s="14"/>
      <c r="GW67" s="14"/>
      <c r="GX67" s="14"/>
      <c r="GY67" s="14"/>
      <c r="GZ67" s="14"/>
      <c r="HA67" s="14"/>
      <c r="HB67" s="14"/>
      <c r="HC67" s="14"/>
      <c r="HD67" s="14"/>
      <c r="HE67" s="14"/>
      <c r="HF67" s="14"/>
      <c r="HG67" s="14"/>
      <c r="HH67" s="14"/>
      <c r="HI67" s="14"/>
      <c r="HJ67" s="14"/>
      <c r="HK67" s="14"/>
      <c r="HL67" s="14"/>
      <c r="HM67" s="14"/>
      <c r="HN67" s="14"/>
      <c r="HO67" s="14"/>
      <c r="HP67" s="14"/>
      <c r="HQ67" s="14"/>
      <c r="HR67" s="14"/>
      <c r="HS67" s="14"/>
      <c r="HT67" s="14"/>
      <c r="HU67" s="14"/>
      <c r="HV67" s="14"/>
      <c r="HW67" s="14"/>
      <c r="HX67" s="14"/>
      <c r="HY67" s="14"/>
      <c r="HZ67" s="14"/>
      <c r="IA67" s="14"/>
      <c r="IB67" s="14"/>
      <c r="IC67" s="14"/>
      <c r="ID67" s="14"/>
      <c r="IE67" s="14"/>
      <c r="IF67" s="14"/>
      <c r="IG67" s="14"/>
      <c r="IH67" s="14"/>
      <c r="II67" s="14"/>
      <c r="IJ67" s="14"/>
      <c r="IK67" s="14"/>
      <c r="IL67" s="14"/>
      <c r="IM67" s="14"/>
      <c r="IN67" s="14"/>
      <c r="IO67" s="14"/>
      <c r="IP67" s="14"/>
      <c r="IQ67" s="14"/>
      <c r="IR67" s="14"/>
      <c r="IS67" s="14"/>
      <c r="IT67" s="14"/>
      <c r="IU67" s="14"/>
      <c r="IV67" s="14"/>
      <c r="IW67" s="14"/>
      <c r="IX67" s="14"/>
      <c r="IY67" s="14"/>
      <c r="IZ67" s="14"/>
      <c r="JA67" s="14"/>
      <c r="JB67" s="14"/>
      <c r="JC67" s="14"/>
      <c r="JD67" s="14"/>
      <c r="JE67" s="14"/>
      <c r="JF67" s="14"/>
      <c r="JG67" s="14"/>
      <c r="JH67" s="14"/>
      <c r="JI67" s="14"/>
      <c r="JJ67" s="14"/>
      <c r="JK67" s="14"/>
      <c r="JL67" s="14"/>
      <c r="JM67" s="14"/>
      <c r="JN67" s="14"/>
      <c r="JO67" s="14"/>
      <c r="JP67" s="14"/>
      <c r="JQ67" s="14"/>
      <c r="JR67" s="14"/>
      <c r="JS67" s="14"/>
      <c r="JT67" s="14"/>
      <c r="JU67" s="14"/>
      <c r="JV67" s="14"/>
      <c r="JW67" s="14"/>
      <c r="JX67" s="14"/>
      <c r="JY67" s="14"/>
      <c r="JZ67" s="14"/>
      <c r="KA67" s="14"/>
      <c r="KB67" s="14"/>
      <c r="KC67" s="14"/>
      <c r="KD67" s="14"/>
      <c r="KE67" s="14"/>
      <c r="KF67" s="14"/>
      <c r="KG67" s="14"/>
      <c r="KH67" s="14"/>
      <c r="KI67" s="14"/>
      <c r="KJ67" s="14"/>
      <c r="KK67" s="14"/>
      <c r="KL67" s="14"/>
      <c r="KM67" s="14"/>
      <c r="KN67" s="14"/>
      <c r="KO67" s="14"/>
      <c r="KP67" s="14"/>
      <c r="KQ67" s="14"/>
      <c r="KR67" s="14"/>
      <c r="KS67" s="14"/>
      <c r="KT67" s="14"/>
      <c r="KU67" s="14"/>
      <c r="KV67" s="14"/>
      <c r="KW67" s="14"/>
      <c r="KX67" s="14"/>
      <c r="KY67" s="14"/>
      <c r="KZ67" s="14"/>
      <c r="LA67" s="14"/>
      <c r="LB67" s="14"/>
      <c r="LC67" s="14"/>
      <c r="LD67" s="14"/>
      <c r="LE67" s="14"/>
      <c r="LF67" s="14"/>
      <c r="LG67" s="14"/>
      <c r="LH67" s="14"/>
      <c r="LI67" s="14"/>
      <c r="LJ67" s="14"/>
      <c r="LK67" s="14"/>
      <c r="LL67" s="14"/>
      <c r="LM67" s="14"/>
      <c r="LN67" s="14"/>
      <c r="LO67" s="14"/>
      <c r="LP67" s="14"/>
      <c r="LQ67" s="14"/>
      <c r="LR67" s="14"/>
      <c r="LS67" s="14"/>
      <c r="LT67" s="14"/>
      <c r="LU67" s="14"/>
      <c r="LV67" s="14"/>
      <c r="LW67" s="14"/>
      <c r="LX67" s="14"/>
      <c r="LY67" s="14"/>
      <c r="LZ67" s="14"/>
      <c r="MA67" s="14"/>
      <c r="MB67" s="14"/>
      <c r="MC67" s="14"/>
      <c r="MD67" s="14"/>
      <c r="ME67" s="14"/>
      <c r="MF67" s="14"/>
      <c r="MG67" s="14"/>
      <c r="MH67" s="14"/>
      <c r="MI67" s="14"/>
      <c r="MJ67" s="14"/>
      <c r="MK67" s="14"/>
      <c r="ML67" s="14"/>
      <c r="MM67" s="14"/>
      <c r="MN67" s="14"/>
      <c r="MO67" s="14"/>
      <c r="MP67" s="14"/>
      <c r="MQ67" s="14"/>
      <c r="MR67" s="14"/>
      <c r="MS67" s="14"/>
      <c r="MT67" s="14"/>
      <c r="MU67" s="14"/>
      <c r="MV67" s="14"/>
      <c r="MW67" s="14"/>
      <c r="MX67" s="14"/>
      <c r="MY67" s="14"/>
      <c r="MZ67" s="14"/>
      <c r="NA67" s="14"/>
      <c r="NB67" s="14"/>
      <c r="NC67" s="14"/>
      <c r="ND67" s="14"/>
      <c r="NE67" s="14"/>
      <c r="NF67" s="14"/>
      <c r="NG67" s="14"/>
      <c r="NH67" s="14"/>
      <c r="NI67" s="14"/>
      <c r="NJ67" s="14"/>
      <c r="NK67" s="14"/>
      <c r="NL67" s="14"/>
      <c r="NM67" s="14"/>
      <c r="NN67" s="14"/>
      <c r="NO67" s="14"/>
      <c r="NP67" s="14"/>
      <c r="NQ67" s="14"/>
      <c r="NR67" s="14"/>
      <c r="NS67" s="14"/>
      <c r="NT67" s="14"/>
      <c r="NU67" s="14"/>
      <c r="NV67" s="14"/>
      <c r="NW67" s="14"/>
      <c r="NX67" s="14"/>
      <c r="NY67" s="14"/>
      <c r="NZ67" s="14"/>
      <c r="OA67" s="14"/>
      <c r="OB67" s="14"/>
      <c r="OC67" s="14"/>
      <c r="OD67" s="14"/>
      <c r="OE67" s="14"/>
      <c r="OF67" s="14"/>
      <c r="OG67" s="14"/>
      <c r="OH67" s="14"/>
      <c r="OI67" s="14"/>
      <c r="OJ67" s="14"/>
      <c r="OK67" s="14"/>
      <c r="OL67" s="14"/>
      <c r="OM67" s="14"/>
      <c r="ON67" s="14"/>
      <c r="OO67" s="14"/>
      <c r="OP67" s="14"/>
      <c r="OQ67" s="14"/>
      <c r="OR67" s="14"/>
      <c r="OS67" s="14"/>
      <c r="OT67" s="14"/>
      <c r="OU67" s="14"/>
      <c r="OV67" s="14"/>
      <c r="OW67" s="14"/>
      <c r="OX67" s="14"/>
      <c r="OY67" s="14"/>
      <c r="OZ67" s="14"/>
      <c r="PA67" s="14"/>
      <c r="PB67" s="14"/>
      <c r="PC67" s="14"/>
      <c r="PD67" s="14"/>
      <c r="PE67" s="14"/>
      <c r="PF67" s="14"/>
      <c r="PG67" s="14"/>
      <c r="PH67" s="14"/>
      <c r="PI67" s="14"/>
      <c r="PJ67" s="14"/>
      <c r="PK67" s="14"/>
      <c r="PL67" s="14"/>
      <c r="PM67" s="14"/>
      <c r="PN67" s="14"/>
      <c r="PO67" s="14"/>
      <c r="PP67" s="14"/>
      <c r="PQ67" s="14"/>
      <c r="PR67" s="14"/>
      <c r="PS67" s="14"/>
      <c r="PT67" s="14"/>
      <c r="PU67" s="14"/>
      <c r="PV67" s="14"/>
      <c r="PW67" s="14"/>
      <c r="PX67" s="14"/>
      <c r="PY67" s="14"/>
      <c r="PZ67" s="14"/>
      <c r="QA67" s="14"/>
      <c r="QB67" s="14"/>
      <c r="QC67" s="14"/>
      <c r="QD67" s="14"/>
      <c r="QE67" s="14"/>
      <c r="QF67" s="14"/>
      <c r="QG67" s="14"/>
      <c r="QH67" s="14"/>
      <c r="QI67" s="14"/>
      <c r="QJ67" s="14"/>
      <c r="QK67" s="14"/>
      <c r="QL67" s="14"/>
      <c r="QM67" s="14"/>
      <c r="QN67" s="14"/>
      <c r="QO67" s="14"/>
      <c r="QP67" s="14"/>
      <c r="QQ67" s="14"/>
      <c r="QR67" s="14"/>
      <c r="QS67" s="14"/>
      <c r="QT67" s="14"/>
      <c r="QU67" s="14"/>
      <c r="QV67" s="14"/>
      <c r="QW67" s="14"/>
      <c r="QX67" s="14"/>
      <c r="QY67" s="14"/>
      <c r="QZ67" s="14"/>
      <c r="RA67" s="14"/>
      <c r="RB67" s="14"/>
      <c r="RC67" s="14"/>
      <c r="RD67" s="14"/>
      <c r="RE67" s="14"/>
      <c r="RF67" s="14"/>
      <c r="RG67" s="14"/>
      <c r="RH67" s="14"/>
      <c r="RI67" s="14"/>
      <c r="RJ67" s="14"/>
      <c r="RK67" s="14"/>
      <c r="RL67" s="14"/>
      <c r="RM67" s="14"/>
      <c r="RN67" s="14"/>
      <c r="RO67" s="14"/>
      <c r="RP67" s="14"/>
      <c r="RQ67" s="14"/>
      <c r="RR67" s="14"/>
      <c r="RS67" s="14"/>
      <c r="RT67" s="14"/>
      <c r="RU67" s="14"/>
      <c r="RV67" s="14"/>
      <c r="RW67" s="14"/>
      <c r="RX67" s="14"/>
      <c r="RY67" s="14"/>
      <c r="RZ67" s="14"/>
      <c r="SA67" s="14"/>
      <c r="SB67" s="14"/>
      <c r="SC67" s="14"/>
      <c r="SD67" s="14"/>
      <c r="SE67" s="14"/>
      <c r="SF67" s="14"/>
      <c r="SG67" s="14"/>
      <c r="SH67" s="14"/>
      <c r="SI67" s="14"/>
      <c r="SJ67" s="14"/>
      <c r="SK67" s="14"/>
      <c r="SL67" s="14"/>
      <c r="SM67" s="14"/>
      <c r="SN67" s="14"/>
      <c r="SO67" s="14"/>
      <c r="SP67" s="14"/>
      <c r="SQ67" s="14"/>
      <c r="SR67" s="14"/>
      <c r="SS67" s="14"/>
      <c r="ST67" s="14"/>
      <c r="SU67" s="14"/>
      <c r="SV67" s="14"/>
      <c r="SW67" s="14"/>
      <c r="SX67" s="14"/>
      <c r="SY67" s="14"/>
      <c r="SZ67" s="14"/>
      <c r="TA67" s="14"/>
      <c r="TB67" s="14"/>
      <c r="TC67" s="14"/>
      <c r="TD67" s="14"/>
      <c r="TE67" s="14"/>
      <c r="TF67" s="14"/>
      <c r="TG67" s="14"/>
      <c r="TH67" s="14"/>
      <c r="TI67" s="14"/>
      <c r="TJ67" s="14"/>
      <c r="TK67" s="14"/>
      <c r="TL67" s="14"/>
      <c r="TM67" s="14"/>
      <c r="TN67" s="14"/>
      <c r="TO67" s="14"/>
      <c r="TP67" s="14"/>
      <c r="TQ67" s="14"/>
      <c r="TR67" s="14"/>
      <c r="TS67" s="14"/>
      <c r="TT67" s="14"/>
      <c r="TU67" s="14"/>
      <c r="TV67" s="14"/>
      <c r="TW67" s="14"/>
      <c r="TX67" s="14"/>
      <c r="TY67" s="14"/>
      <c r="TZ67" s="14"/>
      <c r="UA67" s="14"/>
      <c r="UB67" s="14"/>
      <c r="UC67" s="14"/>
      <c r="UD67" s="14"/>
      <c r="UE67" s="14"/>
      <c r="UF67" s="14"/>
      <c r="UG67" s="14"/>
      <c r="UH67" s="14"/>
      <c r="UI67" s="14"/>
      <c r="UJ67" s="14"/>
      <c r="UK67" s="14"/>
      <c r="UL67" s="14"/>
      <c r="UM67" s="14"/>
      <c r="UN67" s="14"/>
      <c r="UO67" s="14"/>
      <c r="UP67" s="14"/>
      <c r="UQ67" s="14"/>
      <c r="UR67" s="14"/>
      <c r="US67" s="14"/>
      <c r="UT67" s="14"/>
      <c r="UU67" s="14"/>
      <c r="UV67" s="14"/>
      <c r="UW67" s="14"/>
      <c r="UX67" s="14"/>
      <c r="UY67" s="14"/>
      <c r="UZ67" s="14"/>
      <c r="VA67" s="14"/>
      <c r="VB67" s="14"/>
      <c r="VC67" s="14"/>
      <c r="VD67" s="14"/>
      <c r="VE67" s="14"/>
      <c r="VF67" s="14"/>
      <c r="VG67" s="14"/>
      <c r="VH67" s="14"/>
      <c r="VI67" s="14"/>
      <c r="VJ67" s="14"/>
      <c r="VK67" s="14"/>
      <c r="VL67" s="14"/>
      <c r="VM67" s="14"/>
      <c r="VN67" s="14"/>
      <c r="VO67" s="14"/>
      <c r="VP67" s="14"/>
      <c r="VQ67" s="14"/>
      <c r="VR67" s="14"/>
      <c r="VS67" s="14"/>
      <c r="VT67" s="14"/>
      <c r="VU67" s="14"/>
      <c r="VV67" s="14"/>
      <c r="VW67" s="14"/>
      <c r="VX67" s="14"/>
      <c r="VY67" s="14"/>
      <c r="VZ67" s="14"/>
      <c r="WA67" s="14"/>
      <c r="WB67" s="14"/>
      <c r="WC67" s="14"/>
      <c r="WD67" s="14"/>
      <c r="WE67" s="14"/>
      <c r="WF67" s="14"/>
      <c r="WG67" s="14"/>
      <c r="WH67" s="14"/>
      <c r="WI67" s="14"/>
      <c r="WJ67" s="14"/>
      <c r="WK67" s="14"/>
      <c r="WL67" s="14"/>
      <c r="WM67" s="14"/>
      <c r="WN67" s="14"/>
      <c r="WO67" s="14"/>
      <c r="WP67" s="14"/>
      <c r="WQ67" s="14"/>
      <c r="WR67" s="14"/>
      <c r="WS67" s="14"/>
      <c r="WT67" s="14"/>
      <c r="WU67" s="14"/>
      <c r="WV67" s="14"/>
      <c r="WW67" s="14"/>
      <c r="WX67" s="14"/>
      <c r="WY67" s="14"/>
      <c r="WZ67" s="14"/>
      <c r="XA67" s="14"/>
      <c r="XB67" s="14"/>
      <c r="XC67" s="14"/>
      <c r="XD67" s="14"/>
      <c r="XE67" s="14"/>
      <c r="XF67" s="14"/>
      <c r="XG67" s="14"/>
      <c r="XH67" s="14"/>
    </row>
    <row r="68" spans="1:632" s="34" customFormat="1" ht="17.45" customHeight="1" x14ac:dyDescent="0.2">
      <c r="A68" s="44" t="s">
        <v>276</v>
      </c>
      <c r="B68" s="10"/>
      <c r="C68" s="10"/>
      <c r="D68" s="16"/>
      <c r="E68" s="16"/>
      <c r="F68" s="16"/>
      <c r="G68" s="16"/>
      <c r="H68" s="16"/>
      <c r="I68" s="16"/>
      <c r="J68" s="16"/>
      <c r="K68" s="16"/>
      <c r="L68" s="49"/>
      <c r="M68" s="49"/>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8"/>
      <c r="DL68" s="28"/>
      <c r="DM68" s="28"/>
      <c r="DN68" s="28"/>
      <c r="DO68" s="28"/>
      <c r="DP68" s="28"/>
      <c r="DQ68" s="28"/>
      <c r="DR68" s="28"/>
      <c r="DS68" s="28"/>
      <c r="DT68" s="28"/>
      <c r="DU68" s="28"/>
      <c r="DV68" s="28"/>
      <c r="DW68" s="28"/>
      <c r="DX68" s="28"/>
      <c r="DY68" s="28"/>
      <c r="DZ68" s="28"/>
      <c r="EA68" s="28"/>
      <c r="EB68" s="28"/>
      <c r="EC68" s="28"/>
      <c r="ED68" s="28"/>
      <c r="EE68" s="28"/>
      <c r="EF68" s="28"/>
      <c r="EG68" s="28"/>
      <c r="EH68" s="28"/>
      <c r="EI68" s="28"/>
      <c r="EJ68" s="28"/>
      <c r="EK68" s="28"/>
      <c r="EL68" s="28"/>
      <c r="EM68" s="28"/>
      <c r="EN68" s="28"/>
      <c r="EO68" s="28"/>
      <c r="EP68" s="28"/>
      <c r="EQ68" s="28"/>
      <c r="ER68" s="28"/>
      <c r="ES68" s="28"/>
      <c r="ET68" s="28"/>
      <c r="EU68" s="28"/>
      <c r="EV68" s="28"/>
      <c r="EW68" s="28"/>
      <c r="EX68" s="28"/>
      <c r="EY68" s="28"/>
      <c r="EZ68" s="28"/>
      <c r="FA68" s="28"/>
      <c r="FB68" s="28"/>
      <c r="FC68" s="28"/>
      <c r="FD68" s="28"/>
      <c r="FE68" s="28"/>
      <c r="FF68" s="28"/>
      <c r="FG68" s="28"/>
      <c r="FH68" s="28"/>
      <c r="FI68" s="28"/>
      <c r="FJ68" s="28"/>
      <c r="FK68" s="28"/>
      <c r="FL68" s="28"/>
      <c r="FM68" s="28"/>
      <c r="FN68" s="28"/>
      <c r="FO68" s="28"/>
      <c r="FP68" s="28"/>
      <c r="FQ68" s="28"/>
      <c r="FR68" s="28"/>
      <c r="FS68" s="28"/>
      <c r="FT68" s="28"/>
      <c r="FU68" s="28"/>
      <c r="FV68" s="28"/>
      <c r="FW68" s="28"/>
      <c r="FX68" s="28"/>
      <c r="FY68" s="28"/>
      <c r="FZ68" s="28"/>
      <c r="GA68" s="28"/>
      <c r="GB68" s="28"/>
      <c r="GC68" s="28"/>
      <c r="GD68" s="28"/>
      <c r="GE68" s="28"/>
      <c r="GF68" s="28"/>
      <c r="GG68" s="28"/>
      <c r="GH68" s="28"/>
      <c r="GI68" s="28"/>
      <c r="GJ68" s="28"/>
      <c r="GK68" s="28"/>
      <c r="GL68" s="28"/>
      <c r="GM68" s="28"/>
      <c r="GN68" s="28"/>
      <c r="GO68" s="28"/>
      <c r="GP68" s="28"/>
      <c r="GQ68" s="28"/>
      <c r="GR68" s="28"/>
      <c r="GS68" s="28"/>
      <c r="GT68" s="28"/>
      <c r="GU68" s="28"/>
      <c r="GV68" s="28"/>
      <c r="GW68" s="28"/>
      <c r="GX68" s="28"/>
      <c r="GY68" s="28"/>
      <c r="GZ68" s="28"/>
      <c r="HA68" s="28"/>
      <c r="HB68" s="28"/>
      <c r="HC68" s="28"/>
      <c r="HD68" s="28"/>
      <c r="HE68" s="28"/>
      <c r="HF68" s="28"/>
      <c r="HG68" s="28"/>
      <c r="HH68" s="28"/>
      <c r="HI68" s="28"/>
      <c r="HJ68" s="28"/>
      <c r="HK68" s="28"/>
      <c r="HL68" s="28"/>
      <c r="HM68" s="28"/>
      <c r="HN68" s="28"/>
      <c r="HO68" s="28"/>
      <c r="HP68" s="28"/>
      <c r="HQ68" s="28"/>
      <c r="HR68" s="28"/>
      <c r="HS68" s="28"/>
      <c r="HT68" s="28"/>
      <c r="HU68" s="28"/>
      <c r="HV68" s="28"/>
      <c r="HW68" s="28"/>
      <c r="HX68" s="28"/>
      <c r="HY68" s="28"/>
      <c r="HZ68" s="28"/>
      <c r="IA68" s="28"/>
      <c r="IB68" s="28"/>
      <c r="IC68" s="28"/>
      <c r="ID68" s="28"/>
      <c r="IE68" s="28"/>
      <c r="IF68" s="28"/>
      <c r="IG68" s="28"/>
      <c r="IH68" s="28"/>
      <c r="II68" s="28"/>
      <c r="IJ68" s="28"/>
      <c r="IK68" s="28"/>
      <c r="IL68" s="28"/>
      <c r="IM68" s="28"/>
      <c r="IN68" s="28"/>
      <c r="IO68" s="28"/>
      <c r="IP68" s="28"/>
      <c r="IQ68" s="28"/>
      <c r="IR68" s="28"/>
      <c r="IS68" s="28"/>
      <c r="IT68" s="28"/>
      <c r="IU68" s="28"/>
      <c r="IV68" s="28"/>
      <c r="IW68" s="28"/>
      <c r="IX68" s="28"/>
      <c r="IY68" s="28"/>
      <c r="IZ68" s="28"/>
      <c r="JA68" s="28"/>
      <c r="JB68" s="28"/>
      <c r="JC68" s="28"/>
      <c r="JD68" s="28"/>
      <c r="JE68" s="28"/>
      <c r="JF68" s="28"/>
      <c r="JG68" s="28"/>
      <c r="JH68" s="28"/>
      <c r="JI68" s="28"/>
      <c r="JJ68" s="28"/>
      <c r="JK68" s="28"/>
      <c r="JL68" s="28"/>
      <c r="JM68" s="28"/>
      <c r="JN68" s="28"/>
      <c r="JO68" s="28"/>
      <c r="JP68" s="28"/>
      <c r="JQ68" s="28"/>
      <c r="JR68" s="28"/>
      <c r="JS68" s="28"/>
      <c r="JT68" s="28"/>
      <c r="JU68" s="28"/>
      <c r="JV68" s="28"/>
      <c r="JW68" s="28"/>
      <c r="JX68" s="28"/>
      <c r="JY68" s="28"/>
      <c r="JZ68" s="28"/>
      <c r="KA68" s="28"/>
      <c r="KB68" s="28"/>
      <c r="KC68" s="28"/>
      <c r="KD68" s="28"/>
      <c r="KE68" s="28"/>
      <c r="KF68" s="28"/>
      <c r="KG68" s="28"/>
      <c r="KH68" s="28"/>
      <c r="KI68" s="28"/>
      <c r="KJ68" s="28"/>
      <c r="KK68" s="28"/>
      <c r="KL68" s="28"/>
      <c r="KM68" s="28"/>
      <c r="KN68" s="28"/>
      <c r="KO68" s="28"/>
      <c r="KP68" s="28"/>
      <c r="KQ68" s="28"/>
      <c r="KR68" s="28"/>
      <c r="KS68" s="28"/>
      <c r="KT68" s="28"/>
      <c r="KU68" s="28"/>
      <c r="KV68" s="28"/>
      <c r="KW68" s="28"/>
      <c r="KX68" s="28"/>
      <c r="KY68" s="28"/>
      <c r="KZ68" s="28"/>
      <c r="LA68" s="28"/>
      <c r="LB68" s="28"/>
      <c r="LC68" s="28"/>
      <c r="LD68" s="28"/>
      <c r="LE68" s="28"/>
      <c r="LF68" s="28"/>
      <c r="LG68" s="28"/>
      <c r="LH68" s="28"/>
      <c r="LI68" s="28"/>
      <c r="LJ68" s="28"/>
      <c r="LK68" s="28"/>
      <c r="LL68" s="28"/>
      <c r="LM68" s="28"/>
      <c r="LN68" s="28"/>
      <c r="LO68" s="28"/>
      <c r="LP68" s="28"/>
      <c r="LQ68" s="28"/>
      <c r="LR68" s="28"/>
      <c r="LS68" s="28"/>
      <c r="LT68" s="28"/>
      <c r="LU68" s="28"/>
      <c r="LV68" s="28"/>
      <c r="LW68" s="28"/>
      <c r="LX68" s="28"/>
      <c r="LY68" s="28"/>
      <c r="LZ68" s="28"/>
      <c r="MA68" s="28"/>
      <c r="MB68" s="28"/>
      <c r="MC68" s="28"/>
      <c r="MD68" s="28"/>
      <c r="ME68" s="28"/>
      <c r="MF68" s="28"/>
      <c r="MG68" s="28"/>
      <c r="MH68" s="28"/>
      <c r="MI68" s="28"/>
      <c r="MJ68" s="28"/>
      <c r="MK68" s="28"/>
      <c r="ML68" s="28"/>
      <c r="MM68" s="28"/>
      <c r="MN68" s="28"/>
      <c r="MO68" s="28"/>
      <c r="MP68" s="28"/>
      <c r="MQ68" s="28"/>
      <c r="MR68" s="28"/>
      <c r="MS68" s="28"/>
      <c r="MT68" s="28"/>
      <c r="MU68" s="28"/>
      <c r="MV68" s="28"/>
      <c r="MW68" s="28"/>
      <c r="MX68" s="28"/>
      <c r="MY68" s="28"/>
      <c r="MZ68" s="28"/>
      <c r="NA68" s="28"/>
      <c r="NB68" s="28"/>
      <c r="NC68" s="28"/>
      <c r="ND68" s="28"/>
      <c r="NE68" s="28"/>
      <c r="NF68" s="28"/>
      <c r="NG68" s="28"/>
      <c r="NH68" s="28"/>
      <c r="NI68" s="28"/>
      <c r="NJ68" s="28"/>
      <c r="NK68" s="28"/>
      <c r="NL68" s="28"/>
      <c r="NM68" s="28"/>
      <c r="NN68" s="28"/>
      <c r="NO68" s="28"/>
      <c r="NP68" s="28"/>
      <c r="NQ68" s="28"/>
      <c r="NR68" s="28"/>
      <c r="NS68" s="28"/>
      <c r="NT68" s="28"/>
      <c r="NU68" s="28"/>
      <c r="NV68" s="28"/>
      <c r="NW68" s="28"/>
      <c r="NX68" s="28"/>
      <c r="NY68" s="28"/>
      <c r="NZ68" s="28"/>
      <c r="OA68" s="28"/>
      <c r="OB68" s="28"/>
      <c r="OC68" s="28"/>
      <c r="OD68" s="28"/>
      <c r="OE68" s="28"/>
      <c r="OF68" s="28"/>
      <c r="OG68" s="28"/>
      <c r="OH68" s="28"/>
      <c r="OI68" s="28"/>
      <c r="OJ68" s="28"/>
      <c r="OK68" s="28"/>
      <c r="OL68" s="28"/>
      <c r="OM68" s="28"/>
      <c r="ON68" s="28"/>
      <c r="OO68" s="28"/>
      <c r="OP68" s="28"/>
      <c r="OQ68" s="28"/>
      <c r="OR68" s="28"/>
      <c r="OS68" s="28"/>
      <c r="OT68" s="28"/>
      <c r="OU68" s="28"/>
      <c r="OV68" s="28"/>
      <c r="OW68" s="28"/>
      <c r="OX68" s="28"/>
      <c r="OY68" s="28"/>
      <c r="OZ68" s="28"/>
      <c r="PA68" s="28"/>
      <c r="PB68" s="28"/>
      <c r="PC68" s="28"/>
      <c r="PD68" s="28"/>
      <c r="PE68" s="28"/>
      <c r="PF68" s="28"/>
      <c r="PG68" s="28"/>
      <c r="PH68" s="28"/>
      <c r="PI68" s="28"/>
      <c r="PJ68" s="28"/>
      <c r="PK68" s="28"/>
      <c r="PL68" s="28"/>
      <c r="PM68" s="28"/>
      <c r="PN68" s="28"/>
      <c r="PO68" s="28"/>
      <c r="PP68" s="28"/>
      <c r="PQ68" s="28"/>
      <c r="PR68" s="28"/>
      <c r="PS68" s="28"/>
      <c r="PT68" s="28"/>
      <c r="PU68" s="28"/>
      <c r="PV68" s="28"/>
      <c r="PW68" s="28"/>
      <c r="PX68" s="28"/>
      <c r="PY68" s="28"/>
      <c r="PZ68" s="28"/>
      <c r="QA68" s="28"/>
      <c r="QB68" s="28"/>
      <c r="QC68" s="28"/>
      <c r="QD68" s="28"/>
      <c r="QE68" s="28"/>
      <c r="QF68" s="28"/>
      <c r="QG68" s="28"/>
      <c r="QH68" s="28"/>
      <c r="QI68" s="28"/>
      <c r="QJ68" s="28"/>
      <c r="QK68" s="28"/>
      <c r="QL68" s="28"/>
      <c r="QM68" s="28"/>
      <c r="QN68" s="28"/>
      <c r="QO68" s="28"/>
      <c r="QP68" s="28"/>
      <c r="QQ68" s="28"/>
      <c r="QR68" s="28"/>
      <c r="QS68" s="28"/>
      <c r="QT68" s="28"/>
      <c r="QU68" s="28"/>
      <c r="QV68" s="28"/>
      <c r="QW68" s="28"/>
      <c r="QX68" s="28"/>
      <c r="QY68" s="28"/>
      <c r="QZ68" s="28"/>
      <c r="RA68" s="28"/>
      <c r="RB68" s="28"/>
      <c r="RC68" s="28"/>
      <c r="RD68" s="28"/>
      <c r="RE68" s="28"/>
      <c r="RF68" s="28"/>
      <c r="RG68" s="28"/>
      <c r="RH68" s="28"/>
      <c r="RI68" s="28"/>
      <c r="RJ68" s="28"/>
      <c r="RK68" s="28"/>
      <c r="RL68" s="28"/>
      <c r="RM68" s="28"/>
      <c r="RN68" s="28"/>
      <c r="RO68" s="28"/>
      <c r="RP68" s="28"/>
      <c r="RQ68" s="28"/>
      <c r="RR68" s="28"/>
      <c r="RS68" s="28"/>
      <c r="RT68" s="28"/>
      <c r="RU68" s="28"/>
      <c r="RV68" s="28"/>
      <c r="RW68" s="28"/>
      <c r="RX68" s="28"/>
      <c r="RY68" s="28"/>
      <c r="RZ68" s="28"/>
      <c r="SA68" s="28"/>
      <c r="SB68" s="28"/>
      <c r="SC68" s="28"/>
      <c r="SD68" s="28"/>
      <c r="SE68" s="28"/>
      <c r="SF68" s="28"/>
      <c r="SG68" s="28"/>
      <c r="SH68" s="28"/>
      <c r="SI68" s="28"/>
      <c r="SJ68" s="28"/>
      <c r="SK68" s="28"/>
      <c r="SL68" s="28"/>
      <c r="SM68" s="28"/>
      <c r="SN68" s="28"/>
      <c r="SO68" s="28"/>
      <c r="SP68" s="28"/>
      <c r="SQ68" s="28"/>
      <c r="SR68" s="28"/>
      <c r="SS68" s="28"/>
      <c r="ST68" s="28"/>
      <c r="SU68" s="28"/>
      <c r="SV68" s="28"/>
      <c r="SW68" s="28"/>
      <c r="SX68" s="28"/>
      <c r="SY68" s="28"/>
      <c r="SZ68" s="28"/>
      <c r="TA68" s="28"/>
      <c r="TB68" s="28"/>
      <c r="TC68" s="28"/>
      <c r="TD68" s="28"/>
      <c r="TE68" s="28"/>
      <c r="TF68" s="28"/>
      <c r="TG68" s="28"/>
      <c r="TH68" s="28"/>
      <c r="TI68" s="28"/>
      <c r="TJ68" s="28"/>
      <c r="TK68" s="28"/>
      <c r="TL68" s="28"/>
      <c r="TM68" s="28"/>
      <c r="TN68" s="28"/>
      <c r="TO68" s="28"/>
      <c r="TP68" s="28"/>
      <c r="TQ68" s="28"/>
      <c r="TR68" s="28"/>
      <c r="TS68" s="28"/>
      <c r="TT68" s="28"/>
      <c r="TU68" s="28"/>
      <c r="TV68" s="28"/>
      <c r="TW68" s="28"/>
      <c r="TX68" s="28"/>
      <c r="TY68" s="28"/>
      <c r="TZ68" s="28"/>
      <c r="UA68" s="28"/>
      <c r="UB68" s="28"/>
      <c r="UC68" s="28"/>
      <c r="UD68" s="28"/>
      <c r="UE68" s="28"/>
      <c r="UF68" s="28"/>
      <c r="UG68" s="28"/>
      <c r="UH68" s="28"/>
      <c r="UI68" s="28"/>
      <c r="UJ68" s="28"/>
      <c r="UK68" s="28"/>
      <c r="UL68" s="28"/>
      <c r="UM68" s="28"/>
      <c r="UN68" s="28"/>
      <c r="UO68" s="28"/>
      <c r="UP68" s="28"/>
      <c r="UQ68" s="28"/>
      <c r="UR68" s="28"/>
      <c r="US68" s="28"/>
      <c r="UT68" s="28"/>
      <c r="UU68" s="28"/>
      <c r="UV68" s="28"/>
      <c r="UW68" s="28"/>
      <c r="UX68" s="28"/>
      <c r="UY68" s="28"/>
      <c r="UZ68" s="28"/>
      <c r="VA68" s="28"/>
      <c r="VB68" s="28"/>
      <c r="VC68" s="28"/>
      <c r="VD68" s="28"/>
      <c r="VE68" s="28"/>
      <c r="VF68" s="28"/>
      <c r="VG68" s="28"/>
      <c r="VH68" s="28"/>
      <c r="VI68" s="28"/>
      <c r="VJ68" s="28"/>
      <c r="VK68" s="28"/>
      <c r="VL68" s="28"/>
      <c r="VM68" s="28"/>
      <c r="VN68" s="28"/>
      <c r="VO68" s="28"/>
      <c r="VP68" s="28"/>
      <c r="VQ68" s="28"/>
      <c r="VR68" s="28"/>
      <c r="VS68" s="28"/>
      <c r="VT68" s="28"/>
      <c r="VU68" s="28"/>
      <c r="VV68" s="28"/>
      <c r="VW68" s="28"/>
      <c r="VX68" s="28"/>
      <c r="VY68" s="28"/>
      <c r="VZ68" s="28"/>
      <c r="WA68" s="28"/>
      <c r="WB68" s="28"/>
      <c r="WC68" s="28"/>
      <c r="WD68" s="28"/>
      <c r="WE68" s="28"/>
      <c r="WF68" s="28"/>
      <c r="WG68" s="28"/>
      <c r="WH68" s="28"/>
      <c r="WI68" s="28"/>
      <c r="WJ68" s="28"/>
      <c r="WK68" s="28"/>
      <c r="WL68" s="28"/>
      <c r="WM68" s="28"/>
      <c r="WN68" s="28"/>
      <c r="WO68" s="28"/>
      <c r="WP68" s="28"/>
      <c r="WQ68" s="28"/>
      <c r="WR68" s="28"/>
      <c r="WS68" s="28"/>
      <c r="WT68" s="28"/>
      <c r="WU68" s="28"/>
      <c r="WV68" s="28"/>
      <c r="WW68" s="28"/>
      <c r="WX68" s="28"/>
      <c r="WY68" s="28"/>
      <c r="WZ68" s="28"/>
      <c r="XA68" s="28"/>
      <c r="XB68" s="28"/>
      <c r="XC68" s="28"/>
      <c r="XD68" s="28"/>
      <c r="XE68" s="28"/>
      <c r="XF68" s="28"/>
      <c r="XG68" s="28"/>
      <c r="XH68" s="28"/>
    </row>
    <row r="69" spans="1:632" ht="17.45" customHeight="1" x14ac:dyDescent="0.2">
      <c r="A69" s="24" t="s">
        <v>55</v>
      </c>
      <c r="B69" s="10"/>
      <c r="C69" s="10"/>
      <c r="D69" s="16"/>
      <c r="L69" s="48"/>
      <c r="M69" s="48"/>
    </row>
    <row r="70" spans="1:632" ht="17.45" customHeight="1" x14ac:dyDescent="0.2">
      <c r="A70" s="24" t="s">
        <v>233</v>
      </c>
      <c r="B70" s="10"/>
      <c r="C70" s="10"/>
      <c r="D70" s="16"/>
    </row>
    <row r="71" spans="1:632" ht="17.45" customHeight="1" x14ac:dyDescent="0.2">
      <c r="A71" s="11" t="s">
        <v>234</v>
      </c>
      <c r="B71" s="10"/>
      <c r="C71" s="10"/>
      <c r="D71" s="16"/>
    </row>
    <row r="72" spans="1:632" s="14" customFormat="1" ht="17.45" customHeight="1" x14ac:dyDescent="0.2">
      <c r="A72" s="20" t="s">
        <v>250</v>
      </c>
      <c r="B72" s="11"/>
      <c r="C72" s="11"/>
      <c r="D72" s="69"/>
      <c r="E72" s="48"/>
      <c r="F72" s="48"/>
      <c r="G72" s="48"/>
      <c r="H72" s="48"/>
    </row>
    <row r="73" spans="1:632" s="14" customFormat="1" ht="17.45" customHeight="1" x14ac:dyDescent="0.2">
      <c r="A73" s="20" t="s">
        <v>251</v>
      </c>
      <c r="B73" s="48"/>
      <c r="C73" s="48"/>
      <c r="D73" s="69"/>
      <c r="E73" s="48"/>
      <c r="F73" s="48"/>
      <c r="G73" s="48"/>
      <c r="H73" s="48"/>
    </row>
    <row r="74" spans="1:632" s="14" customFormat="1" ht="17.45" customHeight="1" x14ac:dyDescent="0.2">
      <c r="A74" s="20" t="s">
        <v>252</v>
      </c>
      <c r="B74" s="11"/>
      <c r="C74" s="11"/>
      <c r="D74" s="69"/>
      <c r="E74" s="48"/>
      <c r="F74" s="48"/>
      <c r="G74" s="48"/>
      <c r="H74" s="48"/>
      <c r="I74" s="48"/>
      <c r="J74" s="48"/>
      <c r="K74" s="48"/>
    </row>
    <row r="75" spans="1:632" x14ac:dyDescent="0.2">
      <c r="B75" s="10"/>
      <c r="C75" s="10"/>
      <c r="D75" s="16"/>
    </row>
    <row r="76" spans="1:632" x14ac:dyDescent="0.2">
      <c r="B76" s="10"/>
      <c r="C76" s="10"/>
      <c r="D76" s="16"/>
    </row>
    <row r="77" spans="1:632" x14ac:dyDescent="0.2">
      <c r="B77" s="10"/>
      <c r="C77" s="10"/>
      <c r="D77" s="16"/>
    </row>
  </sheetData>
  <mergeCells count="13">
    <mergeCell ref="F3:K3"/>
    <mergeCell ref="A4:A5"/>
    <mergeCell ref="B4:B5"/>
    <mergeCell ref="C4:C5"/>
    <mergeCell ref="D4:D5"/>
    <mergeCell ref="E4:E5"/>
    <mergeCell ref="K4:K5"/>
    <mergeCell ref="L4:L5"/>
    <mergeCell ref="F4:F5"/>
    <mergeCell ref="G4:G5"/>
    <mergeCell ref="H4:H5"/>
    <mergeCell ref="I4:I5"/>
    <mergeCell ref="J4:J5"/>
  </mergeCells>
  <conditionalFormatting sqref="E45">
    <cfRule type="expression" dxfId="6" priority="6">
      <formula>"B$17:B$44&gt;B$46"</formula>
    </cfRule>
  </conditionalFormatting>
  <conditionalFormatting sqref="E60:E61">
    <cfRule type="cellIs" dxfId="5" priority="4" operator="greaterThan">
      <formula>1.38</formula>
    </cfRule>
  </conditionalFormatting>
  <pageMargins left="0.7" right="0.7" top="0.75" bottom="0.75" header="0.3" footer="0.3"/>
  <pageSetup paperSize="9" scale="96" fitToWidth="0" orientation="landscape" r:id="rId1"/>
  <headerFooter>
    <oddFooter>&amp;R_x000D_&amp;1#&amp;"Calibri"&amp;10&amp;K000000 Official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7BE76-ACB9-486F-8CE5-927FEBCB8C0D}">
  <dimension ref="A1:XG273"/>
  <sheetViews>
    <sheetView zoomScale="70" zoomScaleNormal="70" workbookViewId="0">
      <pane xSplit="2" ySplit="5" topLeftCell="C6" activePane="bottomRight" state="frozen"/>
      <selection pane="topRight" activeCell="B1" sqref="B1"/>
      <selection pane="bottomLeft" activeCell="A8" sqref="A8"/>
      <selection pane="bottomRight" activeCell="V33" sqref="V33"/>
    </sheetView>
  </sheetViews>
  <sheetFormatPr defaultColWidth="9.140625" defaultRowHeight="12.75" x14ac:dyDescent="0.2"/>
  <cols>
    <col min="1" max="1" width="19.140625" style="15" bestFit="1" customWidth="1"/>
    <col min="2" max="2" width="30.42578125" style="15" customWidth="1"/>
    <col min="3" max="3" width="15.7109375" style="15" customWidth="1"/>
    <col min="4" max="4" width="18.7109375" style="166" customWidth="1"/>
    <col min="5" max="5" width="15" style="16" customWidth="1"/>
    <col min="6" max="6" width="14.140625" style="16" customWidth="1"/>
    <col min="7" max="7" width="13.85546875" style="16" customWidth="1"/>
    <col min="8" max="8" width="15.5703125" style="16" customWidth="1"/>
    <col min="9" max="9" width="15.140625" style="16" customWidth="1"/>
    <col min="10" max="10" width="18.28515625" style="16" customWidth="1"/>
    <col min="11" max="11" width="16.5703125" style="16" customWidth="1"/>
    <col min="12" max="12" width="14.140625" style="16" customWidth="1"/>
    <col min="13" max="13" width="9.140625" style="16" customWidth="1"/>
    <col min="14" max="14" width="8.28515625" style="16" customWidth="1"/>
    <col min="15" max="16384" width="9.140625" style="15"/>
  </cols>
  <sheetData>
    <row r="1" spans="1:14" ht="18" x14ac:dyDescent="0.2">
      <c r="A1" s="58" t="s">
        <v>229</v>
      </c>
      <c r="B1" s="37"/>
      <c r="D1" s="167"/>
    </row>
    <row r="2" spans="1:14" x14ac:dyDescent="0.2">
      <c r="B2" s="37"/>
      <c r="D2" s="168"/>
      <c r="E2" s="27"/>
      <c r="F2" s="27"/>
      <c r="G2" s="27"/>
      <c r="H2" s="27"/>
      <c r="I2" s="27"/>
      <c r="J2" s="27"/>
      <c r="K2" s="27"/>
    </row>
    <row r="3" spans="1:14" ht="21.6" customHeight="1" x14ac:dyDescent="0.2">
      <c r="B3" s="37"/>
      <c r="D3" s="168"/>
      <c r="E3" s="51"/>
      <c r="F3" s="365" t="s">
        <v>254</v>
      </c>
      <c r="G3" s="366"/>
      <c r="H3" s="366"/>
      <c r="I3" s="366"/>
      <c r="J3" s="366"/>
      <c r="K3" s="367"/>
      <c r="L3" s="247"/>
    </row>
    <row r="4" spans="1:14" ht="33.75" customHeight="1" x14ac:dyDescent="0.2">
      <c r="A4" s="357" t="s">
        <v>127</v>
      </c>
      <c r="B4" s="357" t="s">
        <v>157</v>
      </c>
      <c r="C4" s="359" t="s">
        <v>149</v>
      </c>
      <c r="D4" s="359" t="s">
        <v>101</v>
      </c>
      <c r="E4" s="348" t="s">
        <v>12</v>
      </c>
      <c r="F4" s="363" t="s">
        <v>13</v>
      </c>
      <c r="G4" s="363" t="s">
        <v>255</v>
      </c>
      <c r="H4" s="361" t="s">
        <v>0</v>
      </c>
      <c r="I4" s="363" t="s">
        <v>1</v>
      </c>
      <c r="J4" s="363" t="s">
        <v>2</v>
      </c>
      <c r="K4" s="368" t="s">
        <v>23</v>
      </c>
      <c r="L4" s="348" t="s">
        <v>160</v>
      </c>
    </row>
    <row r="5" spans="1:14" s="16" customFormat="1" ht="74.45" customHeight="1" x14ac:dyDescent="0.2">
      <c r="A5" s="358"/>
      <c r="B5" s="358"/>
      <c r="C5" s="360"/>
      <c r="D5" s="360"/>
      <c r="E5" s="349"/>
      <c r="F5" s="364"/>
      <c r="G5" s="364" t="s">
        <v>11</v>
      </c>
      <c r="H5" s="362" t="s">
        <v>11</v>
      </c>
      <c r="I5" s="364" t="s">
        <v>11</v>
      </c>
      <c r="J5" s="364" t="s">
        <v>11</v>
      </c>
      <c r="K5" s="369" t="s">
        <v>11</v>
      </c>
      <c r="L5" s="349"/>
    </row>
    <row r="6" spans="1:14" s="16" customFormat="1" x14ac:dyDescent="0.2">
      <c r="B6" s="226" t="s">
        <v>128</v>
      </c>
      <c r="C6" s="10"/>
      <c r="D6" s="166"/>
      <c r="E6" s="119" t="s">
        <v>107</v>
      </c>
      <c r="F6" s="47"/>
      <c r="G6" s="47"/>
      <c r="H6" s="171"/>
      <c r="I6" s="47"/>
      <c r="J6" s="47"/>
      <c r="K6" s="182"/>
      <c r="L6" s="176"/>
      <c r="N6" s="30"/>
    </row>
    <row r="7" spans="1:14" s="16" customFormat="1" x14ac:dyDescent="0.2">
      <c r="A7" s="11" t="s">
        <v>62</v>
      </c>
      <c r="B7" s="46" t="s">
        <v>61</v>
      </c>
      <c r="C7" s="77" t="s">
        <v>133</v>
      </c>
      <c r="D7" s="169">
        <v>43101</v>
      </c>
      <c r="E7" s="177">
        <v>0.4285714328289032</v>
      </c>
      <c r="F7" s="29">
        <v>1.2857142686843872</v>
      </c>
      <c r="G7" s="29" t="s">
        <v>173</v>
      </c>
      <c r="H7" s="172">
        <v>7.1428574621677399E-2</v>
      </c>
      <c r="I7" s="29">
        <v>0.5</v>
      </c>
      <c r="J7" s="29">
        <v>0</v>
      </c>
      <c r="K7" s="126">
        <v>1</v>
      </c>
      <c r="L7" s="178">
        <v>3.5</v>
      </c>
      <c r="N7" s="30"/>
    </row>
    <row r="8" spans="1:14" s="16" customFormat="1" x14ac:dyDescent="0.2">
      <c r="A8" s="11" t="s">
        <v>76</v>
      </c>
      <c r="B8" s="46" t="s">
        <v>37</v>
      </c>
      <c r="C8" s="77" t="s">
        <v>133</v>
      </c>
      <c r="D8" s="169">
        <v>43101</v>
      </c>
      <c r="E8" s="177">
        <v>1.7806122303009033</v>
      </c>
      <c r="F8" s="29">
        <v>2.7857143878936768</v>
      </c>
      <c r="G8" s="29">
        <v>5.1428570747375488</v>
      </c>
      <c r="H8" s="172">
        <v>1.6964285373687744</v>
      </c>
      <c r="I8" s="29">
        <v>1.6785714626312256</v>
      </c>
      <c r="J8" s="29">
        <v>3.1428570747375488</v>
      </c>
      <c r="K8" s="126">
        <v>1.1785714626312256</v>
      </c>
      <c r="L8" s="178">
        <v>5.125</v>
      </c>
      <c r="N8" s="30"/>
    </row>
    <row r="9" spans="1:14" s="16" customFormat="1" x14ac:dyDescent="0.2">
      <c r="A9" s="11" t="s">
        <v>114</v>
      </c>
      <c r="B9" s="46" t="s">
        <v>113</v>
      </c>
      <c r="C9" s="77" t="s">
        <v>133</v>
      </c>
      <c r="D9" s="169">
        <v>43101</v>
      </c>
      <c r="E9" s="177">
        <v>2.3775510787963867</v>
      </c>
      <c r="F9" s="29">
        <v>3.25</v>
      </c>
      <c r="G9" s="29">
        <v>4.0714287757873535</v>
      </c>
      <c r="H9" s="172">
        <v>1.8571428060531616</v>
      </c>
      <c r="I9" s="29">
        <v>2.7142856121063232</v>
      </c>
      <c r="J9" s="29">
        <v>7.1428574621677399E-2</v>
      </c>
      <c r="K9" s="126">
        <v>2.384615421295166</v>
      </c>
      <c r="L9" s="178">
        <v>3.5</v>
      </c>
      <c r="N9" s="30"/>
    </row>
    <row r="10" spans="1:14" s="16" customFormat="1" x14ac:dyDescent="0.2">
      <c r="A10" s="11" t="s">
        <v>63</v>
      </c>
      <c r="B10" s="46" t="s">
        <v>31</v>
      </c>
      <c r="C10" s="77" t="s">
        <v>133</v>
      </c>
      <c r="D10" s="169">
        <v>43101</v>
      </c>
      <c r="E10" s="177">
        <v>1.2307692766189575</v>
      </c>
      <c r="F10" s="29">
        <v>2.0357143878936768</v>
      </c>
      <c r="G10" s="29" t="s">
        <v>173</v>
      </c>
      <c r="H10" s="172">
        <v>1.75</v>
      </c>
      <c r="I10" s="29">
        <v>3.0357143878936768</v>
      </c>
      <c r="J10" s="29">
        <v>2.4642856121063232</v>
      </c>
      <c r="K10" s="126">
        <v>1.3928571939468384</v>
      </c>
      <c r="L10" s="178">
        <v>0.375</v>
      </c>
      <c r="N10" s="30"/>
    </row>
    <row r="11" spans="1:14" s="16" customFormat="1" x14ac:dyDescent="0.2">
      <c r="A11" s="11" t="s">
        <v>77</v>
      </c>
      <c r="B11" s="46" t="s">
        <v>47</v>
      </c>
      <c r="C11" s="77" t="s">
        <v>133</v>
      </c>
      <c r="D11" s="169">
        <v>43101</v>
      </c>
      <c r="E11" s="177">
        <v>0.4285714328289032</v>
      </c>
      <c r="F11" s="29">
        <v>0.8928571343421936</v>
      </c>
      <c r="G11" s="29">
        <v>5.2857141494750977</v>
      </c>
      <c r="H11" s="172">
        <v>0</v>
      </c>
      <c r="I11" s="29">
        <v>0.8571428656578064</v>
      </c>
      <c r="J11" s="29">
        <v>0.91071426868438721</v>
      </c>
      <c r="K11" s="126">
        <v>0</v>
      </c>
      <c r="L11" s="178">
        <v>1.75</v>
      </c>
      <c r="N11" s="30"/>
    </row>
    <row r="12" spans="1:14" s="16" customFormat="1" x14ac:dyDescent="0.2">
      <c r="A12" s="11" t="s">
        <v>98</v>
      </c>
      <c r="B12" s="46" t="s">
        <v>97</v>
      </c>
      <c r="C12" s="77" t="s">
        <v>134</v>
      </c>
      <c r="D12" s="169">
        <v>43101</v>
      </c>
      <c r="E12" s="177">
        <v>1.2857142686843872</v>
      </c>
      <c r="F12" s="29">
        <v>1.3571428060531616</v>
      </c>
      <c r="G12" s="29">
        <v>4.9285712242126465</v>
      </c>
      <c r="H12" s="172">
        <v>2.2857143878936768</v>
      </c>
      <c r="I12" s="29">
        <v>1.2142857313156128</v>
      </c>
      <c r="J12" s="29">
        <v>1.1071428060531616</v>
      </c>
      <c r="K12" s="126">
        <v>0</v>
      </c>
      <c r="L12" s="178">
        <v>0.5</v>
      </c>
      <c r="N12" s="30"/>
    </row>
    <row r="13" spans="1:14" s="16" customFormat="1" x14ac:dyDescent="0.2">
      <c r="A13" s="11" t="s">
        <v>78</v>
      </c>
      <c r="B13" s="46" t="s">
        <v>28</v>
      </c>
      <c r="C13" s="77" t="s">
        <v>134</v>
      </c>
      <c r="D13" s="169">
        <v>43466</v>
      </c>
      <c r="E13" s="177">
        <v>1.5714285373687744</v>
      </c>
      <c r="F13" s="29">
        <v>4.5357141494750977</v>
      </c>
      <c r="G13" s="29">
        <v>4.3214287757873535</v>
      </c>
      <c r="H13" s="172">
        <v>1.7857142686843872</v>
      </c>
      <c r="I13" s="29">
        <v>1.6428571939468384</v>
      </c>
      <c r="J13" s="29">
        <v>1.7142857313156128</v>
      </c>
      <c r="K13" s="126">
        <v>0</v>
      </c>
      <c r="L13" s="178">
        <v>1</v>
      </c>
      <c r="N13" s="30"/>
    </row>
    <row r="14" spans="1:14" s="16" customFormat="1" x14ac:dyDescent="0.2">
      <c r="A14" s="11" t="s">
        <v>64</v>
      </c>
      <c r="B14" s="46" t="s">
        <v>60</v>
      </c>
      <c r="C14" s="77" t="s">
        <v>133</v>
      </c>
      <c r="D14" s="169">
        <v>43101</v>
      </c>
      <c r="E14" s="177">
        <v>0.8571428656578064</v>
      </c>
      <c r="F14" s="29">
        <v>4.3214287757873535</v>
      </c>
      <c r="G14" s="29">
        <v>4.6428570747375488</v>
      </c>
      <c r="H14" s="172">
        <v>0.28571429848670959</v>
      </c>
      <c r="I14" s="31">
        <v>2.4285714626312256</v>
      </c>
      <c r="J14" s="29">
        <v>2.5714285373687744</v>
      </c>
      <c r="K14" s="126">
        <v>0.55357140302658081</v>
      </c>
      <c r="L14" s="178">
        <v>0.25</v>
      </c>
      <c r="N14" s="30"/>
    </row>
    <row r="15" spans="1:14" s="16" customFormat="1" x14ac:dyDescent="0.2">
      <c r="A15" s="11" t="s">
        <v>79</v>
      </c>
      <c r="B15" s="46" t="s">
        <v>54</v>
      </c>
      <c r="C15" s="77" t="s">
        <v>133</v>
      </c>
      <c r="D15" s="169">
        <v>43101</v>
      </c>
      <c r="E15" s="177">
        <v>0.31868132948875427</v>
      </c>
      <c r="F15" s="29">
        <v>3.1071429252624512</v>
      </c>
      <c r="G15" s="29" t="s">
        <v>173</v>
      </c>
      <c r="H15" s="172">
        <v>0</v>
      </c>
      <c r="I15" s="31">
        <v>0</v>
      </c>
      <c r="J15" s="29">
        <v>0</v>
      </c>
      <c r="K15" s="126">
        <v>0.69642859697341919</v>
      </c>
      <c r="L15" s="178">
        <v>2.5</v>
      </c>
      <c r="N15" s="30"/>
    </row>
    <row r="16" spans="1:14" s="16" customFormat="1" x14ac:dyDescent="0.2">
      <c r="A16" s="11" t="s">
        <v>65</v>
      </c>
      <c r="B16" s="46" t="s">
        <v>34</v>
      </c>
      <c r="C16" s="77" t="s">
        <v>133</v>
      </c>
      <c r="D16" s="169">
        <v>43466</v>
      </c>
      <c r="E16" s="177">
        <v>0</v>
      </c>
      <c r="F16" s="31">
        <v>4.1428570747375488</v>
      </c>
      <c r="G16" s="31">
        <v>5.6428570747375488</v>
      </c>
      <c r="H16" s="173">
        <v>0</v>
      </c>
      <c r="I16" s="31">
        <v>0.82142859697341919</v>
      </c>
      <c r="J16" s="31">
        <v>0.46428570151329041</v>
      </c>
      <c r="K16" s="126">
        <v>0</v>
      </c>
      <c r="L16" s="178">
        <v>2.875</v>
      </c>
      <c r="N16" s="30"/>
    </row>
    <row r="17" spans="1:14" s="16" customFormat="1" x14ac:dyDescent="0.2">
      <c r="A17" s="11" t="s">
        <v>66</v>
      </c>
      <c r="B17" s="46" t="s">
        <v>38</v>
      </c>
      <c r="C17" s="77" t="s">
        <v>133</v>
      </c>
      <c r="D17" s="169">
        <v>43101</v>
      </c>
      <c r="E17" s="177">
        <v>0.92857140302658081</v>
      </c>
      <c r="F17" s="31">
        <v>2.2678570747375488</v>
      </c>
      <c r="G17" s="31" t="s">
        <v>173</v>
      </c>
      <c r="H17" s="173">
        <v>0</v>
      </c>
      <c r="I17" s="31">
        <v>0</v>
      </c>
      <c r="J17" s="31">
        <v>0</v>
      </c>
      <c r="K17" s="127">
        <v>0.1785714328289032</v>
      </c>
      <c r="L17" s="178">
        <v>4.5</v>
      </c>
      <c r="N17" s="30"/>
    </row>
    <row r="18" spans="1:14" s="16" customFormat="1" x14ac:dyDescent="0.2">
      <c r="A18" s="11" t="s">
        <v>67</v>
      </c>
      <c r="B18" s="46" t="s">
        <v>48</v>
      </c>
      <c r="C18" s="77" t="s">
        <v>133</v>
      </c>
      <c r="D18" s="169">
        <v>43101</v>
      </c>
      <c r="E18" s="177">
        <v>1.9897959232330322</v>
      </c>
      <c r="F18" s="31">
        <v>3.3571429252624512</v>
      </c>
      <c r="G18" s="31">
        <v>3.0714285373687744</v>
      </c>
      <c r="H18" s="173">
        <v>2.2857143878936768</v>
      </c>
      <c r="I18" s="31">
        <v>2.3392856121063232</v>
      </c>
      <c r="J18" s="31">
        <v>7.1428574621677399E-2</v>
      </c>
      <c r="K18" s="127">
        <v>0.76923078298568726</v>
      </c>
      <c r="L18" s="178">
        <v>3.75</v>
      </c>
      <c r="N18" s="30"/>
    </row>
    <row r="19" spans="1:14" s="16" customFormat="1" x14ac:dyDescent="0.2">
      <c r="A19" s="11" t="s">
        <v>80</v>
      </c>
      <c r="B19" s="46" t="s">
        <v>51</v>
      </c>
      <c r="C19" s="77" t="s">
        <v>133</v>
      </c>
      <c r="D19" s="169">
        <v>43101</v>
      </c>
      <c r="E19" s="177">
        <v>0.5</v>
      </c>
      <c r="F19" s="31">
        <v>4.0535712242126465</v>
      </c>
      <c r="G19" s="31">
        <v>5.3928570747375488</v>
      </c>
      <c r="H19" s="173">
        <v>2.5</v>
      </c>
      <c r="I19" s="31">
        <v>3.25</v>
      </c>
      <c r="J19" s="31">
        <v>1.25</v>
      </c>
      <c r="K19" s="127">
        <v>0.2142857164144516</v>
      </c>
      <c r="L19" s="178">
        <v>2.75</v>
      </c>
      <c r="N19" s="30"/>
    </row>
    <row r="20" spans="1:14" s="16" customFormat="1" x14ac:dyDescent="0.2">
      <c r="A20" s="11" t="s">
        <v>92</v>
      </c>
      <c r="B20" s="46" t="s">
        <v>46</v>
      </c>
      <c r="C20" s="77" t="s">
        <v>133</v>
      </c>
      <c r="D20" s="169">
        <v>43101</v>
      </c>
      <c r="E20" s="177">
        <v>2.2448978424072266</v>
      </c>
      <c r="F20" s="31">
        <v>4.5714287757873535</v>
      </c>
      <c r="G20" s="31">
        <v>5.3571429252624512</v>
      </c>
      <c r="H20" s="173">
        <v>0.4285714328289032</v>
      </c>
      <c r="I20" s="31">
        <v>1.8214285373687744</v>
      </c>
      <c r="J20" s="31">
        <v>1.8214285373687744</v>
      </c>
      <c r="K20" s="127">
        <v>0.5</v>
      </c>
      <c r="L20" s="178">
        <v>2.75</v>
      </c>
      <c r="N20" s="30"/>
    </row>
    <row r="21" spans="1:14" s="16" customFormat="1" x14ac:dyDescent="0.2">
      <c r="A21" s="11" t="s">
        <v>122</v>
      </c>
      <c r="B21" s="46" t="s">
        <v>121</v>
      </c>
      <c r="C21" s="77" t="s">
        <v>133</v>
      </c>
      <c r="D21" s="169">
        <v>43101</v>
      </c>
      <c r="E21" s="177">
        <v>1.2857142686843872</v>
      </c>
      <c r="F21" s="31">
        <v>4.7142858505249023</v>
      </c>
      <c r="G21" s="31">
        <v>5.3571429252624512</v>
      </c>
      <c r="H21" s="173">
        <v>0.4285714328289032</v>
      </c>
      <c r="I21" s="31">
        <v>2.0714285373687744</v>
      </c>
      <c r="J21" s="31">
        <v>2.1428570747375488</v>
      </c>
      <c r="K21" s="127">
        <v>0.8571428656578064</v>
      </c>
      <c r="L21" s="178">
        <v>3.125</v>
      </c>
      <c r="N21" s="30"/>
    </row>
    <row r="22" spans="1:14" s="16" customFormat="1" x14ac:dyDescent="0.2">
      <c r="A22" s="11" t="s">
        <v>82</v>
      </c>
      <c r="B22" s="46" t="s">
        <v>45</v>
      </c>
      <c r="C22" s="77" t="s">
        <v>133</v>
      </c>
      <c r="D22" s="169">
        <v>43101</v>
      </c>
      <c r="E22" s="177">
        <v>1</v>
      </c>
      <c r="F22" s="31">
        <v>4.0178570747375488</v>
      </c>
      <c r="G22" s="31" t="s">
        <v>173</v>
      </c>
      <c r="H22" s="173">
        <v>0</v>
      </c>
      <c r="I22" s="29">
        <v>1.6428571939468384</v>
      </c>
      <c r="J22" s="31">
        <v>1.6785714626312256</v>
      </c>
      <c r="K22" s="127">
        <v>2.5</v>
      </c>
      <c r="L22" s="178">
        <v>0.75</v>
      </c>
      <c r="N22" s="30"/>
    </row>
    <row r="23" spans="1:14" s="16" customFormat="1" x14ac:dyDescent="0.2">
      <c r="A23" s="11" t="s">
        <v>95</v>
      </c>
      <c r="B23" s="46" t="s">
        <v>42</v>
      </c>
      <c r="C23" s="77" t="s">
        <v>133</v>
      </c>
      <c r="D23" s="169">
        <v>43101</v>
      </c>
      <c r="E23" s="177">
        <v>0.71428573131561279</v>
      </c>
      <c r="F23" s="29">
        <v>3.25</v>
      </c>
      <c r="G23" s="29">
        <v>3.8928570747375488</v>
      </c>
      <c r="H23" s="172">
        <v>0.15384615957736969</v>
      </c>
      <c r="I23" s="29">
        <v>0.25</v>
      </c>
      <c r="J23" s="31">
        <v>0.57142859697341919</v>
      </c>
      <c r="K23" s="126">
        <v>0.4285714328289032</v>
      </c>
      <c r="L23" s="178">
        <v>1.25</v>
      </c>
      <c r="N23" s="30"/>
    </row>
    <row r="24" spans="1:14" s="16" customFormat="1" ht="14.25" x14ac:dyDescent="0.2">
      <c r="A24" s="11" t="s">
        <v>68</v>
      </c>
      <c r="B24" s="46" t="s">
        <v>57</v>
      </c>
      <c r="C24" s="77" t="s">
        <v>133</v>
      </c>
      <c r="D24" s="169">
        <v>43101</v>
      </c>
      <c r="E24" s="177">
        <v>1.1785714626312256</v>
      </c>
      <c r="F24" s="29">
        <v>4.6785712242126465</v>
      </c>
      <c r="G24" s="29" t="s">
        <v>173</v>
      </c>
      <c r="H24" s="172">
        <v>0</v>
      </c>
      <c r="I24" s="29">
        <v>1.4642857313156128</v>
      </c>
      <c r="J24" s="29">
        <v>1.3928571939468384</v>
      </c>
      <c r="K24" s="126">
        <v>0.46428570151329041</v>
      </c>
      <c r="L24" s="178">
        <v>0</v>
      </c>
      <c r="N24" s="30"/>
    </row>
    <row r="25" spans="1:14" s="16" customFormat="1" x14ac:dyDescent="0.2">
      <c r="A25" s="11" t="s">
        <v>69</v>
      </c>
      <c r="B25" s="46" t="s">
        <v>30</v>
      </c>
      <c r="C25" s="77" t="s">
        <v>133</v>
      </c>
      <c r="D25" s="169">
        <v>43101</v>
      </c>
      <c r="E25" s="177">
        <v>1.9285714626312256</v>
      </c>
      <c r="F25" s="29">
        <v>2.8392856121063232</v>
      </c>
      <c r="G25" s="29">
        <v>4.1428570747375488</v>
      </c>
      <c r="H25" s="172">
        <v>2.8214285373687744</v>
      </c>
      <c r="I25" s="29">
        <v>3.2142856121063232</v>
      </c>
      <c r="J25" s="29">
        <v>1.8214285373687744</v>
      </c>
      <c r="K25" s="126">
        <v>1.3928571939468384</v>
      </c>
      <c r="L25" s="178">
        <v>4.125</v>
      </c>
      <c r="N25" s="30"/>
    </row>
    <row r="26" spans="1:14" s="16" customFormat="1" x14ac:dyDescent="0.2">
      <c r="A26" s="11" t="s">
        <v>83</v>
      </c>
      <c r="B26" s="46" t="s">
        <v>29</v>
      </c>
      <c r="C26" s="77" t="s">
        <v>133</v>
      </c>
      <c r="D26" s="169">
        <v>43101</v>
      </c>
      <c r="E26" s="177">
        <v>0.28571429848670959</v>
      </c>
      <c r="F26" s="29">
        <v>2.9642856121063232</v>
      </c>
      <c r="G26" s="29">
        <v>5.2857141494750977</v>
      </c>
      <c r="H26" s="172">
        <v>3.807692289352417</v>
      </c>
      <c r="I26" s="29">
        <v>0.46428570151329041</v>
      </c>
      <c r="J26" s="29">
        <v>0.28571429848670959</v>
      </c>
      <c r="K26" s="126">
        <v>1.1538461446762085</v>
      </c>
      <c r="L26" s="178">
        <v>0.625</v>
      </c>
      <c r="N26" s="30"/>
    </row>
    <row r="27" spans="1:14" s="16" customFormat="1" x14ac:dyDescent="0.2">
      <c r="A27" s="11" t="s">
        <v>70</v>
      </c>
      <c r="B27" s="46" t="s">
        <v>33</v>
      </c>
      <c r="C27" s="77" t="s">
        <v>133</v>
      </c>
      <c r="D27" s="169">
        <v>43101</v>
      </c>
      <c r="E27" s="177">
        <v>1</v>
      </c>
      <c r="F27" s="29">
        <v>4.25</v>
      </c>
      <c r="G27" s="29">
        <v>4.3214287757873535</v>
      </c>
      <c r="H27" s="172">
        <v>3.1785714626312256</v>
      </c>
      <c r="I27" s="29">
        <v>1.9285714626312256</v>
      </c>
      <c r="J27" s="29">
        <v>0.4821428656578064</v>
      </c>
      <c r="K27" s="126">
        <v>0.82142859697341919</v>
      </c>
      <c r="L27" s="178">
        <v>4.5</v>
      </c>
      <c r="N27" s="30"/>
    </row>
    <row r="28" spans="1:14" s="16" customFormat="1" x14ac:dyDescent="0.2">
      <c r="A28" s="11" t="s">
        <v>84</v>
      </c>
      <c r="B28" s="46" t="s">
        <v>43</v>
      </c>
      <c r="C28" s="77" t="s">
        <v>133</v>
      </c>
      <c r="D28" s="169">
        <v>43101</v>
      </c>
      <c r="E28" s="177">
        <v>0.78571426868438721</v>
      </c>
      <c r="F28" s="29">
        <v>3.7142856121063232</v>
      </c>
      <c r="G28" s="29">
        <v>5.4615383148193359</v>
      </c>
      <c r="H28" s="172">
        <v>0</v>
      </c>
      <c r="I28" s="29">
        <v>1.1428571939468384</v>
      </c>
      <c r="J28" s="29">
        <v>1.1428571939468384</v>
      </c>
      <c r="K28" s="126">
        <v>0</v>
      </c>
      <c r="L28" s="178">
        <v>3.625</v>
      </c>
      <c r="N28" s="30"/>
    </row>
    <row r="29" spans="1:14" s="16" customFormat="1" x14ac:dyDescent="0.2">
      <c r="A29" s="11" t="s">
        <v>85</v>
      </c>
      <c r="B29" s="46" t="s">
        <v>36</v>
      </c>
      <c r="C29" s="77" t="s">
        <v>133</v>
      </c>
      <c r="D29" s="169">
        <v>43101</v>
      </c>
      <c r="E29" s="177">
        <v>0.1428571492433548</v>
      </c>
      <c r="F29" s="29">
        <v>3.7142856121063232</v>
      </c>
      <c r="G29" s="29">
        <v>4.7857141494750977</v>
      </c>
      <c r="H29" s="172">
        <v>0</v>
      </c>
      <c r="I29" s="29">
        <v>1.8214285373687744</v>
      </c>
      <c r="J29" s="29">
        <v>1.3035714626312256</v>
      </c>
      <c r="K29" s="126">
        <v>0</v>
      </c>
      <c r="L29" s="178">
        <v>1.75</v>
      </c>
      <c r="N29" s="30"/>
    </row>
    <row r="30" spans="1:14" s="16" customFormat="1" x14ac:dyDescent="0.2">
      <c r="A30" s="11" t="s">
        <v>71</v>
      </c>
      <c r="B30" s="46" t="s">
        <v>24</v>
      </c>
      <c r="C30" s="77" t="s">
        <v>133</v>
      </c>
      <c r="D30" s="169">
        <v>43101</v>
      </c>
      <c r="E30" s="177">
        <v>1.7346938848495483</v>
      </c>
      <c r="F30" s="29">
        <v>4.4285712242126465</v>
      </c>
      <c r="G30" s="29">
        <v>5.7142858505249023</v>
      </c>
      <c r="H30" s="172">
        <v>1.6428571939468384</v>
      </c>
      <c r="I30" s="29">
        <v>2.5714285373687744</v>
      </c>
      <c r="J30" s="29">
        <v>2.5</v>
      </c>
      <c r="K30" s="126">
        <v>0.3214285671710968</v>
      </c>
      <c r="L30" s="178">
        <v>5.5</v>
      </c>
      <c r="N30" s="30"/>
    </row>
    <row r="31" spans="1:14" s="16" customFormat="1" x14ac:dyDescent="0.2">
      <c r="A31" s="11" t="s">
        <v>110</v>
      </c>
      <c r="B31" s="46" t="s">
        <v>109</v>
      </c>
      <c r="C31" s="77" t="s">
        <v>133</v>
      </c>
      <c r="D31" s="169">
        <v>43101</v>
      </c>
      <c r="E31" s="177">
        <v>1.2857142686843872</v>
      </c>
      <c r="F31" s="29">
        <v>3.1428570747375488</v>
      </c>
      <c r="G31" s="29">
        <v>5.7857141494750977</v>
      </c>
      <c r="H31" s="172">
        <v>3.1428570747375488</v>
      </c>
      <c r="I31" s="29">
        <v>3.1428570747375488</v>
      </c>
      <c r="J31" s="29">
        <v>3.1428570747375488</v>
      </c>
      <c r="K31" s="126">
        <v>1.3461538553237915</v>
      </c>
      <c r="L31" s="178">
        <v>0</v>
      </c>
      <c r="N31" s="30"/>
    </row>
    <row r="32" spans="1:14" s="16" customFormat="1" x14ac:dyDescent="0.2">
      <c r="A32" s="11" t="s">
        <v>123</v>
      </c>
      <c r="B32" s="46" t="s">
        <v>124</v>
      </c>
      <c r="C32" s="77" t="s">
        <v>133</v>
      </c>
      <c r="D32" s="169">
        <v>43101</v>
      </c>
      <c r="E32" s="177">
        <v>1.1836735010147095</v>
      </c>
      <c r="F32" s="29">
        <v>2.25</v>
      </c>
      <c r="G32" s="29">
        <v>2.3571429252624512</v>
      </c>
      <c r="H32" s="172">
        <v>1.75</v>
      </c>
      <c r="I32" s="29">
        <v>7.1428574621677399E-2</v>
      </c>
      <c r="J32" s="29">
        <v>0</v>
      </c>
      <c r="K32" s="126">
        <v>0</v>
      </c>
      <c r="L32" s="178">
        <v>0.125</v>
      </c>
      <c r="N32" s="30"/>
    </row>
    <row r="33" spans="1:14" s="16" customFormat="1" x14ac:dyDescent="0.2">
      <c r="A33" s="11" t="s">
        <v>86</v>
      </c>
      <c r="B33" s="46" t="s">
        <v>35</v>
      </c>
      <c r="C33" s="77" t="s">
        <v>133</v>
      </c>
      <c r="D33" s="169">
        <v>43101</v>
      </c>
      <c r="E33" s="177">
        <v>0.57142859697341919</v>
      </c>
      <c r="F33" s="29">
        <v>3.0357143878936768</v>
      </c>
      <c r="G33" s="29" t="s">
        <v>173</v>
      </c>
      <c r="H33" s="172">
        <v>1</v>
      </c>
      <c r="I33" s="29">
        <v>7.1428574621677399E-2</v>
      </c>
      <c r="J33" s="29">
        <v>7.1428574621677399E-2</v>
      </c>
      <c r="K33" s="126">
        <v>0.46428570151329041</v>
      </c>
      <c r="L33" s="178">
        <v>0.625</v>
      </c>
      <c r="N33" s="30"/>
    </row>
    <row r="34" spans="1:14" s="16" customFormat="1" x14ac:dyDescent="0.2">
      <c r="A34" s="11" t="s">
        <v>72</v>
      </c>
      <c r="B34" s="46" t="s">
        <v>40</v>
      </c>
      <c r="C34" s="77" t="s">
        <v>133</v>
      </c>
      <c r="D34" s="169">
        <v>43101</v>
      </c>
      <c r="E34" s="177">
        <v>0.46153846383094788</v>
      </c>
      <c r="F34" s="29">
        <v>3.2321429252624512</v>
      </c>
      <c r="G34" s="29" t="s">
        <v>173</v>
      </c>
      <c r="H34" s="172">
        <v>0.75</v>
      </c>
      <c r="I34" s="29">
        <v>7.1428574621677399E-2</v>
      </c>
      <c r="J34" s="29">
        <v>7.1428574621677399E-2</v>
      </c>
      <c r="K34" s="126">
        <v>0.6428571343421936</v>
      </c>
      <c r="L34" s="178">
        <v>0.25</v>
      </c>
      <c r="N34" s="30"/>
    </row>
    <row r="35" spans="1:14" s="16" customFormat="1" x14ac:dyDescent="0.2">
      <c r="A35" s="11" t="s">
        <v>73</v>
      </c>
      <c r="B35" s="46" t="s">
        <v>44</v>
      </c>
      <c r="C35" s="77" t="s">
        <v>133</v>
      </c>
      <c r="D35" s="169">
        <v>43101</v>
      </c>
      <c r="E35" s="177">
        <v>1</v>
      </c>
      <c r="F35" s="29">
        <v>3.8928570747375488</v>
      </c>
      <c r="G35" s="29">
        <v>4.2857141494750977</v>
      </c>
      <c r="H35" s="172">
        <v>0</v>
      </c>
      <c r="I35" s="29">
        <v>2.0714285373687744</v>
      </c>
      <c r="J35" s="29">
        <v>1.8214285373687744</v>
      </c>
      <c r="K35" s="126">
        <v>0</v>
      </c>
      <c r="L35" s="178">
        <v>3</v>
      </c>
      <c r="N35" s="30"/>
    </row>
    <row r="36" spans="1:14" s="16" customFormat="1" x14ac:dyDescent="0.2">
      <c r="A36" s="11" t="s">
        <v>87</v>
      </c>
      <c r="B36" s="46" t="s">
        <v>50</v>
      </c>
      <c r="C36" s="77" t="s">
        <v>133</v>
      </c>
      <c r="D36" s="169">
        <v>43101</v>
      </c>
      <c r="E36" s="177">
        <v>2.2857143878936768</v>
      </c>
      <c r="F36" s="29">
        <v>3.2678570747375488</v>
      </c>
      <c r="G36" s="29">
        <v>5.1428570747375488</v>
      </c>
      <c r="H36" s="172">
        <v>2.1428570747375488</v>
      </c>
      <c r="I36" s="29">
        <v>1.5</v>
      </c>
      <c r="J36" s="29">
        <v>2.5</v>
      </c>
      <c r="K36" s="126">
        <v>0.3571428656578064</v>
      </c>
      <c r="L36" s="178">
        <v>3.375</v>
      </c>
      <c r="N36" s="30"/>
    </row>
    <row r="37" spans="1:14" s="16" customFormat="1" x14ac:dyDescent="0.2">
      <c r="A37" s="11" t="s">
        <v>99</v>
      </c>
      <c r="B37" s="46" t="s">
        <v>100</v>
      </c>
      <c r="C37" s="77" t="s">
        <v>133</v>
      </c>
      <c r="D37" s="169">
        <v>43101</v>
      </c>
      <c r="E37" s="177">
        <v>1.0255101919174194</v>
      </c>
      <c r="F37" s="29">
        <v>3.9285714626312256</v>
      </c>
      <c r="G37" s="29">
        <v>5.7857141494750977</v>
      </c>
      <c r="H37" s="172">
        <v>0</v>
      </c>
      <c r="I37" s="29">
        <v>3.1428570747375488</v>
      </c>
      <c r="J37" s="29">
        <v>3.1428570747375488</v>
      </c>
      <c r="K37" s="126">
        <v>0</v>
      </c>
      <c r="L37" s="178">
        <v>1</v>
      </c>
      <c r="N37" s="30"/>
    </row>
    <row r="38" spans="1:14" s="16" customFormat="1" x14ac:dyDescent="0.2">
      <c r="A38" s="11" t="s">
        <v>88</v>
      </c>
      <c r="B38" s="46" t="s">
        <v>41</v>
      </c>
      <c r="C38" s="77" t="s">
        <v>133</v>
      </c>
      <c r="D38" s="169">
        <v>43101</v>
      </c>
      <c r="E38" s="177">
        <v>0.4285714328289032</v>
      </c>
      <c r="F38" s="29">
        <v>5</v>
      </c>
      <c r="G38" s="29">
        <v>5.3571429252624512</v>
      </c>
      <c r="H38" s="172">
        <v>0</v>
      </c>
      <c r="I38" s="29">
        <v>1.8928571939468384</v>
      </c>
      <c r="J38" s="29">
        <v>1.8214285373687744</v>
      </c>
      <c r="K38" s="126">
        <v>1.1785714626312256</v>
      </c>
      <c r="L38" s="178">
        <v>3.125</v>
      </c>
      <c r="N38" s="30"/>
    </row>
    <row r="39" spans="1:14" s="16" customFormat="1" x14ac:dyDescent="0.2">
      <c r="A39" s="11" t="s">
        <v>89</v>
      </c>
      <c r="B39" s="46" t="s">
        <v>39</v>
      </c>
      <c r="C39" s="77" t="s">
        <v>133</v>
      </c>
      <c r="D39" s="169">
        <v>43101</v>
      </c>
      <c r="E39" s="177">
        <v>1.7448979616165161</v>
      </c>
      <c r="F39" s="29">
        <v>2.9821429252624512</v>
      </c>
      <c r="G39" s="29">
        <v>5.4285712242126465</v>
      </c>
      <c r="H39" s="172">
        <v>0</v>
      </c>
      <c r="I39" s="29">
        <v>1.1428571939468384</v>
      </c>
      <c r="J39" s="29">
        <v>1.1428571939468384</v>
      </c>
      <c r="K39" s="126">
        <v>0.4285714328289032</v>
      </c>
      <c r="L39" s="178">
        <v>4</v>
      </c>
      <c r="N39" s="30"/>
    </row>
    <row r="40" spans="1:14" s="16" customFormat="1" x14ac:dyDescent="0.2">
      <c r="A40" s="11" t="s">
        <v>74</v>
      </c>
      <c r="B40" s="46" t="s">
        <v>32</v>
      </c>
      <c r="C40" s="77" t="s">
        <v>133</v>
      </c>
      <c r="D40" s="169">
        <v>43101</v>
      </c>
      <c r="E40" s="177">
        <v>0.57142859697341919</v>
      </c>
      <c r="F40" s="29">
        <v>2.2857143878936768</v>
      </c>
      <c r="G40" s="29">
        <v>0.75</v>
      </c>
      <c r="H40" s="172">
        <v>0</v>
      </c>
      <c r="I40" s="29">
        <v>0</v>
      </c>
      <c r="J40" s="29">
        <v>0</v>
      </c>
      <c r="K40" s="126">
        <v>1.2678571939468384</v>
      </c>
      <c r="L40" s="178">
        <v>0</v>
      </c>
      <c r="N40" s="30"/>
    </row>
    <row r="41" spans="1:14" s="16" customFormat="1" x14ac:dyDescent="0.2">
      <c r="A41" s="11" t="s">
        <v>90</v>
      </c>
      <c r="B41" s="46" t="s">
        <v>26</v>
      </c>
      <c r="C41" s="77" t="s">
        <v>133</v>
      </c>
      <c r="D41" s="169">
        <v>43101</v>
      </c>
      <c r="E41" s="177">
        <v>0.54081630706787109</v>
      </c>
      <c r="F41" s="29">
        <v>3.3214285373687744</v>
      </c>
      <c r="G41" s="29" t="s">
        <v>173</v>
      </c>
      <c r="H41" s="172">
        <v>0</v>
      </c>
      <c r="I41" s="29">
        <v>0.4285714328289032</v>
      </c>
      <c r="J41" s="29">
        <v>0.4285714328289032</v>
      </c>
      <c r="K41" s="126">
        <v>0</v>
      </c>
      <c r="L41" s="178">
        <v>0.75</v>
      </c>
      <c r="N41" s="30"/>
    </row>
    <row r="42" spans="1:14" s="16" customFormat="1" x14ac:dyDescent="0.2">
      <c r="A42" s="11" t="s">
        <v>91</v>
      </c>
      <c r="B42" s="46" t="s">
        <v>52</v>
      </c>
      <c r="C42" s="77" t="s">
        <v>133</v>
      </c>
      <c r="D42" s="169">
        <v>43101</v>
      </c>
      <c r="E42" s="177">
        <v>1.076923131942749</v>
      </c>
      <c r="F42" s="29">
        <v>5.1428570747375488</v>
      </c>
      <c r="G42" s="29">
        <v>5.2142858505249023</v>
      </c>
      <c r="H42" s="172">
        <v>5.0714287757873535</v>
      </c>
      <c r="I42" s="29">
        <v>3.4285714626312256</v>
      </c>
      <c r="J42" s="29">
        <v>3.5833332538604736</v>
      </c>
      <c r="K42" s="126">
        <v>0</v>
      </c>
      <c r="L42" s="178">
        <v>6</v>
      </c>
      <c r="N42" s="30"/>
    </row>
    <row r="43" spans="1:14" s="16" customFormat="1" x14ac:dyDescent="0.2">
      <c r="A43" s="11" t="s">
        <v>81</v>
      </c>
      <c r="B43" s="46" t="s">
        <v>49</v>
      </c>
      <c r="C43" s="77" t="s">
        <v>133</v>
      </c>
      <c r="D43" s="169">
        <v>43101</v>
      </c>
      <c r="E43" s="177">
        <v>0.1428571492433548</v>
      </c>
      <c r="F43" s="29">
        <v>1.5714285373687744</v>
      </c>
      <c r="G43" s="29" t="s">
        <v>173</v>
      </c>
      <c r="H43" s="172">
        <v>0</v>
      </c>
      <c r="I43" s="29">
        <v>7.1428574621677399E-2</v>
      </c>
      <c r="J43" s="29">
        <v>0.5</v>
      </c>
      <c r="K43" s="126">
        <v>0.4285714328289032</v>
      </c>
      <c r="L43" s="178">
        <v>0.75</v>
      </c>
      <c r="N43" s="30"/>
    </row>
    <row r="44" spans="1:14" s="16" customFormat="1" x14ac:dyDescent="0.2">
      <c r="A44" s="11" t="s">
        <v>105</v>
      </c>
      <c r="B44" s="46" t="s">
        <v>104</v>
      </c>
      <c r="C44" s="77" t="s">
        <v>133</v>
      </c>
      <c r="D44" s="169">
        <v>43466</v>
      </c>
      <c r="E44" s="177">
        <v>1.5714285373687744</v>
      </c>
      <c r="F44" s="29">
        <v>2.8928570747375488</v>
      </c>
      <c r="G44" s="29">
        <v>1.1428571939468384</v>
      </c>
      <c r="H44" s="172">
        <v>0</v>
      </c>
      <c r="I44" s="29">
        <v>3.0357143878936768</v>
      </c>
      <c r="J44" s="29">
        <v>2.5714285373687744</v>
      </c>
      <c r="K44" s="126">
        <v>1.4285714626312256</v>
      </c>
      <c r="L44" s="178">
        <v>0</v>
      </c>
      <c r="N44" s="30"/>
    </row>
    <row r="45" spans="1:14" s="16" customFormat="1" x14ac:dyDescent="0.2">
      <c r="A45" s="11"/>
      <c r="B45" s="226" t="s">
        <v>129</v>
      </c>
      <c r="C45" s="77"/>
      <c r="D45" s="170"/>
      <c r="E45" s="119"/>
      <c r="F45" s="29"/>
      <c r="G45" s="29"/>
      <c r="H45" s="172"/>
      <c r="I45" s="29"/>
      <c r="J45" s="29"/>
      <c r="K45" s="126"/>
      <c r="L45" s="178"/>
      <c r="N45" s="30"/>
    </row>
    <row r="46" spans="1:14" s="16" customFormat="1" x14ac:dyDescent="0.2">
      <c r="A46" s="11" t="s">
        <v>270</v>
      </c>
      <c r="B46" s="46" t="s">
        <v>269</v>
      </c>
      <c r="C46" s="77" t="s">
        <v>134</v>
      </c>
      <c r="D46" s="169">
        <v>43101</v>
      </c>
      <c r="E46" s="177">
        <v>2.076923131942749</v>
      </c>
      <c r="F46" s="29">
        <v>2.1428570747375488</v>
      </c>
      <c r="G46" s="29">
        <v>5.0714287757873535</v>
      </c>
      <c r="H46" s="172">
        <v>3.4285714626312256</v>
      </c>
      <c r="I46" s="29">
        <v>2.6785714626312256</v>
      </c>
      <c r="J46" s="29">
        <v>1.3571428060531616</v>
      </c>
      <c r="K46" s="126">
        <v>1.7142857313156128</v>
      </c>
      <c r="L46" s="178">
        <v>5</v>
      </c>
      <c r="N46" s="30"/>
    </row>
    <row r="47" spans="1:14" s="16" customFormat="1" x14ac:dyDescent="0.2">
      <c r="A47" s="11" t="s">
        <v>75</v>
      </c>
      <c r="B47" s="46" t="s">
        <v>27</v>
      </c>
      <c r="C47" s="77" t="s">
        <v>133</v>
      </c>
      <c r="D47" s="169">
        <v>43101</v>
      </c>
      <c r="E47" s="177">
        <v>0.92307692766189575</v>
      </c>
      <c r="F47" s="29">
        <v>5.4642858505249023</v>
      </c>
      <c r="G47" s="29">
        <v>5.2142858505249023</v>
      </c>
      <c r="H47" s="172">
        <v>4.5357141494750977</v>
      </c>
      <c r="I47" s="29">
        <v>1.5</v>
      </c>
      <c r="J47" s="29">
        <v>2.1428570747375488</v>
      </c>
      <c r="K47" s="126">
        <v>2.1785714626312256</v>
      </c>
      <c r="L47" s="178">
        <v>0.75</v>
      </c>
      <c r="N47" s="30"/>
    </row>
    <row r="48" spans="1:14" s="16" customFormat="1" x14ac:dyDescent="0.2">
      <c r="A48" s="11" t="s">
        <v>103</v>
      </c>
      <c r="B48" s="46" t="s">
        <v>102</v>
      </c>
      <c r="C48" s="77" t="s">
        <v>133</v>
      </c>
      <c r="D48" s="169">
        <v>43466</v>
      </c>
      <c r="E48" s="177">
        <v>1.1785714626312256</v>
      </c>
      <c r="F48" s="29">
        <v>4.1785712242126465</v>
      </c>
      <c r="G48" s="29">
        <v>5.5714287757873535</v>
      </c>
      <c r="H48" s="172">
        <v>0</v>
      </c>
      <c r="I48" s="29">
        <v>2.1785714626312256</v>
      </c>
      <c r="J48" s="29">
        <v>2.1071429252624512</v>
      </c>
      <c r="K48" s="126">
        <v>0</v>
      </c>
      <c r="L48" s="178">
        <v>1.75</v>
      </c>
      <c r="N48" s="30"/>
    </row>
    <row r="49" spans="1:14" s="16" customFormat="1" x14ac:dyDescent="0.2">
      <c r="A49" s="11" t="s">
        <v>106</v>
      </c>
      <c r="B49" s="46" t="s">
        <v>151</v>
      </c>
      <c r="C49" s="77" t="s">
        <v>134</v>
      </c>
      <c r="D49" s="169">
        <v>43831</v>
      </c>
      <c r="E49" s="177">
        <v>1.5714285373687744</v>
      </c>
      <c r="F49" s="29">
        <v>4.0714287757873535</v>
      </c>
      <c r="G49" s="29">
        <v>4</v>
      </c>
      <c r="H49" s="172">
        <v>3.7142856121063232</v>
      </c>
      <c r="I49" s="29">
        <v>1.7916666269302368</v>
      </c>
      <c r="J49" s="29">
        <v>0.67857140302658081</v>
      </c>
      <c r="K49" s="126">
        <v>0.78571426868438721</v>
      </c>
      <c r="L49" s="178">
        <v>1.75</v>
      </c>
      <c r="N49" s="30"/>
    </row>
    <row r="50" spans="1:14" s="16" customFormat="1" x14ac:dyDescent="0.2">
      <c r="A50" s="11" t="s">
        <v>93</v>
      </c>
      <c r="B50" s="46" t="s">
        <v>18</v>
      </c>
      <c r="C50" s="77" t="s">
        <v>133</v>
      </c>
      <c r="D50" s="169">
        <v>43466</v>
      </c>
      <c r="E50" s="177">
        <v>1.2142857313156128</v>
      </c>
      <c r="F50" s="29">
        <v>3.1428570747375488</v>
      </c>
      <c r="G50" s="29">
        <v>5.7857141494750977</v>
      </c>
      <c r="H50" s="172">
        <v>0</v>
      </c>
      <c r="I50" s="29">
        <v>0.8571428656578064</v>
      </c>
      <c r="J50" s="29">
        <v>0.8571428656578064</v>
      </c>
      <c r="K50" s="126">
        <v>0.71428573131561279</v>
      </c>
      <c r="L50" s="178">
        <v>4.5</v>
      </c>
      <c r="N50" s="30"/>
    </row>
    <row r="51" spans="1:14" s="16" customFormat="1" ht="14.25" x14ac:dyDescent="0.2">
      <c r="A51" s="11" t="s">
        <v>108</v>
      </c>
      <c r="B51" s="46" t="s">
        <v>232</v>
      </c>
      <c r="C51" s="77" t="s">
        <v>133</v>
      </c>
      <c r="D51" s="169">
        <v>43466</v>
      </c>
      <c r="E51" s="177">
        <v>1.2857142686843872</v>
      </c>
      <c r="F51" s="29">
        <v>3.8571429252624512</v>
      </c>
      <c r="G51" s="29" t="s">
        <v>173</v>
      </c>
      <c r="H51" s="172">
        <v>0</v>
      </c>
      <c r="I51" s="29">
        <v>2.2142856121063232</v>
      </c>
      <c r="J51" s="29">
        <v>2.2142856121063232</v>
      </c>
      <c r="K51" s="126">
        <v>2.2142856121063232</v>
      </c>
      <c r="L51" s="178">
        <v>3.875</v>
      </c>
      <c r="N51" s="30"/>
    </row>
    <row r="52" spans="1:14" s="16" customFormat="1" x14ac:dyDescent="0.2">
      <c r="A52" s="11" t="s">
        <v>118</v>
      </c>
      <c r="B52" s="46" t="s">
        <v>117</v>
      </c>
      <c r="C52" s="77" t="s">
        <v>133</v>
      </c>
      <c r="D52" s="169">
        <v>43831</v>
      </c>
      <c r="E52" s="177">
        <v>1.9897959232330322</v>
      </c>
      <c r="F52" s="29">
        <v>3.0714285373687744</v>
      </c>
      <c r="G52" s="29">
        <v>5.1428570747375488</v>
      </c>
      <c r="H52" s="172">
        <v>3.5714285373687744</v>
      </c>
      <c r="I52" s="29">
        <v>2.5357143878936768</v>
      </c>
      <c r="J52" s="29">
        <v>1.5535714626312256</v>
      </c>
      <c r="K52" s="126">
        <v>2.4642856121063232</v>
      </c>
      <c r="L52" s="178">
        <v>1.25</v>
      </c>
      <c r="N52" s="30"/>
    </row>
    <row r="53" spans="1:14" s="16" customFormat="1" x14ac:dyDescent="0.2">
      <c r="A53" s="11" t="s">
        <v>120</v>
      </c>
      <c r="B53" s="46" t="s">
        <v>119</v>
      </c>
      <c r="C53" s="77" t="s">
        <v>133</v>
      </c>
      <c r="D53" s="169">
        <v>43466</v>
      </c>
      <c r="E53" s="177">
        <v>1.0714285373687744</v>
      </c>
      <c r="F53" s="29">
        <v>4.5</v>
      </c>
      <c r="G53" s="29">
        <v>5.3571429252624512</v>
      </c>
      <c r="H53" s="172">
        <v>1.4642857313156128</v>
      </c>
      <c r="I53" s="29">
        <v>2.75</v>
      </c>
      <c r="J53" s="29">
        <v>2.8214285373687744</v>
      </c>
      <c r="K53" s="126">
        <v>0</v>
      </c>
      <c r="L53" s="178">
        <v>4.25</v>
      </c>
      <c r="N53" s="30"/>
    </row>
    <row r="54" spans="1:14" s="16" customFormat="1" ht="14.25" x14ac:dyDescent="0.2">
      <c r="A54" s="11" t="s">
        <v>115</v>
      </c>
      <c r="B54" s="46" t="s">
        <v>167</v>
      </c>
      <c r="C54" s="77" t="s">
        <v>134</v>
      </c>
      <c r="D54" s="169">
        <v>43831</v>
      </c>
      <c r="E54" s="177">
        <v>0.71428573131561279</v>
      </c>
      <c r="F54" s="29">
        <v>1.1428571939468384</v>
      </c>
      <c r="G54" s="29">
        <v>5.7857141494750977</v>
      </c>
      <c r="H54" s="172">
        <v>1.3571428060531616</v>
      </c>
      <c r="I54" s="29">
        <v>1.5357142686843872</v>
      </c>
      <c r="J54" s="29">
        <v>1.3928571939468384</v>
      </c>
      <c r="K54" s="126">
        <v>7.1428574621677399E-2</v>
      </c>
      <c r="L54" s="178">
        <v>0.875</v>
      </c>
      <c r="N54" s="30"/>
    </row>
    <row r="55" spans="1:14" s="16" customFormat="1" x14ac:dyDescent="0.2">
      <c r="A55" s="11" t="s">
        <v>271</v>
      </c>
      <c r="B55" s="46" t="s">
        <v>272</v>
      </c>
      <c r="C55" s="77" t="s">
        <v>133</v>
      </c>
      <c r="D55" s="169">
        <v>43466</v>
      </c>
      <c r="E55" s="177">
        <v>2.4285714626312256</v>
      </c>
      <c r="F55" s="29">
        <v>3.0357143878936768</v>
      </c>
      <c r="G55" s="29">
        <v>4.7142858505249023</v>
      </c>
      <c r="H55" s="172">
        <v>1.8928571939468384</v>
      </c>
      <c r="I55" s="29">
        <v>2.1428570747375488</v>
      </c>
      <c r="J55" s="29">
        <v>1.0357142686843872</v>
      </c>
      <c r="K55" s="126">
        <v>0.4285714328289032</v>
      </c>
      <c r="L55" s="178">
        <v>2.25</v>
      </c>
      <c r="N55" s="30"/>
    </row>
    <row r="56" spans="1:14" s="16" customFormat="1" x14ac:dyDescent="0.2">
      <c r="A56" s="11" t="s">
        <v>94</v>
      </c>
      <c r="B56" s="46" t="s">
        <v>53</v>
      </c>
      <c r="C56" s="77" t="s">
        <v>133</v>
      </c>
      <c r="D56" s="169">
        <v>43101</v>
      </c>
      <c r="E56" s="177">
        <v>2.153846263885498</v>
      </c>
      <c r="F56" s="29">
        <v>5.1428570747375488</v>
      </c>
      <c r="G56" s="29" t="s">
        <v>173</v>
      </c>
      <c r="H56" s="172">
        <v>0.78571426868438721</v>
      </c>
      <c r="I56" s="29">
        <v>2.25</v>
      </c>
      <c r="J56" s="29">
        <v>1.9545454978942871</v>
      </c>
      <c r="K56" s="126">
        <v>2.5714285373687744</v>
      </c>
      <c r="L56" s="178">
        <v>4</v>
      </c>
      <c r="N56" s="30"/>
    </row>
    <row r="57" spans="1:14" s="16" customFormat="1" x14ac:dyDescent="0.2">
      <c r="B57" s="46"/>
      <c r="C57" s="77"/>
      <c r="D57" s="166"/>
      <c r="E57" s="177"/>
      <c r="F57" s="29"/>
      <c r="G57" s="29"/>
      <c r="H57" s="172"/>
      <c r="I57" s="29"/>
      <c r="J57" s="256"/>
      <c r="K57" s="126"/>
      <c r="L57" s="178"/>
      <c r="N57" s="30"/>
    </row>
    <row r="58" spans="1:14" s="16" customFormat="1" x14ac:dyDescent="0.2">
      <c r="A58" s="156"/>
      <c r="B58" s="55" t="s">
        <v>156</v>
      </c>
      <c r="C58" s="183"/>
      <c r="D58" s="68"/>
      <c r="E58" s="184">
        <f t="shared" ref="E58:L58" si="0">AVERAGE(E7:E44)</f>
        <v>1.0497087546085055</v>
      </c>
      <c r="F58" s="185">
        <f t="shared" si="0"/>
        <v>3.3284774281476674</v>
      </c>
      <c r="G58" s="185">
        <f t="shared" si="0"/>
        <v>4.5738814515726904</v>
      </c>
      <c r="H58" s="185">
        <f t="shared" si="0"/>
        <v>1.074645755126288</v>
      </c>
      <c r="I58" s="185">
        <f t="shared" si="0"/>
        <v>1.5512218059677827</v>
      </c>
      <c r="J58" s="185">
        <f t="shared" si="0"/>
        <v>1.3081140235850686</v>
      </c>
      <c r="K58" s="185">
        <f t="shared" si="0"/>
        <v>0.64079671196247401</v>
      </c>
      <c r="L58" s="186">
        <f t="shared" si="0"/>
        <v>2.1940789473684212</v>
      </c>
      <c r="N58" s="30"/>
    </row>
    <row r="59" spans="1:14" s="16" customFormat="1" x14ac:dyDescent="0.2">
      <c r="A59" s="158"/>
      <c r="B59" s="67" t="s">
        <v>150</v>
      </c>
      <c r="C59" s="15"/>
      <c r="D59" s="139"/>
      <c r="E59" s="175">
        <f t="shared" ref="E59:L59" si="1">AVERAGE(SMALL(E7:E44,1),SMALL(E7:E44,2),SMALL(E7:E44,3),SMALL(E7:E44,4),SMALL(E7:E44,5))</f>
        <v>0.17802198529243468</v>
      </c>
      <c r="F59" s="174">
        <f t="shared" si="1"/>
        <v>1.4285714268684386</v>
      </c>
      <c r="G59" s="174">
        <f t="shared" si="1"/>
        <v>2.2428571462631224</v>
      </c>
      <c r="H59" s="174">
        <f t="shared" si="1"/>
        <v>0</v>
      </c>
      <c r="I59" s="174">
        <f t="shared" si="1"/>
        <v>2.8571429848670959E-2</v>
      </c>
      <c r="J59" s="174">
        <f t="shared" si="1"/>
        <v>0</v>
      </c>
      <c r="K59" s="174">
        <f t="shared" si="1"/>
        <v>0</v>
      </c>
      <c r="L59" s="179">
        <f t="shared" si="1"/>
        <v>2.5000000000000001E-2</v>
      </c>
      <c r="N59" s="30"/>
    </row>
    <row r="60" spans="1:14" s="16" customFormat="1" x14ac:dyDescent="0.2">
      <c r="A60" s="160"/>
      <c r="B60" s="187" t="s">
        <v>147</v>
      </c>
      <c r="C60" s="188"/>
      <c r="D60" s="145"/>
      <c r="E60" s="189">
        <f t="shared" ref="E60:L60" si="2">AVERAGE(LARGE(E7:E44,1),LARGE(E7:E44,2),LARGE(E7:E44,3),LARGE(E7:E44,4),LARGE(E7:E44,5))</f>
        <v>2.1653061389923094</v>
      </c>
      <c r="F60" s="180">
        <f t="shared" si="2"/>
        <v>4.8214285850524901</v>
      </c>
      <c r="G60" s="180">
        <f t="shared" si="2"/>
        <v>5.6780219078063965</v>
      </c>
      <c r="H60" s="180">
        <f t="shared" si="2"/>
        <v>3.6043956279754639</v>
      </c>
      <c r="I60" s="180">
        <f t="shared" si="2"/>
        <v>3.2357142448425291</v>
      </c>
      <c r="J60" s="180">
        <f t="shared" si="2"/>
        <v>3.1166666030883787</v>
      </c>
      <c r="K60" s="180">
        <f t="shared" si="2"/>
        <v>1.8197802543640136</v>
      </c>
      <c r="L60" s="181">
        <f t="shared" si="2"/>
        <v>5.125</v>
      </c>
      <c r="N60" s="30"/>
    </row>
    <row r="61" spans="1:14" s="20" customFormat="1" x14ac:dyDescent="0.2">
      <c r="A61" s="10"/>
      <c r="B61" s="10"/>
      <c r="C61" s="15"/>
      <c r="D61" s="10"/>
      <c r="E61" s="10"/>
      <c r="F61" s="10"/>
      <c r="G61" s="10"/>
      <c r="H61" s="10"/>
      <c r="I61" s="10"/>
      <c r="J61" s="10"/>
      <c r="K61" s="10"/>
      <c r="L61" s="10"/>
      <c r="M61" s="25"/>
      <c r="N61" s="25"/>
    </row>
    <row r="62" spans="1:14" x14ac:dyDescent="0.2">
      <c r="A62" s="13" t="s">
        <v>277</v>
      </c>
      <c r="D62" s="10"/>
    </row>
    <row r="63" spans="1:14" customFormat="1" x14ac:dyDescent="0.2">
      <c r="A63" s="13" t="s">
        <v>263</v>
      </c>
      <c r="B63" s="15"/>
      <c r="C63" s="140"/>
      <c r="D63" s="10"/>
      <c r="E63" s="10"/>
      <c r="F63" s="10"/>
      <c r="G63" s="10"/>
      <c r="H63" s="10"/>
      <c r="I63" s="10"/>
      <c r="J63" s="10"/>
      <c r="K63" s="10"/>
      <c r="L63" s="10"/>
      <c r="M63" s="10"/>
      <c r="N63" s="10"/>
    </row>
    <row r="64" spans="1:14" x14ac:dyDescent="0.2">
      <c r="A64" s="13"/>
      <c r="D64" s="10"/>
    </row>
    <row r="65" spans="1:631" x14ac:dyDescent="0.2">
      <c r="A65" s="12" t="s">
        <v>56</v>
      </c>
      <c r="D65" s="10"/>
    </row>
    <row r="66" spans="1:631" s="14" customFormat="1" ht="19.5" customHeight="1" x14ac:dyDescent="0.2">
      <c r="A66" s="43" t="s">
        <v>135</v>
      </c>
      <c r="B66" s="80"/>
      <c r="C66" s="140"/>
      <c r="D66" s="11"/>
      <c r="E66" s="11"/>
      <c r="F66" s="11"/>
      <c r="G66" s="11"/>
      <c r="H66" s="11"/>
      <c r="I66" s="11"/>
      <c r="J66" s="1"/>
      <c r="K66" s="1"/>
      <c r="L66" s="1"/>
      <c r="M66" s="1"/>
      <c r="N66" s="1"/>
      <c r="O66" s="1"/>
      <c r="P66" s="1"/>
      <c r="Q66" s="1"/>
    </row>
    <row r="67" spans="1:631" s="34" customFormat="1" ht="19.5" customHeight="1" x14ac:dyDescent="0.2">
      <c r="A67" s="44" t="s">
        <v>276</v>
      </c>
      <c r="B67" s="15"/>
      <c r="C67" s="15"/>
      <c r="D67" s="10"/>
      <c r="E67" s="16"/>
      <c r="F67" s="16"/>
      <c r="G67" s="16"/>
      <c r="H67" s="16"/>
      <c r="I67" s="16"/>
      <c r="J67" s="16"/>
      <c r="K67" s="16"/>
      <c r="L67" s="16"/>
      <c r="M67" s="190"/>
      <c r="N67" s="190"/>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c r="DH67" s="28"/>
      <c r="DI67" s="28"/>
      <c r="DJ67" s="28"/>
      <c r="DK67" s="28"/>
      <c r="DL67" s="28"/>
      <c r="DM67" s="28"/>
      <c r="DN67" s="28"/>
      <c r="DO67" s="28"/>
      <c r="DP67" s="28"/>
      <c r="DQ67" s="28"/>
      <c r="DR67" s="28"/>
      <c r="DS67" s="28"/>
      <c r="DT67" s="28"/>
      <c r="DU67" s="28"/>
      <c r="DV67" s="28"/>
      <c r="DW67" s="28"/>
      <c r="DX67" s="28"/>
      <c r="DY67" s="28"/>
      <c r="DZ67" s="28"/>
      <c r="EA67" s="28"/>
      <c r="EB67" s="28"/>
      <c r="EC67" s="28"/>
      <c r="ED67" s="28"/>
      <c r="EE67" s="28"/>
      <c r="EF67" s="28"/>
      <c r="EG67" s="28"/>
      <c r="EH67" s="28"/>
      <c r="EI67" s="28"/>
      <c r="EJ67" s="28"/>
      <c r="EK67" s="28"/>
      <c r="EL67" s="28"/>
      <c r="EM67" s="28"/>
      <c r="EN67" s="28"/>
      <c r="EO67" s="28"/>
      <c r="EP67" s="28"/>
      <c r="EQ67" s="28"/>
      <c r="ER67" s="28"/>
      <c r="ES67" s="28"/>
      <c r="ET67" s="28"/>
      <c r="EU67" s="28"/>
      <c r="EV67" s="28"/>
      <c r="EW67" s="28"/>
      <c r="EX67" s="28"/>
      <c r="EY67" s="28"/>
      <c r="EZ67" s="28"/>
      <c r="FA67" s="28"/>
      <c r="FB67" s="28"/>
      <c r="FC67" s="28"/>
      <c r="FD67" s="28"/>
      <c r="FE67" s="28"/>
      <c r="FF67" s="28"/>
      <c r="FG67" s="28"/>
      <c r="FH67" s="28"/>
      <c r="FI67" s="28"/>
      <c r="FJ67" s="28"/>
      <c r="FK67" s="28"/>
      <c r="FL67" s="28"/>
      <c r="FM67" s="28"/>
      <c r="FN67" s="28"/>
      <c r="FO67" s="28"/>
      <c r="FP67" s="28"/>
      <c r="FQ67" s="28"/>
      <c r="FR67" s="28"/>
      <c r="FS67" s="28"/>
      <c r="FT67" s="28"/>
      <c r="FU67" s="28"/>
      <c r="FV67" s="28"/>
      <c r="FW67" s="28"/>
      <c r="FX67" s="28"/>
      <c r="FY67" s="28"/>
      <c r="FZ67" s="28"/>
      <c r="GA67" s="28"/>
      <c r="GB67" s="28"/>
      <c r="GC67" s="28"/>
      <c r="GD67" s="28"/>
      <c r="GE67" s="28"/>
      <c r="GF67" s="28"/>
      <c r="GG67" s="28"/>
      <c r="GH67" s="28"/>
      <c r="GI67" s="28"/>
      <c r="GJ67" s="28"/>
      <c r="GK67" s="28"/>
      <c r="GL67" s="28"/>
      <c r="GM67" s="28"/>
      <c r="GN67" s="28"/>
      <c r="GO67" s="28"/>
      <c r="GP67" s="28"/>
      <c r="GQ67" s="28"/>
      <c r="GR67" s="28"/>
      <c r="GS67" s="28"/>
      <c r="GT67" s="28"/>
      <c r="GU67" s="28"/>
      <c r="GV67" s="28"/>
      <c r="GW67" s="28"/>
      <c r="GX67" s="28"/>
      <c r="GY67" s="28"/>
      <c r="GZ67" s="28"/>
      <c r="HA67" s="28"/>
      <c r="HB67" s="28"/>
      <c r="HC67" s="28"/>
      <c r="HD67" s="28"/>
      <c r="HE67" s="28"/>
      <c r="HF67" s="28"/>
      <c r="HG67" s="28"/>
      <c r="HH67" s="28"/>
      <c r="HI67" s="28"/>
      <c r="HJ67" s="28"/>
      <c r="HK67" s="28"/>
      <c r="HL67" s="28"/>
      <c r="HM67" s="28"/>
      <c r="HN67" s="28"/>
      <c r="HO67" s="28"/>
      <c r="HP67" s="28"/>
      <c r="HQ67" s="28"/>
      <c r="HR67" s="28"/>
      <c r="HS67" s="28"/>
      <c r="HT67" s="28"/>
      <c r="HU67" s="28"/>
      <c r="HV67" s="28"/>
      <c r="HW67" s="28"/>
      <c r="HX67" s="28"/>
      <c r="HY67" s="28"/>
      <c r="HZ67" s="28"/>
      <c r="IA67" s="28"/>
      <c r="IB67" s="28"/>
      <c r="IC67" s="28"/>
      <c r="ID67" s="28"/>
      <c r="IE67" s="28"/>
      <c r="IF67" s="28"/>
      <c r="IG67" s="28"/>
      <c r="IH67" s="28"/>
      <c r="II67" s="28"/>
      <c r="IJ67" s="28"/>
      <c r="IK67" s="28"/>
      <c r="IL67" s="28"/>
      <c r="IM67" s="28"/>
      <c r="IN67" s="28"/>
      <c r="IO67" s="28"/>
      <c r="IP67" s="28"/>
      <c r="IQ67" s="28"/>
      <c r="IR67" s="28"/>
      <c r="IS67" s="28"/>
      <c r="IT67" s="28"/>
      <c r="IU67" s="28"/>
      <c r="IV67" s="28"/>
      <c r="IW67" s="28"/>
      <c r="IX67" s="28"/>
      <c r="IY67" s="28"/>
      <c r="IZ67" s="28"/>
      <c r="JA67" s="28"/>
      <c r="JB67" s="28"/>
      <c r="JC67" s="28"/>
      <c r="JD67" s="28"/>
      <c r="JE67" s="28"/>
      <c r="JF67" s="28"/>
      <c r="JG67" s="28"/>
      <c r="JH67" s="28"/>
      <c r="JI67" s="28"/>
      <c r="JJ67" s="28"/>
      <c r="JK67" s="28"/>
      <c r="JL67" s="28"/>
      <c r="JM67" s="28"/>
      <c r="JN67" s="28"/>
      <c r="JO67" s="28"/>
      <c r="JP67" s="28"/>
      <c r="JQ67" s="28"/>
      <c r="JR67" s="28"/>
      <c r="JS67" s="28"/>
      <c r="JT67" s="28"/>
      <c r="JU67" s="28"/>
      <c r="JV67" s="28"/>
      <c r="JW67" s="28"/>
      <c r="JX67" s="28"/>
      <c r="JY67" s="28"/>
      <c r="JZ67" s="28"/>
      <c r="KA67" s="28"/>
      <c r="KB67" s="28"/>
      <c r="KC67" s="28"/>
      <c r="KD67" s="28"/>
      <c r="KE67" s="28"/>
      <c r="KF67" s="28"/>
      <c r="KG67" s="28"/>
      <c r="KH67" s="28"/>
      <c r="KI67" s="28"/>
      <c r="KJ67" s="28"/>
      <c r="KK67" s="28"/>
      <c r="KL67" s="28"/>
      <c r="KM67" s="28"/>
      <c r="KN67" s="28"/>
      <c r="KO67" s="28"/>
      <c r="KP67" s="28"/>
      <c r="KQ67" s="28"/>
      <c r="KR67" s="28"/>
      <c r="KS67" s="28"/>
      <c r="KT67" s="28"/>
      <c r="KU67" s="28"/>
      <c r="KV67" s="28"/>
      <c r="KW67" s="28"/>
      <c r="KX67" s="28"/>
      <c r="KY67" s="28"/>
      <c r="KZ67" s="28"/>
      <c r="LA67" s="28"/>
      <c r="LB67" s="28"/>
      <c r="LC67" s="28"/>
      <c r="LD67" s="28"/>
      <c r="LE67" s="28"/>
      <c r="LF67" s="28"/>
      <c r="LG67" s="28"/>
      <c r="LH67" s="28"/>
      <c r="LI67" s="28"/>
      <c r="LJ67" s="28"/>
      <c r="LK67" s="28"/>
      <c r="LL67" s="28"/>
      <c r="LM67" s="28"/>
      <c r="LN67" s="28"/>
      <c r="LO67" s="28"/>
      <c r="LP67" s="28"/>
      <c r="LQ67" s="28"/>
      <c r="LR67" s="28"/>
      <c r="LS67" s="28"/>
      <c r="LT67" s="28"/>
      <c r="LU67" s="28"/>
      <c r="LV67" s="28"/>
      <c r="LW67" s="28"/>
      <c r="LX67" s="28"/>
      <c r="LY67" s="28"/>
      <c r="LZ67" s="28"/>
      <c r="MA67" s="28"/>
      <c r="MB67" s="28"/>
      <c r="MC67" s="28"/>
      <c r="MD67" s="28"/>
      <c r="ME67" s="28"/>
      <c r="MF67" s="28"/>
      <c r="MG67" s="28"/>
      <c r="MH67" s="28"/>
      <c r="MI67" s="28"/>
      <c r="MJ67" s="28"/>
      <c r="MK67" s="28"/>
      <c r="ML67" s="28"/>
      <c r="MM67" s="28"/>
      <c r="MN67" s="28"/>
      <c r="MO67" s="28"/>
      <c r="MP67" s="28"/>
      <c r="MQ67" s="28"/>
      <c r="MR67" s="28"/>
      <c r="MS67" s="28"/>
      <c r="MT67" s="28"/>
      <c r="MU67" s="28"/>
      <c r="MV67" s="28"/>
      <c r="MW67" s="28"/>
      <c r="MX67" s="28"/>
      <c r="MY67" s="28"/>
      <c r="MZ67" s="28"/>
      <c r="NA67" s="28"/>
      <c r="NB67" s="28"/>
      <c r="NC67" s="28"/>
      <c r="ND67" s="28"/>
      <c r="NE67" s="28"/>
      <c r="NF67" s="28"/>
      <c r="NG67" s="28"/>
      <c r="NH67" s="28"/>
      <c r="NI67" s="28"/>
      <c r="NJ67" s="28"/>
      <c r="NK67" s="28"/>
      <c r="NL67" s="28"/>
      <c r="NM67" s="28"/>
      <c r="NN67" s="28"/>
      <c r="NO67" s="28"/>
      <c r="NP67" s="28"/>
      <c r="NQ67" s="28"/>
      <c r="NR67" s="28"/>
      <c r="NS67" s="28"/>
      <c r="NT67" s="28"/>
      <c r="NU67" s="28"/>
      <c r="NV67" s="28"/>
      <c r="NW67" s="28"/>
      <c r="NX67" s="28"/>
      <c r="NY67" s="28"/>
      <c r="NZ67" s="28"/>
      <c r="OA67" s="28"/>
      <c r="OB67" s="28"/>
      <c r="OC67" s="28"/>
      <c r="OD67" s="28"/>
      <c r="OE67" s="28"/>
      <c r="OF67" s="28"/>
      <c r="OG67" s="28"/>
      <c r="OH67" s="28"/>
      <c r="OI67" s="28"/>
      <c r="OJ67" s="28"/>
      <c r="OK67" s="28"/>
      <c r="OL67" s="28"/>
      <c r="OM67" s="28"/>
      <c r="ON67" s="28"/>
      <c r="OO67" s="28"/>
      <c r="OP67" s="28"/>
      <c r="OQ67" s="28"/>
      <c r="OR67" s="28"/>
      <c r="OS67" s="28"/>
      <c r="OT67" s="28"/>
      <c r="OU67" s="28"/>
      <c r="OV67" s="28"/>
      <c r="OW67" s="28"/>
      <c r="OX67" s="28"/>
      <c r="OY67" s="28"/>
      <c r="OZ67" s="28"/>
      <c r="PA67" s="28"/>
      <c r="PB67" s="28"/>
      <c r="PC67" s="28"/>
      <c r="PD67" s="28"/>
      <c r="PE67" s="28"/>
      <c r="PF67" s="28"/>
      <c r="PG67" s="28"/>
      <c r="PH67" s="28"/>
      <c r="PI67" s="28"/>
      <c r="PJ67" s="28"/>
      <c r="PK67" s="28"/>
      <c r="PL67" s="28"/>
      <c r="PM67" s="28"/>
      <c r="PN67" s="28"/>
      <c r="PO67" s="28"/>
      <c r="PP67" s="28"/>
      <c r="PQ67" s="28"/>
      <c r="PR67" s="28"/>
      <c r="PS67" s="28"/>
      <c r="PT67" s="28"/>
      <c r="PU67" s="28"/>
      <c r="PV67" s="28"/>
      <c r="PW67" s="28"/>
      <c r="PX67" s="28"/>
      <c r="PY67" s="28"/>
      <c r="PZ67" s="28"/>
      <c r="QA67" s="28"/>
      <c r="QB67" s="28"/>
      <c r="QC67" s="28"/>
      <c r="QD67" s="28"/>
      <c r="QE67" s="28"/>
      <c r="QF67" s="28"/>
      <c r="QG67" s="28"/>
      <c r="QH67" s="28"/>
      <c r="QI67" s="28"/>
      <c r="QJ67" s="28"/>
      <c r="QK67" s="28"/>
      <c r="QL67" s="28"/>
      <c r="QM67" s="28"/>
      <c r="QN67" s="28"/>
      <c r="QO67" s="28"/>
      <c r="QP67" s="28"/>
      <c r="QQ67" s="28"/>
      <c r="QR67" s="28"/>
      <c r="QS67" s="28"/>
      <c r="QT67" s="28"/>
      <c r="QU67" s="28"/>
      <c r="QV67" s="28"/>
      <c r="QW67" s="28"/>
      <c r="QX67" s="28"/>
      <c r="QY67" s="28"/>
      <c r="QZ67" s="28"/>
      <c r="RA67" s="28"/>
      <c r="RB67" s="28"/>
      <c r="RC67" s="28"/>
      <c r="RD67" s="28"/>
      <c r="RE67" s="28"/>
      <c r="RF67" s="28"/>
      <c r="RG67" s="28"/>
      <c r="RH67" s="28"/>
      <c r="RI67" s="28"/>
      <c r="RJ67" s="28"/>
      <c r="RK67" s="28"/>
      <c r="RL67" s="28"/>
      <c r="RM67" s="28"/>
      <c r="RN67" s="28"/>
      <c r="RO67" s="28"/>
      <c r="RP67" s="28"/>
      <c r="RQ67" s="28"/>
      <c r="RR67" s="28"/>
      <c r="RS67" s="28"/>
      <c r="RT67" s="28"/>
      <c r="RU67" s="28"/>
      <c r="RV67" s="28"/>
      <c r="RW67" s="28"/>
      <c r="RX67" s="28"/>
      <c r="RY67" s="28"/>
      <c r="RZ67" s="28"/>
      <c r="SA67" s="28"/>
      <c r="SB67" s="28"/>
      <c r="SC67" s="28"/>
      <c r="SD67" s="28"/>
      <c r="SE67" s="28"/>
      <c r="SF67" s="28"/>
      <c r="SG67" s="28"/>
      <c r="SH67" s="28"/>
      <c r="SI67" s="28"/>
      <c r="SJ67" s="28"/>
      <c r="SK67" s="28"/>
      <c r="SL67" s="28"/>
      <c r="SM67" s="28"/>
      <c r="SN67" s="28"/>
      <c r="SO67" s="28"/>
      <c r="SP67" s="28"/>
      <c r="SQ67" s="28"/>
      <c r="SR67" s="28"/>
      <c r="SS67" s="28"/>
      <c r="ST67" s="28"/>
      <c r="SU67" s="28"/>
      <c r="SV67" s="28"/>
      <c r="SW67" s="28"/>
      <c r="SX67" s="28"/>
      <c r="SY67" s="28"/>
      <c r="SZ67" s="28"/>
      <c r="TA67" s="28"/>
      <c r="TB67" s="28"/>
      <c r="TC67" s="28"/>
      <c r="TD67" s="28"/>
      <c r="TE67" s="28"/>
      <c r="TF67" s="28"/>
      <c r="TG67" s="28"/>
      <c r="TH67" s="28"/>
      <c r="TI67" s="28"/>
      <c r="TJ67" s="28"/>
      <c r="TK67" s="28"/>
      <c r="TL67" s="28"/>
      <c r="TM67" s="28"/>
      <c r="TN67" s="28"/>
      <c r="TO67" s="28"/>
      <c r="TP67" s="28"/>
      <c r="TQ67" s="28"/>
      <c r="TR67" s="28"/>
      <c r="TS67" s="28"/>
      <c r="TT67" s="28"/>
      <c r="TU67" s="28"/>
      <c r="TV67" s="28"/>
      <c r="TW67" s="28"/>
      <c r="TX67" s="28"/>
      <c r="TY67" s="28"/>
      <c r="TZ67" s="28"/>
      <c r="UA67" s="28"/>
      <c r="UB67" s="28"/>
      <c r="UC67" s="28"/>
      <c r="UD67" s="28"/>
      <c r="UE67" s="28"/>
      <c r="UF67" s="28"/>
      <c r="UG67" s="28"/>
      <c r="UH67" s="28"/>
      <c r="UI67" s="28"/>
      <c r="UJ67" s="28"/>
      <c r="UK67" s="28"/>
      <c r="UL67" s="28"/>
      <c r="UM67" s="28"/>
      <c r="UN67" s="28"/>
      <c r="UO67" s="28"/>
      <c r="UP67" s="28"/>
      <c r="UQ67" s="28"/>
      <c r="UR67" s="28"/>
      <c r="US67" s="28"/>
      <c r="UT67" s="28"/>
      <c r="UU67" s="28"/>
      <c r="UV67" s="28"/>
      <c r="UW67" s="28"/>
      <c r="UX67" s="28"/>
      <c r="UY67" s="28"/>
      <c r="UZ67" s="28"/>
      <c r="VA67" s="28"/>
      <c r="VB67" s="28"/>
      <c r="VC67" s="28"/>
      <c r="VD67" s="28"/>
      <c r="VE67" s="28"/>
      <c r="VF67" s="28"/>
      <c r="VG67" s="28"/>
      <c r="VH67" s="28"/>
      <c r="VI67" s="28"/>
      <c r="VJ67" s="28"/>
      <c r="VK67" s="28"/>
      <c r="VL67" s="28"/>
      <c r="VM67" s="28"/>
      <c r="VN67" s="28"/>
      <c r="VO67" s="28"/>
      <c r="VP67" s="28"/>
      <c r="VQ67" s="28"/>
      <c r="VR67" s="28"/>
      <c r="VS67" s="28"/>
      <c r="VT67" s="28"/>
      <c r="VU67" s="28"/>
      <c r="VV67" s="28"/>
      <c r="VW67" s="28"/>
      <c r="VX67" s="28"/>
      <c r="VY67" s="28"/>
      <c r="VZ67" s="28"/>
      <c r="WA67" s="28"/>
      <c r="WB67" s="28"/>
      <c r="WC67" s="28"/>
      <c r="WD67" s="28"/>
      <c r="WE67" s="28"/>
      <c r="WF67" s="28"/>
      <c r="WG67" s="28"/>
      <c r="WH67" s="28"/>
      <c r="WI67" s="28"/>
      <c r="WJ67" s="28"/>
      <c r="WK67" s="28"/>
      <c r="WL67" s="28"/>
      <c r="WM67" s="28"/>
      <c r="WN67" s="28"/>
      <c r="WO67" s="28"/>
      <c r="WP67" s="28"/>
      <c r="WQ67" s="28"/>
      <c r="WR67" s="28"/>
      <c r="WS67" s="28"/>
      <c r="WT67" s="28"/>
      <c r="WU67" s="28"/>
      <c r="WV67" s="28"/>
      <c r="WW67" s="28"/>
      <c r="WX67" s="28"/>
      <c r="WY67" s="28"/>
      <c r="WZ67" s="28"/>
      <c r="XA67" s="28"/>
      <c r="XB67" s="28"/>
      <c r="XC67" s="28"/>
      <c r="XD67" s="28"/>
      <c r="XE67" s="28"/>
      <c r="XF67" s="28"/>
      <c r="XG67" s="28"/>
    </row>
    <row r="68" spans="1:631" ht="19.5" customHeight="1" x14ac:dyDescent="0.2">
      <c r="A68" s="24" t="s">
        <v>55</v>
      </c>
      <c r="D68" s="10"/>
      <c r="M68" s="1"/>
      <c r="N68" s="1"/>
    </row>
    <row r="69" spans="1:631" ht="19.5" customHeight="1" x14ac:dyDescent="0.2">
      <c r="A69" s="24" t="s">
        <v>233</v>
      </c>
      <c r="D69" s="10"/>
    </row>
    <row r="70" spans="1:631" ht="19.5" customHeight="1" x14ac:dyDescent="0.2">
      <c r="A70" s="11" t="s">
        <v>234</v>
      </c>
      <c r="D70" s="10"/>
    </row>
    <row r="71" spans="1:631" ht="19.5" customHeight="1" x14ac:dyDescent="0.2">
      <c r="A71" s="11" t="s">
        <v>250</v>
      </c>
      <c r="D71" s="10"/>
    </row>
    <row r="72" spans="1:631" ht="19.5" customHeight="1" x14ac:dyDescent="0.2">
      <c r="A72" s="11" t="s">
        <v>251</v>
      </c>
      <c r="D72" s="10"/>
    </row>
    <row r="73" spans="1:631" ht="19.5" customHeight="1" x14ac:dyDescent="0.2">
      <c r="A73" s="11" t="s">
        <v>252</v>
      </c>
      <c r="D73" s="10"/>
    </row>
    <row r="74" spans="1:631" x14ac:dyDescent="0.2">
      <c r="D74" s="10"/>
    </row>
    <row r="75" spans="1:631" x14ac:dyDescent="0.2">
      <c r="D75" s="10"/>
    </row>
    <row r="76" spans="1:631" x14ac:dyDescent="0.2">
      <c r="D76" s="10"/>
    </row>
    <row r="77" spans="1:631" x14ac:dyDescent="0.2">
      <c r="D77" s="10"/>
    </row>
    <row r="78" spans="1:631" x14ac:dyDescent="0.2">
      <c r="D78" s="10"/>
    </row>
    <row r="79" spans="1:631" x14ac:dyDescent="0.2">
      <c r="D79" s="10"/>
    </row>
    <row r="80" spans="1:631" x14ac:dyDescent="0.2">
      <c r="D80" s="10"/>
    </row>
    <row r="81" spans="4:4" x14ac:dyDescent="0.2">
      <c r="D81" s="10"/>
    </row>
    <row r="82" spans="4:4" x14ac:dyDescent="0.2">
      <c r="D82" s="10"/>
    </row>
    <row r="83" spans="4:4" x14ac:dyDescent="0.2">
      <c r="D83" s="10"/>
    </row>
    <row r="84" spans="4:4" x14ac:dyDescent="0.2">
      <c r="D84" s="10"/>
    </row>
    <row r="85" spans="4:4" x14ac:dyDescent="0.2">
      <c r="D85" s="10"/>
    </row>
    <row r="86" spans="4:4" x14ac:dyDescent="0.2">
      <c r="D86" s="10"/>
    </row>
    <row r="87" spans="4:4" x14ac:dyDescent="0.2">
      <c r="D87" s="10"/>
    </row>
    <row r="88" spans="4:4" x14ac:dyDescent="0.2">
      <c r="D88" s="10"/>
    </row>
    <row r="89" spans="4:4" x14ac:dyDescent="0.2">
      <c r="D89" s="10"/>
    </row>
    <row r="90" spans="4:4" x14ac:dyDescent="0.2">
      <c r="D90" s="10"/>
    </row>
    <row r="91" spans="4:4" x14ac:dyDescent="0.2">
      <c r="D91" s="10"/>
    </row>
    <row r="92" spans="4:4" x14ac:dyDescent="0.2">
      <c r="D92" s="10"/>
    </row>
    <row r="93" spans="4:4" x14ac:dyDescent="0.2">
      <c r="D93" s="10"/>
    </row>
    <row r="94" spans="4:4" x14ac:dyDescent="0.2">
      <c r="D94" s="10"/>
    </row>
    <row r="95" spans="4:4" x14ac:dyDescent="0.2">
      <c r="D95" s="10"/>
    </row>
    <row r="96" spans="4:4" x14ac:dyDescent="0.2">
      <c r="D96" s="10"/>
    </row>
    <row r="97" spans="4:4" x14ac:dyDescent="0.2">
      <c r="D97" s="10"/>
    </row>
    <row r="98" spans="4:4" x14ac:dyDescent="0.2">
      <c r="D98" s="10"/>
    </row>
    <row r="99" spans="4:4" x14ac:dyDescent="0.2">
      <c r="D99" s="10"/>
    </row>
    <row r="100" spans="4:4" x14ac:dyDescent="0.2">
      <c r="D100" s="10"/>
    </row>
    <row r="101" spans="4:4" x14ac:dyDescent="0.2">
      <c r="D101" s="10"/>
    </row>
    <row r="102" spans="4:4" x14ac:dyDescent="0.2">
      <c r="D102" s="10"/>
    </row>
    <row r="103" spans="4:4" x14ac:dyDescent="0.2">
      <c r="D103" s="10"/>
    </row>
    <row r="104" spans="4:4" x14ac:dyDescent="0.2">
      <c r="D104" s="10"/>
    </row>
    <row r="105" spans="4:4" x14ac:dyDescent="0.2">
      <c r="D105" s="10"/>
    </row>
    <row r="106" spans="4:4" x14ac:dyDescent="0.2">
      <c r="D106" s="10"/>
    </row>
    <row r="107" spans="4:4" x14ac:dyDescent="0.2">
      <c r="D107" s="10"/>
    </row>
    <row r="108" spans="4:4" x14ac:dyDescent="0.2">
      <c r="D108" s="10"/>
    </row>
    <row r="109" spans="4:4" x14ac:dyDescent="0.2">
      <c r="D109" s="10"/>
    </row>
    <row r="110" spans="4:4" x14ac:dyDescent="0.2">
      <c r="D110" s="10"/>
    </row>
    <row r="111" spans="4:4" x14ac:dyDescent="0.2">
      <c r="D111" s="10"/>
    </row>
    <row r="112" spans="4:4" x14ac:dyDescent="0.2">
      <c r="D112" s="10"/>
    </row>
    <row r="113" spans="4:4" x14ac:dyDescent="0.2">
      <c r="D113" s="10"/>
    </row>
    <row r="114" spans="4:4" x14ac:dyDescent="0.2">
      <c r="D114" s="10"/>
    </row>
    <row r="115" spans="4:4" x14ac:dyDescent="0.2">
      <c r="D115" s="10"/>
    </row>
    <row r="116" spans="4:4" x14ac:dyDescent="0.2">
      <c r="D116" s="10"/>
    </row>
    <row r="117" spans="4:4" x14ac:dyDescent="0.2">
      <c r="D117" s="10"/>
    </row>
    <row r="118" spans="4:4" x14ac:dyDescent="0.2">
      <c r="D118" s="10"/>
    </row>
    <row r="119" spans="4:4" x14ac:dyDescent="0.2">
      <c r="D119" s="10"/>
    </row>
    <row r="120" spans="4:4" x14ac:dyDescent="0.2">
      <c r="D120" s="10"/>
    </row>
    <row r="121" spans="4:4" x14ac:dyDescent="0.2">
      <c r="D121" s="10"/>
    </row>
    <row r="122" spans="4:4" x14ac:dyDescent="0.2">
      <c r="D122" s="10"/>
    </row>
    <row r="123" spans="4:4" x14ac:dyDescent="0.2">
      <c r="D123" s="10"/>
    </row>
    <row r="124" spans="4:4" x14ac:dyDescent="0.2">
      <c r="D124" s="10"/>
    </row>
    <row r="125" spans="4:4" x14ac:dyDescent="0.2">
      <c r="D125" s="10"/>
    </row>
    <row r="126" spans="4:4" x14ac:dyDescent="0.2">
      <c r="D126" s="10"/>
    </row>
    <row r="127" spans="4:4" x14ac:dyDescent="0.2">
      <c r="D127" s="10"/>
    </row>
    <row r="128" spans="4:4" x14ac:dyDescent="0.2">
      <c r="D128" s="10"/>
    </row>
    <row r="129" spans="4:4" x14ac:dyDescent="0.2">
      <c r="D129" s="10"/>
    </row>
    <row r="130" spans="4:4" x14ac:dyDescent="0.2">
      <c r="D130" s="10"/>
    </row>
    <row r="131" spans="4:4" x14ac:dyDescent="0.2">
      <c r="D131" s="10"/>
    </row>
    <row r="132" spans="4:4" x14ac:dyDescent="0.2">
      <c r="D132" s="10"/>
    </row>
    <row r="133" spans="4:4" x14ac:dyDescent="0.2">
      <c r="D133" s="10"/>
    </row>
    <row r="134" spans="4:4" x14ac:dyDescent="0.2">
      <c r="D134" s="10"/>
    </row>
    <row r="135" spans="4:4" x14ac:dyDescent="0.2">
      <c r="D135" s="10"/>
    </row>
    <row r="136" spans="4:4" x14ac:dyDescent="0.2">
      <c r="D136" s="10"/>
    </row>
    <row r="137" spans="4:4" x14ac:dyDescent="0.2">
      <c r="D137" s="10"/>
    </row>
    <row r="138" spans="4:4" x14ac:dyDescent="0.2">
      <c r="D138" s="10"/>
    </row>
    <row r="139" spans="4:4" x14ac:dyDescent="0.2">
      <c r="D139" s="10"/>
    </row>
    <row r="140" spans="4:4" x14ac:dyDescent="0.2">
      <c r="D140" s="10"/>
    </row>
    <row r="141" spans="4:4" x14ac:dyDescent="0.2">
      <c r="D141" s="10"/>
    </row>
    <row r="142" spans="4:4" x14ac:dyDescent="0.2">
      <c r="D142" s="10"/>
    </row>
    <row r="143" spans="4:4" x14ac:dyDescent="0.2">
      <c r="D143" s="10"/>
    </row>
    <row r="144" spans="4:4" x14ac:dyDescent="0.2">
      <c r="D144" s="10"/>
    </row>
    <row r="145" spans="4:4" x14ac:dyDescent="0.2">
      <c r="D145" s="10"/>
    </row>
    <row r="146" spans="4:4" x14ac:dyDescent="0.2">
      <c r="D146" s="10"/>
    </row>
    <row r="147" spans="4:4" x14ac:dyDescent="0.2">
      <c r="D147" s="10"/>
    </row>
    <row r="148" spans="4:4" x14ac:dyDescent="0.2">
      <c r="D148" s="10"/>
    </row>
    <row r="149" spans="4:4" x14ac:dyDescent="0.2">
      <c r="D149" s="10"/>
    </row>
    <row r="150" spans="4:4" x14ac:dyDescent="0.2">
      <c r="D150" s="10"/>
    </row>
    <row r="151" spans="4:4" x14ac:dyDescent="0.2">
      <c r="D151" s="10"/>
    </row>
    <row r="152" spans="4:4" x14ac:dyDescent="0.2">
      <c r="D152" s="10"/>
    </row>
    <row r="153" spans="4:4" x14ac:dyDescent="0.2">
      <c r="D153" s="10"/>
    </row>
    <row r="154" spans="4:4" x14ac:dyDescent="0.2">
      <c r="D154" s="10"/>
    </row>
    <row r="155" spans="4:4" x14ac:dyDescent="0.2">
      <c r="D155" s="10"/>
    </row>
    <row r="156" spans="4:4" x14ac:dyDescent="0.2">
      <c r="D156" s="10"/>
    </row>
    <row r="157" spans="4:4" x14ac:dyDescent="0.2">
      <c r="D157" s="10"/>
    </row>
    <row r="158" spans="4:4" x14ac:dyDescent="0.2">
      <c r="D158" s="10"/>
    </row>
    <row r="159" spans="4:4" x14ac:dyDescent="0.2">
      <c r="D159" s="10"/>
    </row>
    <row r="160" spans="4:4" x14ac:dyDescent="0.2">
      <c r="D160" s="10"/>
    </row>
    <row r="161" spans="4:4" x14ac:dyDescent="0.2">
      <c r="D161" s="10"/>
    </row>
    <row r="162" spans="4:4" x14ac:dyDescent="0.2">
      <c r="D162" s="10"/>
    </row>
    <row r="163" spans="4:4" x14ac:dyDescent="0.2">
      <c r="D163" s="10"/>
    </row>
    <row r="164" spans="4:4" x14ac:dyDescent="0.2">
      <c r="D164" s="10"/>
    </row>
    <row r="165" spans="4:4" x14ac:dyDescent="0.2">
      <c r="D165" s="10"/>
    </row>
    <row r="166" spans="4:4" x14ac:dyDescent="0.2">
      <c r="D166" s="10"/>
    </row>
    <row r="167" spans="4:4" x14ac:dyDescent="0.2">
      <c r="D167" s="10"/>
    </row>
    <row r="168" spans="4:4" x14ac:dyDescent="0.2">
      <c r="D168" s="10"/>
    </row>
    <row r="169" spans="4:4" x14ac:dyDescent="0.2">
      <c r="D169" s="10"/>
    </row>
    <row r="170" spans="4:4" x14ac:dyDescent="0.2">
      <c r="D170" s="10"/>
    </row>
    <row r="171" spans="4:4" x14ac:dyDescent="0.2">
      <c r="D171" s="10"/>
    </row>
    <row r="172" spans="4:4" x14ac:dyDescent="0.2">
      <c r="D172" s="10"/>
    </row>
    <row r="173" spans="4:4" x14ac:dyDescent="0.2">
      <c r="D173" s="10"/>
    </row>
    <row r="174" spans="4:4" x14ac:dyDescent="0.2">
      <c r="D174" s="10"/>
    </row>
    <row r="175" spans="4:4" x14ac:dyDescent="0.2">
      <c r="D175" s="10"/>
    </row>
    <row r="176" spans="4:4" x14ac:dyDescent="0.2">
      <c r="D176" s="10"/>
    </row>
    <row r="177" spans="4:4" x14ac:dyDescent="0.2">
      <c r="D177" s="10"/>
    </row>
    <row r="178" spans="4:4" x14ac:dyDescent="0.2">
      <c r="D178" s="10"/>
    </row>
    <row r="179" spans="4:4" x14ac:dyDescent="0.2">
      <c r="D179" s="10"/>
    </row>
    <row r="180" spans="4:4" x14ac:dyDescent="0.2">
      <c r="D180" s="10"/>
    </row>
    <row r="181" spans="4:4" x14ac:dyDescent="0.2">
      <c r="D181" s="10"/>
    </row>
    <row r="182" spans="4:4" x14ac:dyDescent="0.2">
      <c r="D182" s="10"/>
    </row>
    <row r="183" spans="4:4" x14ac:dyDescent="0.2">
      <c r="D183" s="10"/>
    </row>
    <row r="184" spans="4:4" x14ac:dyDescent="0.2">
      <c r="D184" s="10"/>
    </row>
    <row r="185" spans="4:4" x14ac:dyDescent="0.2">
      <c r="D185" s="10"/>
    </row>
    <row r="186" spans="4:4" x14ac:dyDescent="0.2">
      <c r="D186" s="10"/>
    </row>
    <row r="187" spans="4:4" x14ac:dyDescent="0.2">
      <c r="D187" s="10"/>
    </row>
    <row r="188" spans="4:4" x14ac:dyDescent="0.2">
      <c r="D188" s="10"/>
    </row>
    <row r="189" spans="4:4" x14ac:dyDescent="0.2">
      <c r="D189" s="10"/>
    </row>
    <row r="190" spans="4:4" x14ac:dyDescent="0.2">
      <c r="D190" s="10"/>
    </row>
    <row r="191" spans="4:4" x14ac:dyDescent="0.2">
      <c r="D191" s="10"/>
    </row>
    <row r="192" spans="4:4" x14ac:dyDescent="0.2">
      <c r="D192" s="10"/>
    </row>
    <row r="193" spans="4:4" x14ac:dyDescent="0.2">
      <c r="D193" s="10"/>
    </row>
    <row r="194" spans="4:4" x14ac:dyDescent="0.2">
      <c r="D194" s="10"/>
    </row>
    <row r="195" spans="4:4" x14ac:dyDescent="0.2">
      <c r="D195" s="10"/>
    </row>
    <row r="196" spans="4:4" x14ac:dyDescent="0.2">
      <c r="D196" s="10"/>
    </row>
    <row r="197" spans="4:4" x14ac:dyDescent="0.2">
      <c r="D197" s="10"/>
    </row>
    <row r="198" spans="4:4" x14ac:dyDescent="0.2">
      <c r="D198" s="10"/>
    </row>
    <row r="199" spans="4:4" x14ac:dyDescent="0.2">
      <c r="D199" s="10"/>
    </row>
    <row r="200" spans="4:4" x14ac:dyDescent="0.2">
      <c r="D200" s="10"/>
    </row>
    <row r="201" spans="4:4" x14ac:dyDescent="0.2">
      <c r="D201" s="10"/>
    </row>
    <row r="202" spans="4:4" x14ac:dyDescent="0.2">
      <c r="D202" s="10"/>
    </row>
    <row r="203" spans="4:4" x14ac:dyDescent="0.2">
      <c r="D203" s="10"/>
    </row>
    <row r="204" spans="4:4" x14ac:dyDescent="0.2">
      <c r="D204" s="10"/>
    </row>
    <row r="205" spans="4:4" x14ac:dyDescent="0.2">
      <c r="D205" s="10"/>
    </row>
    <row r="206" spans="4:4" x14ac:dyDescent="0.2">
      <c r="D206" s="10"/>
    </row>
    <row r="207" spans="4:4" x14ac:dyDescent="0.2">
      <c r="D207" s="10"/>
    </row>
    <row r="208" spans="4:4" x14ac:dyDescent="0.2">
      <c r="D208" s="10"/>
    </row>
    <row r="209" spans="4:4" x14ac:dyDescent="0.2">
      <c r="D209" s="10"/>
    </row>
    <row r="210" spans="4:4" x14ac:dyDescent="0.2">
      <c r="D210" s="10"/>
    </row>
    <row r="211" spans="4:4" x14ac:dyDescent="0.2">
      <c r="D211" s="10"/>
    </row>
    <row r="212" spans="4:4" x14ac:dyDescent="0.2">
      <c r="D212" s="10"/>
    </row>
    <row r="213" spans="4:4" x14ac:dyDescent="0.2">
      <c r="D213" s="10"/>
    </row>
    <row r="214" spans="4:4" x14ac:dyDescent="0.2">
      <c r="D214" s="10"/>
    </row>
    <row r="215" spans="4:4" x14ac:dyDescent="0.2">
      <c r="D215" s="10"/>
    </row>
    <row r="216" spans="4:4" x14ac:dyDescent="0.2">
      <c r="D216" s="10"/>
    </row>
    <row r="217" spans="4:4" x14ac:dyDescent="0.2">
      <c r="D217" s="10"/>
    </row>
    <row r="218" spans="4:4" x14ac:dyDescent="0.2">
      <c r="D218" s="10"/>
    </row>
    <row r="219" spans="4:4" x14ac:dyDescent="0.2">
      <c r="D219" s="10"/>
    </row>
    <row r="220" spans="4:4" x14ac:dyDescent="0.2">
      <c r="D220" s="10"/>
    </row>
    <row r="221" spans="4:4" x14ac:dyDescent="0.2">
      <c r="D221" s="10"/>
    </row>
    <row r="222" spans="4:4" x14ac:dyDescent="0.2">
      <c r="D222" s="10"/>
    </row>
    <row r="223" spans="4:4" x14ac:dyDescent="0.2">
      <c r="D223" s="10"/>
    </row>
    <row r="224" spans="4:4" x14ac:dyDescent="0.2">
      <c r="D224" s="10"/>
    </row>
    <row r="225" spans="4:4" x14ac:dyDescent="0.2">
      <c r="D225" s="10"/>
    </row>
    <row r="226" spans="4:4" x14ac:dyDescent="0.2">
      <c r="D226" s="10"/>
    </row>
    <row r="227" spans="4:4" x14ac:dyDescent="0.2">
      <c r="D227" s="10"/>
    </row>
    <row r="228" spans="4:4" x14ac:dyDescent="0.2">
      <c r="D228" s="10"/>
    </row>
    <row r="229" spans="4:4" x14ac:dyDescent="0.2">
      <c r="D229" s="10"/>
    </row>
    <row r="230" spans="4:4" x14ac:dyDescent="0.2">
      <c r="D230" s="10"/>
    </row>
    <row r="231" spans="4:4" x14ac:dyDescent="0.2">
      <c r="D231" s="10"/>
    </row>
    <row r="232" spans="4:4" x14ac:dyDescent="0.2">
      <c r="D232" s="10"/>
    </row>
    <row r="233" spans="4:4" x14ac:dyDescent="0.2">
      <c r="D233" s="10"/>
    </row>
    <row r="234" spans="4:4" x14ac:dyDescent="0.2">
      <c r="D234" s="10"/>
    </row>
    <row r="235" spans="4:4" x14ac:dyDescent="0.2">
      <c r="D235" s="10"/>
    </row>
    <row r="236" spans="4:4" x14ac:dyDescent="0.2">
      <c r="D236" s="10"/>
    </row>
    <row r="237" spans="4:4" x14ac:dyDescent="0.2">
      <c r="D237" s="10"/>
    </row>
    <row r="238" spans="4:4" x14ac:dyDescent="0.2">
      <c r="D238" s="10"/>
    </row>
    <row r="239" spans="4:4" x14ac:dyDescent="0.2">
      <c r="D239" s="10"/>
    </row>
    <row r="240" spans="4:4" x14ac:dyDescent="0.2">
      <c r="D240" s="10"/>
    </row>
    <row r="241" spans="4:4" x14ac:dyDescent="0.2">
      <c r="D241" s="10"/>
    </row>
    <row r="242" spans="4:4" x14ac:dyDescent="0.2">
      <c r="D242" s="10"/>
    </row>
    <row r="243" spans="4:4" x14ac:dyDescent="0.2">
      <c r="D243" s="10"/>
    </row>
    <row r="244" spans="4:4" x14ac:dyDescent="0.2">
      <c r="D244" s="10"/>
    </row>
    <row r="245" spans="4:4" x14ac:dyDescent="0.2">
      <c r="D245" s="10"/>
    </row>
    <row r="246" spans="4:4" x14ac:dyDescent="0.2">
      <c r="D246" s="10"/>
    </row>
    <row r="247" spans="4:4" x14ac:dyDescent="0.2">
      <c r="D247" s="10"/>
    </row>
    <row r="248" spans="4:4" x14ac:dyDescent="0.2">
      <c r="D248" s="10"/>
    </row>
    <row r="249" spans="4:4" x14ac:dyDescent="0.2">
      <c r="D249" s="10"/>
    </row>
    <row r="250" spans="4:4" x14ac:dyDescent="0.2">
      <c r="D250" s="10"/>
    </row>
    <row r="251" spans="4:4" x14ac:dyDescent="0.2">
      <c r="D251" s="10"/>
    </row>
    <row r="252" spans="4:4" x14ac:dyDescent="0.2">
      <c r="D252" s="10"/>
    </row>
    <row r="253" spans="4:4" x14ac:dyDescent="0.2">
      <c r="D253" s="10"/>
    </row>
    <row r="254" spans="4:4" x14ac:dyDescent="0.2">
      <c r="D254" s="10"/>
    </row>
    <row r="255" spans="4:4" x14ac:dyDescent="0.2">
      <c r="D255" s="10"/>
    </row>
    <row r="256" spans="4:4" x14ac:dyDescent="0.2">
      <c r="D256" s="10"/>
    </row>
    <row r="257" spans="4:4" x14ac:dyDescent="0.2">
      <c r="D257" s="10"/>
    </row>
    <row r="258" spans="4:4" x14ac:dyDescent="0.2">
      <c r="D258" s="10"/>
    </row>
    <row r="259" spans="4:4" x14ac:dyDescent="0.2">
      <c r="D259" s="10"/>
    </row>
    <row r="260" spans="4:4" x14ac:dyDescent="0.2">
      <c r="D260" s="10"/>
    </row>
    <row r="261" spans="4:4" x14ac:dyDescent="0.2">
      <c r="D261" s="10"/>
    </row>
    <row r="262" spans="4:4" x14ac:dyDescent="0.2">
      <c r="D262" s="10"/>
    </row>
    <row r="263" spans="4:4" x14ac:dyDescent="0.2">
      <c r="D263" s="10"/>
    </row>
    <row r="264" spans="4:4" x14ac:dyDescent="0.2">
      <c r="D264" s="10"/>
    </row>
    <row r="265" spans="4:4" x14ac:dyDescent="0.2">
      <c r="D265" s="10"/>
    </row>
    <row r="266" spans="4:4" x14ac:dyDescent="0.2">
      <c r="D266" s="10"/>
    </row>
    <row r="267" spans="4:4" x14ac:dyDescent="0.2">
      <c r="D267" s="10"/>
    </row>
    <row r="268" spans="4:4" x14ac:dyDescent="0.2">
      <c r="D268" s="10"/>
    </row>
    <row r="269" spans="4:4" x14ac:dyDescent="0.2">
      <c r="D269" s="10"/>
    </row>
    <row r="270" spans="4:4" x14ac:dyDescent="0.2">
      <c r="D270" s="10"/>
    </row>
    <row r="271" spans="4:4" x14ac:dyDescent="0.2">
      <c r="D271" s="10"/>
    </row>
    <row r="272" spans="4:4" x14ac:dyDescent="0.2">
      <c r="D272" s="10"/>
    </row>
    <row r="273" spans="4:4" x14ac:dyDescent="0.2">
      <c r="D273" s="10"/>
    </row>
  </sheetData>
  <mergeCells count="13">
    <mergeCell ref="C4:C5"/>
    <mergeCell ref="A4:A5"/>
    <mergeCell ref="B4:B5"/>
    <mergeCell ref="D4:D5"/>
    <mergeCell ref="E4:E5"/>
    <mergeCell ref="H4:H5"/>
    <mergeCell ref="I4:I5"/>
    <mergeCell ref="J4:J5"/>
    <mergeCell ref="F3:K3"/>
    <mergeCell ref="L4:L5"/>
    <mergeCell ref="K4:K5"/>
    <mergeCell ref="F4:F5"/>
    <mergeCell ref="G4:G5"/>
  </mergeCells>
  <conditionalFormatting sqref="E45">
    <cfRule type="expression" dxfId="4" priority="24">
      <formula>"B$17:B$44&gt;B$46"</formula>
    </cfRule>
  </conditionalFormatting>
  <conditionalFormatting sqref="E58:E59">
    <cfRule type="cellIs" dxfId="3" priority="20" operator="greaterThan">
      <formula>1.38</formula>
    </cfRule>
  </conditionalFormatting>
  <conditionalFormatting sqref="E6:L6">
    <cfRule type="expression" dxfId="2" priority="19">
      <formula>"B$17:B$44&gt;B$46"</formula>
    </cfRule>
  </conditionalFormatting>
  <pageMargins left="0.7" right="0.7" top="0.75" bottom="0.75" header="0.3" footer="0.3"/>
  <pageSetup paperSize="9" scale="96" fitToWidth="0" orientation="landscape" r:id="rId1"/>
  <headerFooter>
    <oddFooter>&amp;R_x000D_&amp;1#&amp;"Calibri"&amp;10&amp;K000000 Official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A2ACA-0B44-4E94-8345-1F55F4A24A5B}">
  <sheetPr codeName="Sheet7"/>
  <dimension ref="A1:YF134"/>
  <sheetViews>
    <sheetView topLeftCell="A6" zoomScale="70" zoomScaleNormal="70" workbookViewId="0">
      <selection activeCell="E68" sqref="E68"/>
    </sheetView>
  </sheetViews>
  <sheetFormatPr defaultColWidth="9.140625" defaultRowHeight="12.75" x14ac:dyDescent="0.2"/>
  <cols>
    <col min="2" max="2" width="24.28515625" customWidth="1"/>
    <col min="3" max="3" width="17.85546875" style="10" customWidth="1"/>
    <col min="4" max="4" width="25" style="10" customWidth="1"/>
    <col min="5" max="5" width="16" customWidth="1"/>
    <col min="6" max="6" width="12.7109375" customWidth="1"/>
    <col min="7" max="7" width="13.28515625" customWidth="1"/>
    <col min="8" max="8" width="10" customWidth="1"/>
    <col min="9" max="15" width="14.5703125" customWidth="1"/>
    <col min="16" max="16" width="13.140625" customWidth="1"/>
  </cols>
  <sheetData>
    <row r="1" spans="1:40" ht="18" x14ac:dyDescent="0.2">
      <c r="A1" s="58" t="s">
        <v>231</v>
      </c>
      <c r="E1" s="35"/>
      <c r="J1" s="36"/>
    </row>
    <row r="2" spans="1:40" s="15" customFormat="1" ht="18" x14ac:dyDescent="0.2">
      <c r="A2" s="58" t="s">
        <v>230</v>
      </c>
      <c r="B2" s="37"/>
      <c r="C2" s="16"/>
      <c r="D2" s="16"/>
      <c r="E2" s="167"/>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row>
    <row r="3" spans="1:40" ht="13.5" thickBot="1" x14ac:dyDescent="0.25"/>
    <row r="4" spans="1:40" x14ac:dyDescent="0.2">
      <c r="A4" s="357" t="s">
        <v>127</v>
      </c>
      <c r="B4" s="357" t="s">
        <v>157</v>
      </c>
      <c r="C4" s="357" t="s">
        <v>149</v>
      </c>
      <c r="D4" s="357" t="s">
        <v>101</v>
      </c>
      <c r="E4" s="370" t="s">
        <v>245</v>
      </c>
      <c r="F4" s="370"/>
      <c r="G4" s="370"/>
      <c r="H4" s="370"/>
      <c r="I4" s="370"/>
      <c r="J4" s="371"/>
      <c r="K4" s="370" t="s">
        <v>246</v>
      </c>
      <c r="L4" s="370"/>
      <c r="M4" s="370"/>
      <c r="N4" s="370"/>
      <c r="O4" s="370"/>
      <c r="P4" s="371"/>
    </row>
    <row r="5" spans="1:40" x14ac:dyDescent="0.2">
      <c r="A5" s="374"/>
      <c r="B5" s="374" t="s">
        <v>157</v>
      </c>
      <c r="C5" s="374"/>
      <c r="D5" s="374"/>
      <c r="E5" s="372"/>
      <c r="F5" s="372"/>
      <c r="G5" s="372"/>
      <c r="H5" s="372"/>
      <c r="I5" s="372"/>
      <c r="J5" s="373"/>
      <c r="K5" s="372"/>
      <c r="L5" s="372"/>
      <c r="M5" s="372"/>
      <c r="N5" s="372"/>
      <c r="O5" s="372"/>
      <c r="P5" s="373"/>
    </row>
    <row r="6" spans="1:40" ht="45" x14ac:dyDescent="0.2">
      <c r="A6" s="374"/>
      <c r="B6" s="374"/>
      <c r="C6" s="358"/>
      <c r="D6" s="374"/>
      <c r="E6" s="228" t="s">
        <v>11</v>
      </c>
      <c r="F6" s="196" t="s">
        <v>25</v>
      </c>
      <c r="G6" s="197" t="s">
        <v>58</v>
      </c>
      <c r="H6" s="197" t="s">
        <v>20</v>
      </c>
      <c r="I6" s="197" t="s">
        <v>19</v>
      </c>
      <c r="J6" s="198" t="s">
        <v>21</v>
      </c>
      <c r="K6" s="265" t="s">
        <v>11</v>
      </c>
      <c r="L6" s="191" t="s">
        <v>25</v>
      </c>
      <c r="M6" s="192" t="s">
        <v>58</v>
      </c>
      <c r="N6" s="192" t="s">
        <v>20</v>
      </c>
      <c r="O6" s="192" t="s">
        <v>19</v>
      </c>
      <c r="P6" s="222" t="s">
        <v>21</v>
      </c>
    </row>
    <row r="7" spans="1:40" x14ac:dyDescent="0.2">
      <c r="A7" s="205"/>
      <c r="B7" s="227" t="s">
        <v>128</v>
      </c>
      <c r="D7" s="206"/>
      <c r="E7" s="207" t="s">
        <v>166</v>
      </c>
      <c r="F7" s="208"/>
      <c r="G7" s="209"/>
      <c r="H7" s="209"/>
      <c r="I7" s="209"/>
      <c r="J7" s="210"/>
      <c r="K7" s="266">
        <v>2018</v>
      </c>
      <c r="L7" s="274"/>
      <c r="M7" s="274"/>
      <c r="N7" s="274"/>
      <c r="O7" s="274"/>
      <c r="P7" s="270"/>
    </row>
    <row r="8" spans="1:40" hidden="1" x14ac:dyDescent="0.2">
      <c r="A8" s="195"/>
      <c r="B8" s="195"/>
      <c r="C8" s="77" t="s">
        <v>133</v>
      </c>
      <c r="E8" s="199" t="s">
        <v>96</v>
      </c>
      <c r="F8" s="200"/>
      <c r="G8" s="200"/>
      <c r="H8" s="200"/>
      <c r="I8" s="200"/>
      <c r="J8" s="211"/>
      <c r="K8" s="267"/>
      <c r="L8" s="200"/>
      <c r="M8" s="200"/>
      <c r="N8" s="200"/>
      <c r="O8" s="200"/>
      <c r="P8" s="270"/>
    </row>
    <row r="9" spans="1:40" x14ac:dyDescent="0.2">
      <c r="A9" s="212" t="s">
        <v>62</v>
      </c>
      <c r="B9" s="46" t="s">
        <v>61</v>
      </c>
      <c r="C9" s="77" t="s">
        <v>133</v>
      </c>
      <c r="D9" s="144">
        <v>45292</v>
      </c>
      <c r="E9" s="201">
        <v>5.3333334922790527</v>
      </c>
      <c r="F9" s="202">
        <v>0</v>
      </c>
      <c r="G9" s="202">
        <v>6</v>
      </c>
      <c r="H9" s="202">
        <v>6</v>
      </c>
      <c r="I9" s="202">
        <v>6</v>
      </c>
      <c r="J9" s="213">
        <v>6</v>
      </c>
      <c r="K9" s="268">
        <v>5.3333334922790527</v>
      </c>
      <c r="L9" s="202">
        <v>0</v>
      </c>
      <c r="M9" s="202">
        <v>6</v>
      </c>
      <c r="N9" s="202">
        <v>6</v>
      </c>
      <c r="O9" s="202">
        <v>6</v>
      </c>
      <c r="P9" s="202">
        <v>6</v>
      </c>
    </row>
    <row r="10" spans="1:40" x14ac:dyDescent="0.2">
      <c r="A10" s="212" t="s">
        <v>76</v>
      </c>
      <c r="B10" s="46" t="s">
        <v>37</v>
      </c>
      <c r="C10" s="77" t="s">
        <v>133</v>
      </c>
      <c r="D10" s="144">
        <v>45292</v>
      </c>
      <c r="E10" s="201">
        <v>1.1111111640930176</v>
      </c>
      <c r="F10" s="202">
        <v>4</v>
      </c>
      <c r="G10" s="202">
        <v>0</v>
      </c>
      <c r="H10" s="202">
        <v>0</v>
      </c>
      <c r="I10" s="202">
        <v>0</v>
      </c>
      <c r="J10" s="213">
        <v>2</v>
      </c>
      <c r="K10" s="268">
        <v>4.3333334922790527</v>
      </c>
      <c r="L10" s="202">
        <v>4</v>
      </c>
      <c r="M10" s="202">
        <v>0</v>
      </c>
      <c r="N10" s="202">
        <v>4</v>
      </c>
      <c r="O10" s="202">
        <v>6</v>
      </c>
      <c r="P10" s="202">
        <v>5</v>
      </c>
    </row>
    <row r="11" spans="1:40" x14ac:dyDescent="0.2">
      <c r="A11" s="212" t="s">
        <v>114</v>
      </c>
      <c r="B11" s="46" t="s">
        <v>113</v>
      </c>
      <c r="C11" s="77" t="s">
        <v>133</v>
      </c>
      <c r="D11" s="144">
        <v>45292</v>
      </c>
      <c r="E11" s="201">
        <v>1.1111111640930176</v>
      </c>
      <c r="F11" s="202">
        <v>4</v>
      </c>
      <c r="G11" s="202">
        <v>0</v>
      </c>
      <c r="H11" s="202">
        <v>0</v>
      </c>
      <c r="I11" s="202">
        <v>0</v>
      </c>
      <c r="J11" s="213">
        <v>2</v>
      </c>
      <c r="K11" s="268">
        <v>5</v>
      </c>
      <c r="L11" s="202">
        <v>4</v>
      </c>
      <c r="M11" s="202">
        <v>6</v>
      </c>
      <c r="N11" s="202">
        <v>4</v>
      </c>
      <c r="O11" s="202">
        <v>6</v>
      </c>
      <c r="P11" s="202">
        <v>5</v>
      </c>
    </row>
    <row r="12" spans="1:40" x14ac:dyDescent="0.2">
      <c r="A12" s="212" t="s">
        <v>63</v>
      </c>
      <c r="B12" s="46" t="s">
        <v>31</v>
      </c>
      <c r="C12" s="77" t="s">
        <v>133</v>
      </c>
      <c r="D12" s="144">
        <v>45292</v>
      </c>
      <c r="E12" s="201">
        <v>4.7777776718139648</v>
      </c>
      <c r="F12" s="202">
        <v>2</v>
      </c>
      <c r="G12" s="202">
        <v>0</v>
      </c>
      <c r="H12" s="202">
        <v>6</v>
      </c>
      <c r="I12" s="202">
        <v>6</v>
      </c>
      <c r="J12" s="213">
        <v>5.6666665077209473</v>
      </c>
      <c r="K12" s="268">
        <v>5.7777776718139648</v>
      </c>
      <c r="L12" s="202">
        <v>4</v>
      </c>
      <c r="M12" s="202">
        <v>6</v>
      </c>
      <c r="N12" s="202">
        <v>6</v>
      </c>
      <c r="O12" s="202">
        <v>6</v>
      </c>
      <c r="P12" s="202">
        <v>6</v>
      </c>
    </row>
    <row r="13" spans="1:40" x14ac:dyDescent="0.2">
      <c r="A13" s="212" t="s">
        <v>77</v>
      </c>
      <c r="B13" s="46" t="s">
        <v>47</v>
      </c>
      <c r="C13" s="77" t="s">
        <v>133</v>
      </c>
      <c r="D13" s="144">
        <v>45292</v>
      </c>
      <c r="E13" s="201">
        <v>5.1111111640930176</v>
      </c>
      <c r="F13" s="202">
        <v>4</v>
      </c>
      <c r="G13" s="202">
        <v>0</v>
      </c>
      <c r="H13" s="202">
        <v>6</v>
      </c>
      <c r="I13" s="202">
        <v>6</v>
      </c>
      <c r="J13" s="213">
        <v>6</v>
      </c>
      <c r="K13" s="268">
        <v>6</v>
      </c>
      <c r="L13" s="202">
        <v>6</v>
      </c>
      <c r="M13" s="202">
        <v>6</v>
      </c>
      <c r="N13" s="202">
        <v>6</v>
      </c>
      <c r="O13" s="202">
        <v>6</v>
      </c>
      <c r="P13" s="202">
        <v>6</v>
      </c>
    </row>
    <row r="14" spans="1:40" x14ac:dyDescent="0.2">
      <c r="A14" s="212" t="s">
        <v>98</v>
      </c>
      <c r="B14" s="46" t="s">
        <v>97</v>
      </c>
      <c r="C14" s="77" t="s">
        <v>134</v>
      </c>
      <c r="D14" s="144">
        <v>45292</v>
      </c>
      <c r="E14" s="201">
        <v>5.8333334922790527</v>
      </c>
      <c r="F14" s="202">
        <v>6</v>
      </c>
      <c r="G14" s="202">
        <v>6</v>
      </c>
      <c r="H14" s="202">
        <v>6</v>
      </c>
      <c r="I14" s="202">
        <v>6</v>
      </c>
      <c r="J14" s="213">
        <v>5.5</v>
      </c>
      <c r="K14" s="268">
        <v>5.8333334922790527</v>
      </c>
      <c r="L14" s="202">
        <v>6</v>
      </c>
      <c r="M14" s="202">
        <v>6</v>
      </c>
      <c r="N14" s="202">
        <v>6</v>
      </c>
      <c r="O14" s="202">
        <v>6</v>
      </c>
      <c r="P14" s="202">
        <v>5.5</v>
      </c>
    </row>
    <row r="15" spans="1:40" x14ac:dyDescent="0.2">
      <c r="A15" s="212" t="s">
        <v>78</v>
      </c>
      <c r="B15" s="46" t="s">
        <v>28</v>
      </c>
      <c r="C15" s="77" t="s">
        <v>134</v>
      </c>
      <c r="D15" s="144">
        <v>45292</v>
      </c>
      <c r="E15" s="201">
        <v>6</v>
      </c>
      <c r="F15" s="202">
        <v>6</v>
      </c>
      <c r="G15" s="202">
        <v>6</v>
      </c>
      <c r="H15" s="202">
        <v>6</v>
      </c>
      <c r="I15" s="202">
        <v>6</v>
      </c>
      <c r="J15" s="213">
        <v>6</v>
      </c>
      <c r="K15" s="268">
        <v>6</v>
      </c>
      <c r="L15" s="202">
        <v>6</v>
      </c>
      <c r="M15" s="202">
        <v>6</v>
      </c>
      <c r="N15" s="202">
        <v>6</v>
      </c>
      <c r="O15" s="202">
        <v>6</v>
      </c>
      <c r="P15" s="202">
        <v>6</v>
      </c>
    </row>
    <row r="16" spans="1:40" x14ac:dyDescent="0.2">
      <c r="A16" s="212" t="s">
        <v>64</v>
      </c>
      <c r="B16" s="46" t="s">
        <v>60</v>
      </c>
      <c r="C16" s="77" t="s">
        <v>133</v>
      </c>
      <c r="D16" s="144">
        <v>45292</v>
      </c>
      <c r="E16" s="201">
        <v>1.1111111640930176</v>
      </c>
      <c r="F16" s="202">
        <v>4</v>
      </c>
      <c r="G16" s="202">
        <v>0</v>
      </c>
      <c r="H16" s="202">
        <v>0</v>
      </c>
      <c r="I16" s="202">
        <v>0</v>
      </c>
      <c r="J16" s="213">
        <v>2</v>
      </c>
      <c r="K16" s="268">
        <v>5</v>
      </c>
      <c r="L16" s="202">
        <v>4</v>
      </c>
      <c r="M16" s="202">
        <v>6</v>
      </c>
      <c r="N16" s="202">
        <v>4</v>
      </c>
      <c r="O16" s="202">
        <v>6</v>
      </c>
      <c r="P16" s="202">
        <v>5</v>
      </c>
    </row>
    <row r="17" spans="1:16" x14ac:dyDescent="0.2">
      <c r="A17" s="212" t="s">
        <v>79</v>
      </c>
      <c r="B17" s="46" t="s">
        <v>54</v>
      </c>
      <c r="C17" s="77" t="s">
        <v>133</v>
      </c>
      <c r="D17" s="144">
        <v>45292</v>
      </c>
      <c r="E17" s="201">
        <v>0.66666668653488159</v>
      </c>
      <c r="F17" s="202">
        <v>0</v>
      </c>
      <c r="G17" s="202">
        <v>0</v>
      </c>
      <c r="H17" s="202">
        <v>0</v>
      </c>
      <c r="I17" s="202">
        <v>0</v>
      </c>
      <c r="J17" s="213">
        <v>2</v>
      </c>
      <c r="K17" s="268">
        <v>5</v>
      </c>
      <c r="L17" s="202">
        <v>4</v>
      </c>
      <c r="M17" s="202">
        <v>6</v>
      </c>
      <c r="N17" s="202">
        <v>4</v>
      </c>
      <c r="O17" s="202">
        <v>6</v>
      </c>
      <c r="P17" s="202">
        <v>5</v>
      </c>
    </row>
    <row r="18" spans="1:16" x14ac:dyDescent="0.2">
      <c r="A18" s="212" t="s">
        <v>65</v>
      </c>
      <c r="B18" s="46" t="s">
        <v>34</v>
      </c>
      <c r="C18" s="77" t="s">
        <v>133</v>
      </c>
      <c r="D18" s="144">
        <v>45292</v>
      </c>
      <c r="E18" s="201">
        <v>1.1111111640930176</v>
      </c>
      <c r="F18" s="202">
        <v>4</v>
      </c>
      <c r="G18" s="202">
        <v>0</v>
      </c>
      <c r="H18" s="202">
        <v>0</v>
      </c>
      <c r="I18" s="202">
        <v>0</v>
      </c>
      <c r="J18" s="213">
        <v>2</v>
      </c>
      <c r="K18" s="268">
        <v>5</v>
      </c>
      <c r="L18" s="202">
        <v>4</v>
      </c>
      <c r="M18" s="202">
        <v>6</v>
      </c>
      <c r="N18" s="202">
        <v>4</v>
      </c>
      <c r="O18" s="202">
        <v>6</v>
      </c>
      <c r="P18" s="202">
        <v>5</v>
      </c>
    </row>
    <row r="19" spans="1:16" x14ac:dyDescent="0.2">
      <c r="A19" s="212" t="s">
        <v>66</v>
      </c>
      <c r="B19" s="46" t="s">
        <v>38</v>
      </c>
      <c r="C19" s="77" t="s">
        <v>133</v>
      </c>
      <c r="D19" s="144">
        <v>45292</v>
      </c>
      <c r="E19" s="201">
        <v>0.8888888955116272</v>
      </c>
      <c r="F19" s="202">
        <v>2</v>
      </c>
      <c r="G19" s="202">
        <v>0</v>
      </c>
      <c r="H19" s="202">
        <v>0</v>
      </c>
      <c r="I19" s="202">
        <v>0</v>
      </c>
      <c r="J19" s="213">
        <v>2</v>
      </c>
      <c r="K19" s="268">
        <v>5</v>
      </c>
      <c r="L19" s="202">
        <v>4</v>
      </c>
      <c r="M19" s="202">
        <v>6</v>
      </c>
      <c r="N19" s="202">
        <v>4</v>
      </c>
      <c r="O19" s="202">
        <v>6</v>
      </c>
      <c r="P19" s="202">
        <v>5</v>
      </c>
    </row>
    <row r="20" spans="1:16" x14ac:dyDescent="0.2">
      <c r="A20" s="212" t="s">
        <v>67</v>
      </c>
      <c r="B20" s="46" t="s">
        <v>48</v>
      </c>
      <c r="C20" s="77" t="s">
        <v>133</v>
      </c>
      <c r="D20" s="144">
        <v>45292</v>
      </c>
      <c r="E20" s="201">
        <v>0.66666668653488159</v>
      </c>
      <c r="F20" s="202">
        <v>0</v>
      </c>
      <c r="G20" s="202">
        <v>0</v>
      </c>
      <c r="H20" s="202">
        <v>0</v>
      </c>
      <c r="I20" s="202">
        <v>0</v>
      </c>
      <c r="J20" s="213">
        <v>2</v>
      </c>
      <c r="K20" s="268">
        <v>4.3333334922790527</v>
      </c>
      <c r="L20" s="202">
        <v>4</v>
      </c>
      <c r="M20" s="202">
        <v>0</v>
      </c>
      <c r="N20" s="202">
        <v>4</v>
      </c>
      <c r="O20" s="202">
        <v>6</v>
      </c>
      <c r="P20" s="202">
        <v>5</v>
      </c>
    </row>
    <row r="21" spans="1:16" x14ac:dyDescent="0.2">
      <c r="A21" s="212" t="s">
        <v>80</v>
      </c>
      <c r="B21" s="46" t="s">
        <v>51</v>
      </c>
      <c r="C21" s="77" t="s">
        <v>133</v>
      </c>
      <c r="D21" s="144">
        <v>45292</v>
      </c>
      <c r="E21" s="201">
        <v>0.66666668653488159</v>
      </c>
      <c r="F21" s="202">
        <v>0</v>
      </c>
      <c r="G21" s="202">
        <v>0</v>
      </c>
      <c r="H21" s="202">
        <v>0</v>
      </c>
      <c r="I21" s="202">
        <v>0</v>
      </c>
      <c r="J21" s="213">
        <v>2</v>
      </c>
      <c r="K21" s="268">
        <v>4.3333334922790527</v>
      </c>
      <c r="L21" s="202">
        <v>4</v>
      </c>
      <c r="M21" s="202">
        <v>0</v>
      </c>
      <c r="N21" s="202">
        <v>4</v>
      </c>
      <c r="O21" s="202">
        <v>6</v>
      </c>
      <c r="P21" s="202">
        <v>5</v>
      </c>
    </row>
    <row r="22" spans="1:16" x14ac:dyDescent="0.2">
      <c r="A22" s="212" t="s">
        <v>92</v>
      </c>
      <c r="B22" s="46" t="s">
        <v>46</v>
      </c>
      <c r="C22" s="77" t="s">
        <v>133</v>
      </c>
      <c r="D22" s="144">
        <v>45292</v>
      </c>
      <c r="E22" s="201">
        <v>0.66666668653488159</v>
      </c>
      <c r="F22" s="202">
        <v>0</v>
      </c>
      <c r="G22" s="202">
        <v>0</v>
      </c>
      <c r="H22" s="202">
        <v>0</v>
      </c>
      <c r="I22" s="202">
        <v>0</v>
      </c>
      <c r="J22" s="213">
        <v>2</v>
      </c>
      <c r="K22" s="268">
        <v>5</v>
      </c>
      <c r="L22" s="202">
        <v>4</v>
      </c>
      <c r="M22" s="202">
        <v>6</v>
      </c>
      <c r="N22" s="202">
        <v>4</v>
      </c>
      <c r="O22" s="202">
        <v>6</v>
      </c>
      <c r="P22" s="202">
        <v>5</v>
      </c>
    </row>
    <row r="23" spans="1:16" x14ac:dyDescent="0.2">
      <c r="A23" s="212" t="s">
        <v>122</v>
      </c>
      <c r="B23" s="46" t="s">
        <v>121</v>
      </c>
      <c r="C23" s="77" t="s">
        <v>133</v>
      </c>
      <c r="D23" s="144">
        <v>45292</v>
      </c>
      <c r="E23" s="201">
        <v>0.8888888955116272</v>
      </c>
      <c r="F23" s="202">
        <v>2</v>
      </c>
      <c r="G23" s="202">
        <v>0</v>
      </c>
      <c r="H23" s="202">
        <v>0</v>
      </c>
      <c r="I23" s="202">
        <v>0</v>
      </c>
      <c r="J23" s="213">
        <v>2</v>
      </c>
      <c r="K23" s="268">
        <v>5</v>
      </c>
      <c r="L23" s="202">
        <v>4</v>
      </c>
      <c r="M23" s="202">
        <v>6</v>
      </c>
      <c r="N23" s="202">
        <v>4</v>
      </c>
      <c r="O23" s="202">
        <v>6</v>
      </c>
      <c r="P23" s="202">
        <v>5</v>
      </c>
    </row>
    <row r="24" spans="1:16" x14ac:dyDescent="0.2">
      <c r="A24" s="212" t="s">
        <v>82</v>
      </c>
      <c r="B24" s="46" t="s">
        <v>45</v>
      </c>
      <c r="C24" s="77" t="s">
        <v>133</v>
      </c>
      <c r="D24" s="144">
        <v>45292</v>
      </c>
      <c r="E24" s="201">
        <v>5.2222223281860352</v>
      </c>
      <c r="F24" s="202">
        <v>2</v>
      </c>
      <c r="G24" s="202">
        <v>6</v>
      </c>
      <c r="H24" s="202">
        <v>6</v>
      </c>
      <c r="I24" s="202">
        <v>6</v>
      </c>
      <c r="J24" s="213">
        <v>5</v>
      </c>
      <c r="K24" s="268">
        <v>5.6666665077209473</v>
      </c>
      <c r="L24" s="202">
        <v>6</v>
      </c>
      <c r="M24" s="202">
        <v>6</v>
      </c>
      <c r="N24" s="202">
        <v>6</v>
      </c>
      <c r="O24" s="202">
        <v>6</v>
      </c>
      <c r="P24" s="202">
        <v>5</v>
      </c>
    </row>
    <row r="25" spans="1:16" x14ac:dyDescent="0.2">
      <c r="A25" s="212" t="s">
        <v>95</v>
      </c>
      <c r="B25" s="46" t="s">
        <v>42</v>
      </c>
      <c r="C25" s="77" t="s">
        <v>133</v>
      </c>
      <c r="D25" s="144">
        <v>45292</v>
      </c>
      <c r="E25" s="201">
        <v>1.1111111640930176</v>
      </c>
      <c r="F25" s="202">
        <v>4</v>
      </c>
      <c r="G25" s="202">
        <v>0</v>
      </c>
      <c r="H25" s="202">
        <v>0</v>
      </c>
      <c r="I25" s="202">
        <v>0</v>
      </c>
      <c r="J25" s="213">
        <v>2</v>
      </c>
      <c r="K25" s="268">
        <v>5</v>
      </c>
      <c r="L25" s="202">
        <v>4</v>
      </c>
      <c r="M25" s="202">
        <v>6</v>
      </c>
      <c r="N25" s="202">
        <v>4</v>
      </c>
      <c r="O25" s="202">
        <v>6</v>
      </c>
      <c r="P25" s="202">
        <v>5</v>
      </c>
    </row>
    <row r="26" spans="1:16" ht="14.25" x14ac:dyDescent="0.2">
      <c r="A26" s="212" t="s">
        <v>68</v>
      </c>
      <c r="B26" s="46" t="s">
        <v>57</v>
      </c>
      <c r="C26" s="77" t="s">
        <v>133</v>
      </c>
      <c r="D26" s="144">
        <v>45292</v>
      </c>
      <c r="E26" s="201">
        <v>5.7777776718139648</v>
      </c>
      <c r="F26" s="202">
        <v>4</v>
      </c>
      <c r="G26" s="202">
        <v>6</v>
      </c>
      <c r="H26" s="202">
        <v>6</v>
      </c>
      <c r="I26" s="202">
        <v>6</v>
      </c>
      <c r="J26" s="213">
        <v>6</v>
      </c>
      <c r="K26" s="268">
        <v>6</v>
      </c>
      <c r="L26" s="202">
        <v>6</v>
      </c>
      <c r="M26" s="202">
        <v>6</v>
      </c>
      <c r="N26" s="202">
        <v>6</v>
      </c>
      <c r="O26" s="202">
        <v>6</v>
      </c>
      <c r="P26" s="202">
        <v>6</v>
      </c>
    </row>
    <row r="27" spans="1:16" x14ac:dyDescent="0.2">
      <c r="A27" s="212" t="s">
        <v>69</v>
      </c>
      <c r="B27" s="46" t="s">
        <v>30</v>
      </c>
      <c r="C27" s="77" t="s">
        <v>133</v>
      </c>
      <c r="D27" s="144">
        <v>45292</v>
      </c>
      <c r="E27" s="201">
        <v>0.8888888955116272</v>
      </c>
      <c r="F27" s="202">
        <v>2</v>
      </c>
      <c r="G27" s="202">
        <v>0</v>
      </c>
      <c r="H27" s="202">
        <v>0</v>
      </c>
      <c r="I27" s="202">
        <v>0</v>
      </c>
      <c r="J27" s="213">
        <v>2</v>
      </c>
      <c r="K27" s="268">
        <v>4.7777776718139648</v>
      </c>
      <c r="L27" s="202">
        <v>2</v>
      </c>
      <c r="M27" s="202">
        <v>6</v>
      </c>
      <c r="N27" s="202">
        <v>4</v>
      </c>
      <c r="O27" s="202">
        <v>6</v>
      </c>
      <c r="P27" s="202">
        <v>5</v>
      </c>
    </row>
    <row r="28" spans="1:16" x14ac:dyDescent="0.2">
      <c r="A28" s="212" t="s">
        <v>83</v>
      </c>
      <c r="B28" s="46" t="s">
        <v>29</v>
      </c>
      <c r="C28" s="77" t="s">
        <v>133</v>
      </c>
      <c r="D28" s="144">
        <v>45292</v>
      </c>
      <c r="E28" s="201">
        <v>4</v>
      </c>
      <c r="F28" s="202">
        <v>0</v>
      </c>
      <c r="G28" s="202">
        <v>0</v>
      </c>
      <c r="H28" s="202">
        <v>3</v>
      </c>
      <c r="I28" s="202">
        <v>6</v>
      </c>
      <c r="J28" s="213">
        <v>6</v>
      </c>
      <c r="K28" s="268">
        <v>6</v>
      </c>
      <c r="L28" s="202">
        <v>6</v>
      </c>
      <c r="M28" s="202">
        <v>6</v>
      </c>
      <c r="N28" s="202">
        <v>6</v>
      </c>
      <c r="O28" s="202">
        <v>6</v>
      </c>
      <c r="P28" s="202">
        <v>6</v>
      </c>
    </row>
    <row r="29" spans="1:16" x14ac:dyDescent="0.2">
      <c r="A29" s="212" t="s">
        <v>70</v>
      </c>
      <c r="B29" s="46" t="s">
        <v>33</v>
      </c>
      <c r="C29" s="77" t="s">
        <v>133</v>
      </c>
      <c r="D29" s="144">
        <v>45292</v>
      </c>
      <c r="E29" s="201">
        <v>4.6666665077209473</v>
      </c>
      <c r="F29" s="202">
        <v>2</v>
      </c>
      <c r="G29" s="202">
        <v>6</v>
      </c>
      <c r="H29" s="202">
        <v>2</v>
      </c>
      <c r="I29" s="202">
        <v>6</v>
      </c>
      <c r="J29" s="213">
        <v>6</v>
      </c>
      <c r="K29" s="268">
        <v>6</v>
      </c>
      <c r="L29" s="202">
        <v>6</v>
      </c>
      <c r="M29" s="202">
        <v>6</v>
      </c>
      <c r="N29" s="202">
        <v>6</v>
      </c>
      <c r="O29" s="202">
        <v>6</v>
      </c>
      <c r="P29" s="202">
        <v>6</v>
      </c>
    </row>
    <row r="30" spans="1:16" x14ac:dyDescent="0.2">
      <c r="A30" s="212" t="s">
        <v>84</v>
      </c>
      <c r="B30" s="46" t="s">
        <v>43</v>
      </c>
      <c r="C30" s="77" t="s">
        <v>133</v>
      </c>
      <c r="D30" s="144">
        <v>45292</v>
      </c>
      <c r="E30" s="201">
        <v>0.66666668653488159</v>
      </c>
      <c r="F30" s="202">
        <v>0</v>
      </c>
      <c r="G30" s="202">
        <v>0</v>
      </c>
      <c r="H30" s="202">
        <v>0</v>
      </c>
      <c r="I30" s="202">
        <v>0</v>
      </c>
      <c r="J30" s="213">
        <v>2</v>
      </c>
      <c r="K30" s="268">
        <v>5</v>
      </c>
      <c r="L30" s="202">
        <v>4</v>
      </c>
      <c r="M30" s="202">
        <v>6</v>
      </c>
      <c r="N30" s="202">
        <v>4</v>
      </c>
      <c r="O30" s="202">
        <v>6</v>
      </c>
      <c r="P30" s="202">
        <v>5</v>
      </c>
    </row>
    <row r="31" spans="1:16" x14ac:dyDescent="0.2">
      <c r="A31" s="212" t="s">
        <v>85</v>
      </c>
      <c r="B31" s="46" t="s">
        <v>36</v>
      </c>
      <c r="C31" s="77" t="s">
        <v>133</v>
      </c>
      <c r="D31" s="144">
        <v>45292</v>
      </c>
      <c r="E31" s="201">
        <v>0.8888888955116272</v>
      </c>
      <c r="F31" s="202">
        <v>2</v>
      </c>
      <c r="G31" s="202">
        <v>0</v>
      </c>
      <c r="H31" s="202">
        <v>0</v>
      </c>
      <c r="I31" s="202">
        <v>0</v>
      </c>
      <c r="J31" s="213">
        <v>2</v>
      </c>
      <c r="K31" s="268">
        <v>5</v>
      </c>
      <c r="L31" s="202">
        <v>4</v>
      </c>
      <c r="M31" s="202">
        <v>6</v>
      </c>
      <c r="N31" s="202">
        <v>4</v>
      </c>
      <c r="O31" s="202">
        <v>6</v>
      </c>
      <c r="P31" s="202">
        <v>5</v>
      </c>
    </row>
    <row r="32" spans="1:16" x14ac:dyDescent="0.2">
      <c r="A32" s="212" t="s">
        <v>71</v>
      </c>
      <c r="B32" s="46" t="s">
        <v>24</v>
      </c>
      <c r="C32" s="77" t="s">
        <v>133</v>
      </c>
      <c r="D32" s="144">
        <v>45292</v>
      </c>
      <c r="E32" s="201">
        <v>1.1111111640930176</v>
      </c>
      <c r="F32" s="202">
        <v>4</v>
      </c>
      <c r="G32" s="202">
        <v>0</v>
      </c>
      <c r="H32" s="202">
        <v>0</v>
      </c>
      <c r="I32" s="202">
        <v>0</v>
      </c>
      <c r="J32" s="213">
        <v>2</v>
      </c>
      <c r="K32" s="268">
        <v>5</v>
      </c>
      <c r="L32" s="202">
        <v>4</v>
      </c>
      <c r="M32" s="202">
        <v>6</v>
      </c>
      <c r="N32" s="202">
        <v>4</v>
      </c>
      <c r="O32" s="202">
        <v>6</v>
      </c>
      <c r="P32" s="202">
        <v>5</v>
      </c>
    </row>
    <row r="33" spans="1:16" x14ac:dyDescent="0.2">
      <c r="A33" s="212" t="s">
        <v>110</v>
      </c>
      <c r="B33" s="46" t="s">
        <v>109</v>
      </c>
      <c r="C33" s="77" t="s">
        <v>133</v>
      </c>
      <c r="D33" s="144">
        <v>45292</v>
      </c>
      <c r="E33" s="201">
        <v>5.5555553436279297</v>
      </c>
      <c r="F33" s="202">
        <v>2</v>
      </c>
      <c r="G33" s="202">
        <v>6</v>
      </c>
      <c r="H33" s="202">
        <v>6</v>
      </c>
      <c r="I33" s="202">
        <v>6</v>
      </c>
      <c r="J33" s="213">
        <v>6</v>
      </c>
      <c r="K33" s="268">
        <v>6</v>
      </c>
      <c r="L33" s="202">
        <v>6</v>
      </c>
      <c r="M33" s="202">
        <v>6</v>
      </c>
      <c r="N33" s="202">
        <v>6</v>
      </c>
      <c r="O33" s="202">
        <v>6</v>
      </c>
      <c r="P33" s="202">
        <v>6</v>
      </c>
    </row>
    <row r="34" spans="1:16" x14ac:dyDescent="0.2">
      <c r="A34" s="212" t="s">
        <v>123</v>
      </c>
      <c r="B34" s="46" t="s">
        <v>124</v>
      </c>
      <c r="C34" s="77" t="s">
        <v>133</v>
      </c>
      <c r="D34" s="144">
        <v>45292</v>
      </c>
      <c r="E34" s="201">
        <v>0.66666668653488159</v>
      </c>
      <c r="F34" s="202">
        <v>0</v>
      </c>
      <c r="G34" s="202">
        <v>0</v>
      </c>
      <c r="H34" s="202">
        <v>0</v>
      </c>
      <c r="I34" s="202">
        <v>0</v>
      </c>
      <c r="J34" s="213">
        <v>2</v>
      </c>
      <c r="K34" s="268">
        <v>4.7777776718139648</v>
      </c>
      <c r="L34" s="202">
        <v>2</v>
      </c>
      <c r="M34" s="202">
        <v>6</v>
      </c>
      <c r="N34" s="202">
        <v>4</v>
      </c>
      <c r="O34" s="202">
        <v>6</v>
      </c>
      <c r="P34" s="202">
        <v>5</v>
      </c>
    </row>
    <row r="35" spans="1:16" x14ac:dyDescent="0.2">
      <c r="A35" s="212" t="s">
        <v>86</v>
      </c>
      <c r="B35" s="46" t="s">
        <v>35</v>
      </c>
      <c r="C35" s="77" t="s">
        <v>133</v>
      </c>
      <c r="D35" s="144">
        <v>45292</v>
      </c>
      <c r="E35" s="201">
        <v>6</v>
      </c>
      <c r="F35" s="202">
        <v>6</v>
      </c>
      <c r="G35" s="202">
        <v>6</v>
      </c>
      <c r="H35" s="202">
        <v>6</v>
      </c>
      <c r="I35" s="202">
        <v>6</v>
      </c>
      <c r="J35" s="213">
        <v>6</v>
      </c>
      <c r="K35" s="268">
        <v>6</v>
      </c>
      <c r="L35" s="202">
        <v>6</v>
      </c>
      <c r="M35" s="202">
        <v>6</v>
      </c>
      <c r="N35" s="202">
        <v>6</v>
      </c>
      <c r="O35" s="202">
        <v>6</v>
      </c>
      <c r="P35" s="202">
        <v>6</v>
      </c>
    </row>
    <row r="36" spans="1:16" x14ac:dyDescent="0.2">
      <c r="A36" s="212" t="s">
        <v>72</v>
      </c>
      <c r="B36" s="46" t="s">
        <v>40</v>
      </c>
      <c r="C36" s="77" t="s">
        <v>133</v>
      </c>
      <c r="D36" s="144">
        <v>45292</v>
      </c>
      <c r="E36" s="201">
        <v>4.5555553436279297</v>
      </c>
      <c r="F36" s="202">
        <v>2</v>
      </c>
      <c r="G36" s="202">
        <v>0</v>
      </c>
      <c r="H36" s="202">
        <v>6</v>
      </c>
      <c r="I36" s="202">
        <v>6</v>
      </c>
      <c r="J36" s="213">
        <v>5</v>
      </c>
      <c r="K36" s="268">
        <v>5.6666665077209473</v>
      </c>
      <c r="L36" s="202">
        <v>6</v>
      </c>
      <c r="M36" s="202">
        <v>6</v>
      </c>
      <c r="N36" s="202">
        <v>6</v>
      </c>
      <c r="O36" s="202">
        <v>6</v>
      </c>
      <c r="P36" s="202">
        <v>5</v>
      </c>
    </row>
    <row r="37" spans="1:16" x14ac:dyDescent="0.2">
      <c r="A37" s="212" t="s">
        <v>73</v>
      </c>
      <c r="B37" s="46" t="s">
        <v>44</v>
      </c>
      <c r="C37" s="77" t="s">
        <v>133</v>
      </c>
      <c r="D37" s="144">
        <v>45292</v>
      </c>
      <c r="E37" s="201">
        <v>1.1111111640930176</v>
      </c>
      <c r="F37" s="202">
        <v>4</v>
      </c>
      <c r="G37" s="202">
        <v>0</v>
      </c>
      <c r="H37" s="202">
        <v>0</v>
      </c>
      <c r="I37" s="202">
        <v>0</v>
      </c>
      <c r="J37" s="213">
        <v>2</v>
      </c>
      <c r="K37" s="268">
        <v>5</v>
      </c>
      <c r="L37" s="202">
        <v>4</v>
      </c>
      <c r="M37" s="202">
        <v>6</v>
      </c>
      <c r="N37" s="202">
        <v>4</v>
      </c>
      <c r="O37" s="202">
        <v>6</v>
      </c>
      <c r="P37" s="202">
        <v>5</v>
      </c>
    </row>
    <row r="38" spans="1:16" x14ac:dyDescent="0.2">
      <c r="A38" s="212" t="s">
        <v>87</v>
      </c>
      <c r="B38" s="46" t="s">
        <v>50</v>
      </c>
      <c r="C38" s="77" t="s">
        <v>133</v>
      </c>
      <c r="D38" s="144">
        <v>45292</v>
      </c>
      <c r="E38" s="201">
        <v>0.66666668653488159</v>
      </c>
      <c r="F38" s="202">
        <v>0</v>
      </c>
      <c r="G38" s="202">
        <v>0</v>
      </c>
      <c r="H38" s="202">
        <v>0</v>
      </c>
      <c r="I38" s="202">
        <v>0</v>
      </c>
      <c r="J38" s="213">
        <v>2</v>
      </c>
      <c r="K38" s="268">
        <v>5</v>
      </c>
      <c r="L38" s="202">
        <v>4</v>
      </c>
      <c r="M38" s="202">
        <v>6</v>
      </c>
      <c r="N38" s="202">
        <v>4</v>
      </c>
      <c r="O38" s="202">
        <v>6</v>
      </c>
      <c r="P38" s="202">
        <v>5</v>
      </c>
    </row>
    <row r="39" spans="1:16" x14ac:dyDescent="0.2">
      <c r="A39" s="212" t="s">
        <v>99</v>
      </c>
      <c r="B39" s="46" t="s">
        <v>100</v>
      </c>
      <c r="C39" s="77" t="s">
        <v>133</v>
      </c>
      <c r="D39" s="144">
        <v>45292</v>
      </c>
      <c r="E39" s="201">
        <v>1.1111111640930176</v>
      </c>
      <c r="F39" s="202">
        <v>4</v>
      </c>
      <c r="G39" s="202">
        <v>0</v>
      </c>
      <c r="H39" s="202">
        <v>0</v>
      </c>
      <c r="I39" s="202">
        <v>0</v>
      </c>
      <c r="J39" s="213">
        <v>2</v>
      </c>
      <c r="K39" s="268">
        <v>5</v>
      </c>
      <c r="L39" s="202">
        <v>4</v>
      </c>
      <c r="M39" s="202">
        <v>6</v>
      </c>
      <c r="N39" s="202">
        <v>4</v>
      </c>
      <c r="O39" s="202">
        <v>6</v>
      </c>
      <c r="P39" s="202">
        <v>5</v>
      </c>
    </row>
    <row r="40" spans="1:16" x14ac:dyDescent="0.2">
      <c r="A40" s="212" t="s">
        <v>88</v>
      </c>
      <c r="B40" s="46" t="s">
        <v>41</v>
      </c>
      <c r="C40" s="77" t="s">
        <v>133</v>
      </c>
      <c r="D40" s="144">
        <v>45292</v>
      </c>
      <c r="E40" s="201">
        <v>1.1111111640930176</v>
      </c>
      <c r="F40" s="202">
        <v>4</v>
      </c>
      <c r="G40" s="202">
        <v>0</v>
      </c>
      <c r="H40" s="202">
        <v>0</v>
      </c>
      <c r="I40" s="202">
        <v>0</v>
      </c>
      <c r="J40" s="213">
        <v>2</v>
      </c>
      <c r="K40" s="268">
        <v>5</v>
      </c>
      <c r="L40" s="202">
        <v>4</v>
      </c>
      <c r="M40" s="202">
        <v>6</v>
      </c>
      <c r="N40" s="202">
        <v>4</v>
      </c>
      <c r="O40" s="202">
        <v>6</v>
      </c>
      <c r="P40" s="202">
        <v>5</v>
      </c>
    </row>
    <row r="41" spans="1:16" x14ac:dyDescent="0.2">
      <c r="A41" s="212" t="s">
        <v>89</v>
      </c>
      <c r="B41" s="46" t="s">
        <v>39</v>
      </c>
      <c r="C41" s="77" t="s">
        <v>133</v>
      </c>
      <c r="D41" s="144">
        <v>45292</v>
      </c>
      <c r="E41" s="201">
        <v>0.66666668653488159</v>
      </c>
      <c r="F41" s="202">
        <v>0</v>
      </c>
      <c r="G41" s="202">
        <v>0</v>
      </c>
      <c r="H41" s="202">
        <v>0</v>
      </c>
      <c r="I41" s="202">
        <v>0</v>
      </c>
      <c r="J41" s="213">
        <v>2</v>
      </c>
      <c r="K41" s="268">
        <v>5</v>
      </c>
      <c r="L41" s="202">
        <v>4</v>
      </c>
      <c r="M41" s="202">
        <v>6</v>
      </c>
      <c r="N41" s="202">
        <v>4</v>
      </c>
      <c r="O41" s="202">
        <v>6</v>
      </c>
      <c r="P41" s="202">
        <v>5</v>
      </c>
    </row>
    <row r="42" spans="1:16" x14ac:dyDescent="0.2">
      <c r="A42" s="212" t="s">
        <v>74</v>
      </c>
      <c r="B42" s="46" t="s">
        <v>32</v>
      </c>
      <c r="C42" s="77" t="s">
        <v>133</v>
      </c>
      <c r="D42" s="144">
        <v>45292</v>
      </c>
      <c r="E42" s="201">
        <v>0.66666668653488159</v>
      </c>
      <c r="F42" s="202">
        <v>0</v>
      </c>
      <c r="G42" s="202">
        <v>0</v>
      </c>
      <c r="H42" s="202">
        <v>0</v>
      </c>
      <c r="I42" s="202">
        <v>0</v>
      </c>
      <c r="J42" s="213">
        <v>2</v>
      </c>
      <c r="K42" s="268">
        <v>4.7777776718139648</v>
      </c>
      <c r="L42" s="202">
        <v>2</v>
      </c>
      <c r="M42" s="202">
        <v>6</v>
      </c>
      <c r="N42" s="202">
        <v>4</v>
      </c>
      <c r="O42" s="202">
        <v>6</v>
      </c>
      <c r="P42" s="202">
        <v>5</v>
      </c>
    </row>
    <row r="43" spans="1:16" x14ac:dyDescent="0.2">
      <c r="A43" s="212" t="s">
        <v>90</v>
      </c>
      <c r="B43" s="46" t="s">
        <v>26</v>
      </c>
      <c r="C43" s="77" t="s">
        <v>133</v>
      </c>
      <c r="D43" s="144">
        <v>45292</v>
      </c>
      <c r="E43" s="201">
        <v>5.6666665077209473</v>
      </c>
      <c r="F43" s="202">
        <v>6</v>
      </c>
      <c r="G43" s="202">
        <v>6</v>
      </c>
      <c r="H43" s="202">
        <v>6</v>
      </c>
      <c r="I43" s="202">
        <v>6</v>
      </c>
      <c r="J43" s="213">
        <v>5</v>
      </c>
      <c r="K43" s="268">
        <v>6</v>
      </c>
      <c r="L43" s="202">
        <v>6</v>
      </c>
      <c r="M43" s="202">
        <v>6</v>
      </c>
      <c r="N43" s="202">
        <v>6</v>
      </c>
      <c r="O43" s="202">
        <v>6</v>
      </c>
      <c r="P43" s="202">
        <v>6</v>
      </c>
    </row>
    <row r="44" spans="1:16" x14ac:dyDescent="0.2">
      <c r="A44" s="212" t="s">
        <v>91</v>
      </c>
      <c r="B44" s="46" t="s">
        <v>52</v>
      </c>
      <c r="C44" s="77" t="s">
        <v>133</v>
      </c>
      <c r="D44" s="144">
        <v>45292</v>
      </c>
      <c r="E44" s="201">
        <v>2</v>
      </c>
      <c r="F44" s="202">
        <v>0</v>
      </c>
      <c r="G44" s="202">
        <v>0</v>
      </c>
      <c r="H44" s="202">
        <v>1</v>
      </c>
      <c r="I44" s="202">
        <v>2</v>
      </c>
      <c r="J44" s="213">
        <v>4</v>
      </c>
      <c r="K44" s="268">
        <v>6</v>
      </c>
      <c r="L44" s="202">
        <v>6</v>
      </c>
      <c r="M44" s="202">
        <v>6</v>
      </c>
      <c r="N44" s="202">
        <v>6</v>
      </c>
      <c r="O44" s="202">
        <v>6</v>
      </c>
      <c r="P44" s="202">
        <v>6</v>
      </c>
    </row>
    <row r="45" spans="1:16" x14ac:dyDescent="0.2">
      <c r="A45" s="212" t="s">
        <v>81</v>
      </c>
      <c r="B45" s="46" t="s">
        <v>49</v>
      </c>
      <c r="C45" s="77" t="s">
        <v>133</v>
      </c>
      <c r="D45" s="144">
        <v>45292</v>
      </c>
      <c r="E45" s="201">
        <v>1.7777777910232544</v>
      </c>
      <c r="F45" s="202">
        <v>0</v>
      </c>
      <c r="G45" s="202">
        <v>2</v>
      </c>
      <c r="H45" s="202">
        <v>2</v>
      </c>
      <c r="I45" s="202">
        <v>2</v>
      </c>
      <c r="J45" s="213">
        <v>2</v>
      </c>
      <c r="K45" s="268">
        <v>4.5555553436279297</v>
      </c>
      <c r="L45" s="202">
        <v>0</v>
      </c>
      <c r="M45" s="202">
        <v>6</v>
      </c>
      <c r="N45" s="202">
        <v>4</v>
      </c>
      <c r="O45" s="202">
        <v>6</v>
      </c>
      <c r="P45" s="202">
        <v>5</v>
      </c>
    </row>
    <row r="46" spans="1:16" x14ac:dyDescent="0.2">
      <c r="A46" s="212" t="s">
        <v>105</v>
      </c>
      <c r="B46" s="46" t="s">
        <v>104</v>
      </c>
      <c r="C46" s="77"/>
      <c r="D46" s="144">
        <v>45292</v>
      </c>
      <c r="E46" s="201">
        <v>4.6666665077209473</v>
      </c>
      <c r="F46" s="202">
        <v>0</v>
      </c>
      <c r="G46" s="202">
        <v>0</v>
      </c>
      <c r="H46" s="202">
        <v>6</v>
      </c>
      <c r="I46" s="202">
        <v>6</v>
      </c>
      <c r="J46" s="213">
        <v>6</v>
      </c>
      <c r="K46" s="268">
        <v>5.5555553436279297</v>
      </c>
      <c r="L46" s="202">
        <v>2</v>
      </c>
      <c r="M46" s="202">
        <v>6</v>
      </c>
      <c r="N46" s="202">
        <v>6</v>
      </c>
      <c r="O46" s="202">
        <v>6</v>
      </c>
      <c r="P46" s="202">
        <v>6</v>
      </c>
    </row>
    <row r="47" spans="1:16" x14ac:dyDescent="0.2">
      <c r="A47" s="212"/>
      <c r="B47" s="226" t="s">
        <v>129</v>
      </c>
      <c r="C47" s="77"/>
      <c r="D47" s="140"/>
      <c r="E47" s="201"/>
      <c r="F47" s="200"/>
      <c r="G47" s="200"/>
      <c r="H47" s="200"/>
      <c r="I47" s="200"/>
      <c r="J47" s="211"/>
      <c r="K47" s="268"/>
      <c r="L47" s="202"/>
      <c r="M47" s="202"/>
      <c r="N47" s="202"/>
      <c r="O47" s="202"/>
      <c r="P47" s="202"/>
    </row>
    <row r="48" spans="1:16" x14ac:dyDescent="0.2">
      <c r="A48" s="212" t="s">
        <v>270</v>
      </c>
      <c r="B48" s="46" t="s">
        <v>269</v>
      </c>
      <c r="C48" s="77" t="s">
        <v>134</v>
      </c>
      <c r="D48" s="144">
        <v>45658</v>
      </c>
      <c r="E48" s="201">
        <v>6</v>
      </c>
      <c r="F48" s="202">
        <v>6</v>
      </c>
      <c r="G48" s="202">
        <v>6</v>
      </c>
      <c r="H48" s="202">
        <v>6</v>
      </c>
      <c r="I48" s="202">
        <v>6</v>
      </c>
      <c r="J48" s="213">
        <v>6</v>
      </c>
      <c r="K48" s="268">
        <v>6</v>
      </c>
      <c r="L48" s="202">
        <v>6</v>
      </c>
      <c r="M48" s="202">
        <v>6</v>
      </c>
      <c r="N48" s="202">
        <v>6</v>
      </c>
      <c r="O48" s="202">
        <v>6</v>
      </c>
      <c r="P48" s="202">
        <v>6</v>
      </c>
    </row>
    <row r="49" spans="1:16" x14ac:dyDescent="0.2">
      <c r="A49" s="212" t="s">
        <v>75</v>
      </c>
      <c r="B49" s="46" t="s">
        <v>27</v>
      </c>
      <c r="C49" s="77" t="s">
        <v>133</v>
      </c>
      <c r="D49" s="144">
        <v>45292</v>
      </c>
      <c r="E49" s="201">
        <v>4.9444446563720703</v>
      </c>
      <c r="F49" s="202">
        <v>2</v>
      </c>
      <c r="G49" s="202">
        <v>2</v>
      </c>
      <c r="H49" s="202">
        <v>6</v>
      </c>
      <c r="I49" s="202">
        <v>6</v>
      </c>
      <c r="J49" s="213">
        <v>5.5</v>
      </c>
      <c r="K49" s="268">
        <v>5.7777776718139648</v>
      </c>
      <c r="L49" s="202">
        <v>4</v>
      </c>
      <c r="M49" s="202">
        <v>6</v>
      </c>
      <c r="N49" s="202">
        <v>6</v>
      </c>
      <c r="O49" s="202">
        <v>6</v>
      </c>
      <c r="P49" s="202">
        <v>6</v>
      </c>
    </row>
    <row r="50" spans="1:16" x14ac:dyDescent="0.2">
      <c r="A50" s="212" t="s">
        <v>103</v>
      </c>
      <c r="B50" s="46" t="s">
        <v>102</v>
      </c>
      <c r="C50" s="77" t="s">
        <v>133</v>
      </c>
      <c r="D50" s="144">
        <v>45292</v>
      </c>
      <c r="E50" s="201">
        <v>0.8888888955116272</v>
      </c>
      <c r="F50" s="202">
        <v>2</v>
      </c>
      <c r="G50" s="202">
        <v>0</v>
      </c>
      <c r="H50" s="202">
        <v>0</v>
      </c>
      <c r="I50" s="202">
        <v>0</v>
      </c>
      <c r="J50" s="213">
        <v>2</v>
      </c>
      <c r="K50" s="268">
        <v>5</v>
      </c>
      <c r="L50" s="202">
        <v>4</v>
      </c>
      <c r="M50" s="202">
        <v>6</v>
      </c>
      <c r="N50" s="202">
        <v>4</v>
      </c>
      <c r="O50" s="202">
        <v>6</v>
      </c>
      <c r="P50" s="202">
        <v>5</v>
      </c>
    </row>
    <row r="51" spans="1:16" x14ac:dyDescent="0.2">
      <c r="A51" s="212" t="s">
        <v>106</v>
      </c>
      <c r="B51" s="46" t="s">
        <v>151</v>
      </c>
      <c r="C51" s="77" t="s">
        <v>134</v>
      </c>
      <c r="D51" s="144">
        <v>45292</v>
      </c>
      <c r="E51" s="201">
        <v>1.1666666269302368</v>
      </c>
      <c r="F51" s="202">
        <v>0</v>
      </c>
      <c r="G51" s="202">
        <v>0</v>
      </c>
      <c r="H51" s="202">
        <v>0</v>
      </c>
      <c r="I51" s="202">
        <v>0</v>
      </c>
      <c r="J51" s="213">
        <v>3.5</v>
      </c>
      <c r="K51" s="268">
        <v>2.2222223281860352</v>
      </c>
      <c r="L51" s="202">
        <v>0</v>
      </c>
      <c r="M51" s="202">
        <v>2</v>
      </c>
      <c r="N51" s="202">
        <v>0</v>
      </c>
      <c r="O51" s="202">
        <v>0</v>
      </c>
      <c r="P51" s="202">
        <v>6</v>
      </c>
    </row>
    <row r="52" spans="1:16" x14ac:dyDescent="0.2">
      <c r="A52" s="212" t="s">
        <v>93</v>
      </c>
      <c r="B52" s="46" t="s">
        <v>18</v>
      </c>
      <c r="C52" s="77" t="s">
        <v>133</v>
      </c>
      <c r="D52" s="144">
        <v>45292</v>
      </c>
      <c r="E52" s="201">
        <v>1.1111111640930176</v>
      </c>
      <c r="F52" s="202">
        <v>4</v>
      </c>
      <c r="G52" s="202">
        <v>0</v>
      </c>
      <c r="H52" s="202">
        <v>0</v>
      </c>
      <c r="I52" s="202">
        <v>0</v>
      </c>
      <c r="J52" s="213">
        <v>2</v>
      </c>
      <c r="K52" s="268">
        <v>5</v>
      </c>
      <c r="L52" s="202">
        <v>4</v>
      </c>
      <c r="M52" s="202">
        <v>6</v>
      </c>
      <c r="N52" s="202">
        <v>4</v>
      </c>
      <c r="O52" s="202">
        <v>6</v>
      </c>
      <c r="P52" s="202">
        <v>5</v>
      </c>
    </row>
    <row r="53" spans="1:16" ht="14.25" x14ac:dyDescent="0.2">
      <c r="A53" s="212" t="s">
        <v>108</v>
      </c>
      <c r="B53" s="46" t="s">
        <v>232</v>
      </c>
      <c r="C53" s="77" t="s">
        <v>133</v>
      </c>
      <c r="D53" s="144">
        <v>45292</v>
      </c>
      <c r="E53" s="201">
        <v>1.1111111640930176</v>
      </c>
      <c r="F53" s="202">
        <v>4</v>
      </c>
      <c r="G53" s="202">
        <v>0</v>
      </c>
      <c r="H53" s="202">
        <v>0</v>
      </c>
      <c r="I53" s="202">
        <v>0</v>
      </c>
      <c r="J53" s="202">
        <v>2</v>
      </c>
      <c r="K53" s="269">
        <v>5</v>
      </c>
      <c r="L53" s="202">
        <v>4</v>
      </c>
      <c r="M53" s="202">
        <v>6</v>
      </c>
      <c r="N53" s="202">
        <v>4</v>
      </c>
      <c r="O53" s="202">
        <v>6</v>
      </c>
      <c r="P53" s="202">
        <v>5</v>
      </c>
    </row>
    <row r="54" spans="1:16" x14ac:dyDescent="0.2">
      <c r="A54" s="212" t="s">
        <v>118</v>
      </c>
      <c r="B54" s="46" t="s">
        <v>117</v>
      </c>
      <c r="C54" s="77" t="s">
        <v>133</v>
      </c>
      <c r="D54" s="144">
        <v>45292</v>
      </c>
      <c r="E54" s="201">
        <v>5.4444446563720703</v>
      </c>
      <c r="F54" s="202">
        <v>4</v>
      </c>
      <c r="G54" s="202">
        <v>6</v>
      </c>
      <c r="H54" s="202">
        <v>6</v>
      </c>
      <c r="I54" s="202">
        <v>6</v>
      </c>
      <c r="J54" s="213">
        <v>5</v>
      </c>
      <c r="K54" s="268">
        <v>5.7777776718139648</v>
      </c>
      <c r="L54" s="202">
        <v>4</v>
      </c>
      <c r="M54" s="202">
        <v>6</v>
      </c>
      <c r="N54" s="202">
        <v>6</v>
      </c>
      <c r="O54" s="202">
        <v>6</v>
      </c>
      <c r="P54" s="202">
        <v>6</v>
      </c>
    </row>
    <row r="55" spans="1:16" x14ac:dyDescent="0.2">
      <c r="A55" s="212" t="s">
        <v>120</v>
      </c>
      <c r="B55" s="46" t="s">
        <v>119</v>
      </c>
      <c r="C55" s="77" t="s">
        <v>133</v>
      </c>
      <c r="D55" s="144">
        <v>45292</v>
      </c>
      <c r="E55" s="201">
        <v>1.1111111640930176</v>
      </c>
      <c r="F55" s="202">
        <v>4</v>
      </c>
      <c r="G55" s="202">
        <v>0</v>
      </c>
      <c r="H55" s="202">
        <v>0</v>
      </c>
      <c r="I55" s="202">
        <v>0</v>
      </c>
      <c r="J55" s="213">
        <v>2</v>
      </c>
      <c r="K55" s="268">
        <v>5</v>
      </c>
      <c r="L55" s="202">
        <v>4</v>
      </c>
      <c r="M55" s="202">
        <v>6</v>
      </c>
      <c r="N55" s="202">
        <v>4</v>
      </c>
      <c r="O55" s="202">
        <v>6</v>
      </c>
      <c r="P55" s="202">
        <v>5</v>
      </c>
    </row>
    <row r="56" spans="1:16" x14ac:dyDescent="0.2">
      <c r="A56" s="212" t="s">
        <v>115</v>
      </c>
      <c r="B56" s="46" t="s">
        <v>152</v>
      </c>
      <c r="C56" s="77" t="s">
        <v>134</v>
      </c>
      <c r="D56" s="144">
        <v>45292</v>
      </c>
      <c r="E56" s="201">
        <v>5.7777776718139648</v>
      </c>
      <c r="F56" s="202">
        <v>4</v>
      </c>
      <c r="G56" s="202">
        <v>6</v>
      </c>
      <c r="H56" s="202">
        <v>6</v>
      </c>
      <c r="I56" s="202">
        <v>6</v>
      </c>
      <c r="J56" s="213">
        <v>6</v>
      </c>
      <c r="K56" s="268">
        <v>6</v>
      </c>
      <c r="L56" s="202">
        <v>6</v>
      </c>
      <c r="M56" s="202">
        <v>6</v>
      </c>
      <c r="N56" s="202">
        <v>6</v>
      </c>
      <c r="O56" s="202">
        <v>6</v>
      </c>
      <c r="P56" s="202">
        <v>6</v>
      </c>
    </row>
    <row r="57" spans="1:16" x14ac:dyDescent="0.2">
      <c r="A57" s="212" t="s">
        <v>271</v>
      </c>
      <c r="B57" s="46" t="s">
        <v>272</v>
      </c>
      <c r="C57" s="77" t="s">
        <v>133</v>
      </c>
      <c r="D57" s="144">
        <v>45292</v>
      </c>
      <c r="E57" s="201">
        <v>0.66666668653488159</v>
      </c>
      <c r="F57" s="202">
        <v>0</v>
      </c>
      <c r="G57" s="202">
        <v>0</v>
      </c>
      <c r="H57" s="202">
        <v>0</v>
      </c>
      <c r="I57" s="202">
        <v>0</v>
      </c>
      <c r="J57" s="213">
        <v>2</v>
      </c>
      <c r="K57" s="268">
        <v>5</v>
      </c>
      <c r="L57" s="202">
        <v>4</v>
      </c>
      <c r="M57" s="202">
        <v>6</v>
      </c>
      <c r="N57" s="202">
        <v>4</v>
      </c>
      <c r="O57" s="202">
        <v>6</v>
      </c>
      <c r="P57" s="202">
        <v>5</v>
      </c>
    </row>
    <row r="58" spans="1:16" x14ac:dyDescent="0.2">
      <c r="A58" s="212" t="s">
        <v>94</v>
      </c>
      <c r="B58" s="46" t="s">
        <v>53</v>
      </c>
      <c r="C58" s="77" t="s">
        <v>133</v>
      </c>
      <c r="D58" s="144">
        <v>45292</v>
      </c>
      <c r="E58" s="201">
        <v>4.8888888359069824</v>
      </c>
      <c r="F58" s="202">
        <v>2</v>
      </c>
      <c r="G58" s="202">
        <v>0</v>
      </c>
      <c r="H58" s="202">
        <v>6</v>
      </c>
      <c r="I58" s="202">
        <v>6</v>
      </c>
      <c r="J58" s="213">
        <v>6</v>
      </c>
      <c r="K58" s="268">
        <v>6</v>
      </c>
      <c r="L58" s="202">
        <v>6</v>
      </c>
      <c r="M58" s="202">
        <v>6</v>
      </c>
      <c r="N58" s="202">
        <v>6</v>
      </c>
      <c r="O58" s="202">
        <v>6</v>
      </c>
      <c r="P58" s="202">
        <v>6</v>
      </c>
    </row>
    <row r="59" spans="1:16" x14ac:dyDescent="0.2">
      <c r="A59" s="212" t="s">
        <v>274</v>
      </c>
      <c r="B59" s="46" t="s">
        <v>273</v>
      </c>
      <c r="C59" s="77" t="s">
        <v>275</v>
      </c>
      <c r="D59" s="144">
        <v>45658</v>
      </c>
      <c r="E59" s="201">
        <v>3.4444444179534912</v>
      </c>
      <c r="F59" s="202">
        <v>4</v>
      </c>
      <c r="G59" s="202">
        <v>6</v>
      </c>
      <c r="H59" s="202">
        <v>3</v>
      </c>
      <c r="I59" s="202">
        <v>2</v>
      </c>
      <c r="J59" s="213">
        <v>3.6666667461395264</v>
      </c>
      <c r="K59" s="268">
        <v>6</v>
      </c>
      <c r="L59" s="202">
        <v>6</v>
      </c>
      <c r="M59" s="202" t="s">
        <v>173</v>
      </c>
      <c r="N59" s="202" t="s">
        <v>173</v>
      </c>
      <c r="O59" s="202" t="s">
        <v>173</v>
      </c>
      <c r="P59" s="202" t="s">
        <v>173</v>
      </c>
    </row>
    <row r="60" spans="1:16" x14ac:dyDescent="0.2">
      <c r="A60" s="212" t="s">
        <v>258</v>
      </c>
      <c r="B60" s="46" t="s">
        <v>257</v>
      </c>
      <c r="C60" s="77" t="s">
        <v>133</v>
      </c>
      <c r="D60" s="144">
        <v>45292</v>
      </c>
      <c r="E60" s="201">
        <v>4.5</v>
      </c>
      <c r="F60" s="202">
        <v>0</v>
      </c>
      <c r="G60" s="202">
        <v>0</v>
      </c>
      <c r="H60" s="202">
        <v>6</v>
      </c>
      <c r="I60" s="202">
        <v>6</v>
      </c>
      <c r="J60" s="213">
        <v>5.5</v>
      </c>
      <c r="K60" s="268" t="s">
        <v>173</v>
      </c>
      <c r="L60" s="202" t="s">
        <v>173</v>
      </c>
      <c r="M60" s="202" t="s">
        <v>173</v>
      </c>
      <c r="N60" s="202" t="s">
        <v>173</v>
      </c>
      <c r="O60" s="202" t="s">
        <v>173</v>
      </c>
      <c r="P60" s="202" t="s">
        <v>173</v>
      </c>
    </row>
    <row r="61" spans="1:16" x14ac:dyDescent="0.2">
      <c r="A61" s="195"/>
      <c r="B61" s="46"/>
      <c r="C61" s="223"/>
      <c r="E61" s="201"/>
      <c r="F61" s="202"/>
      <c r="G61" s="202"/>
      <c r="H61" s="202"/>
      <c r="I61" s="202"/>
      <c r="J61" s="213"/>
      <c r="K61" s="268"/>
      <c r="L61" s="202"/>
      <c r="M61" s="202"/>
      <c r="N61" s="202"/>
      <c r="O61" s="202"/>
      <c r="P61" s="270"/>
    </row>
    <row r="62" spans="1:16" x14ac:dyDescent="0.2">
      <c r="A62" s="205"/>
      <c r="B62" s="65" t="s">
        <v>156</v>
      </c>
      <c r="C62" s="264"/>
      <c r="D62" s="68"/>
      <c r="E62" s="219">
        <f t="shared" ref="E62:P62" si="0">AVERAGE(E9:E46)</f>
        <v>2.5394736857790696</v>
      </c>
      <c r="F62" s="220">
        <f t="shared" si="0"/>
        <v>2.263157894736842</v>
      </c>
      <c r="G62" s="220">
        <f t="shared" si="0"/>
        <v>1.4736842105263157</v>
      </c>
      <c r="H62" s="220">
        <f t="shared" si="0"/>
        <v>2.1052631578947367</v>
      </c>
      <c r="I62" s="220">
        <f t="shared" si="0"/>
        <v>2.3157894736842106</v>
      </c>
      <c r="J62" s="220">
        <f t="shared" si="0"/>
        <v>3.4254385923084461</v>
      </c>
      <c r="K62" s="271">
        <f t="shared" si="0"/>
        <v>5.2558479434565495</v>
      </c>
      <c r="L62" s="220">
        <f t="shared" si="0"/>
        <v>4.2105263157894735</v>
      </c>
      <c r="M62" s="220">
        <f t="shared" si="0"/>
        <v>5.5263157894736841</v>
      </c>
      <c r="N62" s="220">
        <f t="shared" si="0"/>
        <v>4.7894736842105265</v>
      </c>
      <c r="O62" s="220">
        <f t="shared" si="0"/>
        <v>6</v>
      </c>
      <c r="P62" s="221">
        <f t="shared" si="0"/>
        <v>5.3289473684210522</v>
      </c>
    </row>
    <row r="63" spans="1:16" x14ac:dyDescent="0.2">
      <c r="A63" s="195"/>
      <c r="B63" s="38" t="s">
        <v>150</v>
      </c>
      <c r="C63" s="193"/>
      <c r="D63" s="194"/>
      <c r="E63" s="203">
        <f t="shared" ref="E63:P63" si="1">AVERAGE(SMALL(E9:E46,1),SMALL(E9:E46,2),SMALL(E9:E46,3),SMALL(E9:E46,4),SMALL(E9:E46,5))</f>
        <v>0.66666668653488159</v>
      </c>
      <c r="F63" s="204">
        <f t="shared" si="1"/>
        <v>0</v>
      </c>
      <c r="G63" s="204">
        <f t="shared" si="1"/>
        <v>0</v>
      </c>
      <c r="H63" s="204">
        <f t="shared" si="1"/>
        <v>0</v>
      </c>
      <c r="I63" s="204">
        <f t="shared" si="1"/>
        <v>0</v>
      </c>
      <c r="J63" s="204">
        <f t="shared" si="1"/>
        <v>2</v>
      </c>
      <c r="K63" s="272">
        <f t="shared" si="1"/>
        <v>4.4666666984558105</v>
      </c>
      <c r="L63" s="204">
        <f t="shared" si="1"/>
        <v>1.2</v>
      </c>
      <c r="M63" s="204">
        <f t="shared" si="1"/>
        <v>2.4</v>
      </c>
      <c r="N63" s="204">
        <f t="shared" si="1"/>
        <v>4</v>
      </c>
      <c r="O63" s="204">
        <f t="shared" si="1"/>
        <v>6</v>
      </c>
      <c r="P63" s="214">
        <f t="shared" si="1"/>
        <v>5</v>
      </c>
    </row>
    <row r="64" spans="1:16" x14ac:dyDescent="0.2">
      <c r="A64" s="195"/>
      <c r="B64" s="161" t="s">
        <v>158</v>
      </c>
      <c r="C64" s="215"/>
      <c r="D64" s="215"/>
      <c r="E64" s="216">
        <f t="shared" ref="E64:P64" si="2">AVERAGE(LARGE(E9:E46,1),LARGE(E9:E46,2),LARGE(E9:E46,3),LARGE(E9:E46,4),LARGE(E9:E46,5))</f>
        <v>5.855555534362793</v>
      </c>
      <c r="F64" s="217">
        <f t="shared" si="2"/>
        <v>5.6</v>
      </c>
      <c r="G64" s="217">
        <f t="shared" si="2"/>
        <v>6</v>
      </c>
      <c r="H64" s="217">
        <f t="shared" si="2"/>
        <v>6</v>
      </c>
      <c r="I64" s="217">
        <f t="shared" si="2"/>
        <v>6</v>
      </c>
      <c r="J64" s="217">
        <f t="shared" si="2"/>
        <v>6</v>
      </c>
      <c r="K64" s="273">
        <f t="shared" si="2"/>
        <v>6</v>
      </c>
      <c r="L64" s="217">
        <f t="shared" si="2"/>
        <v>6</v>
      </c>
      <c r="M64" s="217">
        <f t="shared" si="2"/>
        <v>6</v>
      </c>
      <c r="N64" s="217">
        <f t="shared" si="2"/>
        <v>6</v>
      </c>
      <c r="O64" s="217">
        <f t="shared" si="2"/>
        <v>6</v>
      </c>
      <c r="P64" s="218">
        <f t="shared" si="2"/>
        <v>6</v>
      </c>
    </row>
    <row r="65" spans="1:47" x14ac:dyDescent="0.2">
      <c r="B65" s="67"/>
      <c r="C65" s="194"/>
      <c r="D65" s="194"/>
      <c r="E65" s="263"/>
      <c r="F65" s="263"/>
      <c r="G65" s="263"/>
      <c r="H65" s="263"/>
      <c r="I65" s="263"/>
      <c r="J65" s="263"/>
      <c r="K65" s="263"/>
      <c r="L65" s="263"/>
      <c r="M65" s="263"/>
      <c r="N65" s="263"/>
      <c r="O65" s="263"/>
    </row>
    <row r="66" spans="1:47" x14ac:dyDescent="0.2">
      <c r="A66" s="13" t="s">
        <v>277</v>
      </c>
    </row>
    <row r="67" spans="1:47" x14ac:dyDescent="0.2">
      <c r="A67" s="13" t="s">
        <v>126</v>
      </c>
    </row>
    <row r="68" spans="1:47" x14ac:dyDescent="0.2">
      <c r="A68" s="13"/>
    </row>
    <row r="69" spans="1:47" x14ac:dyDescent="0.2">
      <c r="A69" s="12" t="s">
        <v>56</v>
      </c>
    </row>
    <row r="70" spans="1:47" x14ac:dyDescent="0.2">
      <c r="A70" s="14" t="s">
        <v>116</v>
      </c>
    </row>
    <row r="71" spans="1:47" s="14" customFormat="1" ht="19.5" customHeight="1" x14ac:dyDescent="0.2">
      <c r="A71" s="43" t="s">
        <v>260</v>
      </c>
      <c r="B71" s="80"/>
      <c r="C71" s="140"/>
      <c r="D71" s="11"/>
      <c r="E71" s="11"/>
      <c r="F71" s="11"/>
      <c r="G71" s="11"/>
      <c r="H71" s="11"/>
      <c r="I71" s="11"/>
      <c r="J71" s="1"/>
      <c r="K71" s="1"/>
      <c r="L71" s="1"/>
      <c r="M71" s="1"/>
      <c r="N71" s="1"/>
      <c r="O71" s="1"/>
      <c r="P71" s="1"/>
      <c r="Q71" s="1"/>
      <c r="R71" s="1"/>
      <c r="S71" s="1"/>
      <c r="T71" s="1"/>
      <c r="U71" s="1"/>
      <c r="V71" s="1"/>
      <c r="W71" s="1"/>
      <c r="X71" s="1"/>
      <c r="Y71" s="1"/>
      <c r="Z71" s="1"/>
      <c r="AA71" s="1"/>
      <c r="AB71" s="1"/>
      <c r="AC71" s="1"/>
      <c r="AD71" s="1"/>
      <c r="AE71" s="1"/>
      <c r="AF71" s="1"/>
      <c r="AG71" s="1"/>
      <c r="AH71" s="1"/>
      <c r="AI71" s="12"/>
      <c r="AK71" s="1"/>
      <c r="AL71" s="1"/>
      <c r="AM71" s="1"/>
      <c r="AN71" s="1"/>
      <c r="AO71" s="1"/>
      <c r="AP71" s="1"/>
      <c r="AQ71" s="1"/>
      <c r="AR71" s="1"/>
      <c r="AS71" s="1"/>
      <c r="AT71" s="1"/>
      <c r="AU71" s="1"/>
    </row>
    <row r="72" spans="1:47" s="14" customFormat="1" ht="19.5" customHeight="1" x14ac:dyDescent="0.2">
      <c r="A72" s="44" t="s">
        <v>276</v>
      </c>
      <c r="B72" s="80"/>
      <c r="C72" s="140"/>
      <c r="D72" s="11"/>
      <c r="E72" s="11"/>
      <c r="F72" s="11"/>
      <c r="G72" s="11"/>
      <c r="H72" s="11"/>
      <c r="I72" s="11"/>
      <c r="J72" s="1"/>
      <c r="K72" s="1"/>
      <c r="L72" s="1"/>
      <c r="M72" s="1"/>
      <c r="N72" s="1"/>
      <c r="O72" s="1"/>
      <c r="P72" s="1"/>
      <c r="Q72" s="1"/>
      <c r="R72" s="1"/>
      <c r="S72" s="1"/>
      <c r="T72" s="1"/>
      <c r="U72" s="1"/>
      <c r="V72" s="1"/>
      <c r="W72" s="1"/>
      <c r="X72" s="1"/>
      <c r="Y72" s="1"/>
      <c r="Z72" s="1"/>
      <c r="AA72" s="1"/>
      <c r="AB72" s="1"/>
      <c r="AC72" s="1"/>
      <c r="AD72" s="1"/>
      <c r="AE72" s="1"/>
      <c r="AF72" s="1"/>
      <c r="AG72" s="1"/>
      <c r="AH72" s="1"/>
      <c r="AI72" s="12"/>
      <c r="AK72" s="1"/>
      <c r="AL72" s="1"/>
      <c r="AM72" s="1"/>
      <c r="AN72" s="1"/>
      <c r="AO72" s="1"/>
      <c r="AP72" s="1"/>
      <c r="AQ72" s="1"/>
      <c r="AR72" s="1"/>
      <c r="AS72" s="1"/>
      <c r="AT72" s="1"/>
      <c r="AU72" s="1"/>
    </row>
    <row r="73" spans="1:47" x14ac:dyDescent="0.2">
      <c r="A73" s="11" t="s">
        <v>55</v>
      </c>
    </row>
    <row r="74" spans="1:47" x14ac:dyDescent="0.2">
      <c r="A74" s="24" t="s">
        <v>233</v>
      </c>
    </row>
    <row r="75" spans="1:47" x14ac:dyDescent="0.2">
      <c r="A75" s="11" t="s">
        <v>234</v>
      </c>
    </row>
    <row r="120" spans="1:16" x14ac:dyDescent="0.2">
      <c r="C120"/>
      <c r="D120"/>
    </row>
    <row r="121" spans="1:16" x14ac:dyDescent="0.2">
      <c r="C121"/>
      <c r="D121"/>
    </row>
    <row r="122" spans="1:16" x14ac:dyDescent="0.2">
      <c r="C122"/>
      <c r="D122"/>
    </row>
    <row r="124" spans="1:16" x14ac:dyDescent="0.2">
      <c r="B124" s="10"/>
      <c r="D124"/>
    </row>
    <row r="125" spans="1:16" x14ac:dyDescent="0.2">
      <c r="A125" s="12" t="s">
        <v>125</v>
      </c>
      <c r="B125" s="140"/>
      <c r="C125" s="140"/>
      <c r="D125"/>
    </row>
    <row r="126" spans="1:16" x14ac:dyDescent="0.2">
      <c r="A126" s="13" t="s">
        <v>126</v>
      </c>
      <c r="B126" s="140"/>
      <c r="C126" s="140"/>
      <c r="D126"/>
    </row>
    <row r="127" spans="1:16" x14ac:dyDescent="0.2">
      <c r="A127" s="13"/>
      <c r="B127" s="140"/>
      <c r="C127" s="140"/>
      <c r="D127"/>
      <c r="J127" s="11"/>
      <c r="K127" s="11"/>
      <c r="L127" s="11"/>
      <c r="M127" s="11"/>
      <c r="N127" s="11"/>
      <c r="O127" s="11"/>
      <c r="P127" s="11"/>
    </row>
    <row r="128" spans="1:16" x14ac:dyDescent="0.2">
      <c r="A128" s="12" t="s">
        <v>56</v>
      </c>
      <c r="B128" s="140"/>
      <c r="C128" s="140"/>
      <c r="D128"/>
      <c r="J128" s="11"/>
      <c r="K128" s="11"/>
      <c r="L128" s="11"/>
      <c r="M128" s="11"/>
      <c r="N128" s="11"/>
      <c r="O128" s="11"/>
      <c r="P128" s="11"/>
    </row>
    <row r="129" spans="1:656" x14ac:dyDescent="0.2">
      <c r="A129" s="14" t="s">
        <v>116</v>
      </c>
      <c r="B129" s="10"/>
      <c r="D129"/>
    </row>
    <row r="130" spans="1:656" s="34" customFormat="1" x14ac:dyDescent="0.2">
      <c r="A130" s="44" t="s">
        <v>159</v>
      </c>
      <c r="B130" s="15"/>
      <c r="C130" s="15"/>
      <c r="D130" s="10"/>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28"/>
      <c r="BK130" s="28"/>
      <c r="BL130" s="28"/>
      <c r="BM130" s="28"/>
      <c r="BN130" s="28"/>
      <c r="BO130" s="28"/>
      <c r="BP130" s="28"/>
      <c r="BQ130" s="28"/>
      <c r="BR130" s="28"/>
      <c r="BS130" s="28"/>
      <c r="BT130" s="28"/>
      <c r="BU130" s="28"/>
      <c r="BV130" s="28"/>
      <c r="BW130" s="28"/>
      <c r="BX130" s="28"/>
      <c r="BY130" s="28"/>
      <c r="BZ130" s="28"/>
      <c r="CA130" s="28"/>
      <c r="CB130" s="28"/>
      <c r="CC130" s="28"/>
      <c r="CD130" s="28"/>
      <c r="CE130" s="28"/>
      <c r="CF130" s="28"/>
      <c r="CG130" s="28"/>
      <c r="CH130" s="28"/>
      <c r="CI130" s="28"/>
      <c r="CJ130" s="28"/>
      <c r="CK130" s="28"/>
      <c r="CL130" s="28"/>
      <c r="CM130" s="28"/>
      <c r="CN130" s="28"/>
      <c r="CO130" s="28"/>
      <c r="CP130" s="28"/>
      <c r="CQ130" s="28"/>
      <c r="CR130" s="28"/>
      <c r="CS130" s="28"/>
      <c r="CT130" s="28"/>
      <c r="CU130" s="28"/>
      <c r="CV130" s="28"/>
      <c r="CW130" s="28"/>
      <c r="CX130" s="28"/>
      <c r="CY130" s="28"/>
      <c r="CZ130" s="28"/>
      <c r="DA130" s="28"/>
      <c r="DB130" s="28"/>
      <c r="DC130" s="28"/>
      <c r="DD130" s="28"/>
      <c r="DE130" s="28"/>
      <c r="DF130" s="28"/>
      <c r="DG130" s="28"/>
      <c r="DH130" s="28"/>
      <c r="DI130" s="28"/>
      <c r="DJ130" s="28"/>
      <c r="DK130" s="28"/>
      <c r="DL130" s="28"/>
      <c r="DM130" s="28"/>
      <c r="DN130" s="28"/>
      <c r="DO130" s="28"/>
      <c r="DP130" s="28"/>
      <c r="DQ130" s="28"/>
      <c r="DR130" s="28"/>
      <c r="DS130" s="28"/>
      <c r="DT130" s="28"/>
      <c r="DU130" s="28"/>
      <c r="DV130" s="28"/>
      <c r="DW130" s="28"/>
      <c r="DX130" s="28"/>
      <c r="DY130" s="28"/>
      <c r="DZ130" s="28"/>
      <c r="EA130" s="28"/>
      <c r="EB130" s="28"/>
      <c r="EC130" s="28"/>
      <c r="ED130" s="28"/>
      <c r="EE130" s="28"/>
      <c r="EF130" s="28"/>
      <c r="EG130" s="28"/>
      <c r="EH130" s="28"/>
      <c r="EI130" s="28"/>
      <c r="EJ130" s="28"/>
      <c r="EK130" s="28"/>
      <c r="EL130" s="28"/>
      <c r="EM130" s="28"/>
      <c r="EN130" s="28"/>
      <c r="EO130" s="28"/>
      <c r="EP130" s="28"/>
      <c r="EQ130" s="28"/>
      <c r="ER130" s="28"/>
      <c r="ES130" s="28"/>
      <c r="ET130" s="28"/>
      <c r="EU130" s="28"/>
      <c r="EV130" s="28"/>
      <c r="EW130" s="28"/>
      <c r="EX130" s="28"/>
      <c r="EY130" s="28"/>
      <c r="EZ130" s="28"/>
      <c r="FA130" s="28"/>
      <c r="FB130" s="28"/>
      <c r="FC130" s="28"/>
      <c r="FD130" s="28"/>
      <c r="FE130" s="28"/>
      <c r="FF130" s="28"/>
      <c r="FG130" s="28"/>
      <c r="FH130" s="28"/>
      <c r="FI130" s="28"/>
      <c r="FJ130" s="28"/>
      <c r="FK130" s="28"/>
      <c r="FL130" s="28"/>
      <c r="FM130" s="28"/>
      <c r="FN130" s="28"/>
      <c r="FO130" s="28"/>
      <c r="FP130" s="28"/>
      <c r="FQ130" s="28"/>
      <c r="FR130" s="28"/>
      <c r="FS130" s="28"/>
      <c r="FT130" s="28"/>
      <c r="FU130" s="28"/>
      <c r="FV130" s="28"/>
      <c r="FW130" s="28"/>
      <c r="FX130" s="28"/>
      <c r="FY130" s="28"/>
      <c r="FZ130" s="28"/>
      <c r="GA130" s="28"/>
      <c r="GB130" s="28"/>
      <c r="GC130" s="28"/>
      <c r="GD130" s="28"/>
      <c r="GE130" s="28"/>
      <c r="GF130" s="28"/>
      <c r="GG130" s="28"/>
      <c r="GH130" s="28"/>
      <c r="GI130" s="28"/>
      <c r="GJ130" s="28"/>
      <c r="GK130" s="28"/>
      <c r="GL130" s="28"/>
      <c r="GM130" s="28"/>
      <c r="GN130" s="28"/>
      <c r="GO130" s="28"/>
      <c r="GP130" s="28"/>
      <c r="GQ130" s="28"/>
      <c r="GR130" s="28"/>
      <c r="GS130" s="28"/>
      <c r="GT130" s="28"/>
      <c r="GU130" s="28"/>
      <c r="GV130" s="28"/>
      <c r="GW130" s="28"/>
      <c r="GX130" s="28"/>
      <c r="GY130" s="28"/>
      <c r="GZ130" s="28"/>
      <c r="HA130" s="28"/>
      <c r="HB130" s="28"/>
      <c r="HC130" s="28"/>
      <c r="HD130" s="28"/>
      <c r="HE130" s="28"/>
      <c r="HF130" s="28"/>
      <c r="HG130" s="28"/>
      <c r="HH130" s="28"/>
      <c r="HI130" s="28"/>
      <c r="HJ130" s="28"/>
      <c r="HK130" s="28"/>
      <c r="HL130" s="28"/>
      <c r="HM130" s="28"/>
      <c r="HN130" s="28"/>
      <c r="HO130" s="28"/>
      <c r="HP130" s="28"/>
      <c r="HQ130" s="28"/>
      <c r="HR130" s="28"/>
      <c r="HS130" s="28"/>
      <c r="HT130" s="28"/>
      <c r="HU130" s="28"/>
      <c r="HV130" s="28"/>
      <c r="HW130" s="28"/>
      <c r="HX130" s="28"/>
      <c r="HY130" s="28"/>
      <c r="HZ130" s="28"/>
      <c r="IA130" s="28"/>
      <c r="IB130" s="28"/>
      <c r="IC130" s="28"/>
      <c r="ID130" s="28"/>
      <c r="IE130" s="28"/>
      <c r="IF130" s="28"/>
      <c r="IG130" s="28"/>
      <c r="IH130" s="28"/>
      <c r="II130" s="28"/>
      <c r="IJ130" s="28"/>
      <c r="IK130" s="28"/>
      <c r="IL130" s="28"/>
      <c r="IM130" s="28"/>
      <c r="IN130" s="28"/>
      <c r="IO130" s="28"/>
      <c r="IP130" s="28"/>
      <c r="IQ130" s="28"/>
      <c r="IR130" s="28"/>
      <c r="IS130" s="28"/>
      <c r="IT130" s="28"/>
      <c r="IU130" s="28"/>
      <c r="IV130" s="28"/>
      <c r="IW130" s="28"/>
      <c r="IX130" s="28"/>
      <c r="IY130" s="28"/>
      <c r="IZ130" s="28"/>
      <c r="JA130" s="28"/>
      <c r="JB130" s="28"/>
      <c r="JC130" s="28"/>
      <c r="JD130" s="28"/>
      <c r="JE130" s="28"/>
      <c r="JF130" s="28"/>
      <c r="JG130" s="28"/>
      <c r="JH130" s="28"/>
      <c r="JI130" s="28"/>
      <c r="JJ130" s="28"/>
      <c r="JK130" s="28"/>
      <c r="JL130" s="28"/>
      <c r="JM130" s="28"/>
      <c r="JN130" s="28"/>
      <c r="JO130" s="28"/>
      <c r="JP130" s="28"/>
      <c r="JQ130" s="28"/>
      <c r="JR130" s="28"/>
      <c r="JS130" s="28"/>
      <c r="JT130" s="28"/>
      <c r="JU130" s="28"/>
      <c r="JV130" s="28"/>
      <c r="JW130" s="28"/>
      <c r="JX130" s="28"/>
      <c r="JY130" s="28"/>
      <c r="JZ130" s="28"/>
      <c r="KA130" s="28"/>
      <c r="KB130" s="28"/>
      <c r="KC130" s="28"/>
      <c r="KD130" s="28"/>
      <c r="KE130" s="28"/>
      <c r="KF130" s="28"/>
      <c r="KG130" s="28"/>
      <c r="KH130" s="28"/>
      <c r="KI130" s="28"/>
      <c r="KJ130" s="28"/>
      <c r="KK130" s="28"/>
      <c r="KL130" s="28"/>
      <c r="KM130" s="28"/>
      <c r="KN130" s="28"/>
      <c r="KO130" s="28"/>
      <c r="KP130" s="28"/>
      <c r="KQ130" s="28"/>
      <c r="KR130" s="28"/>
      <c r="KS130" s="28"/>
      <c r="KT130" s="28"/>
      <c r="KU130" s="28"/>
      <c r="KV130" s="28"/>
      <c r="KW130" s="28"/>
      <c r="KX130" s="28"/>
      <c r="KY130" s="28"/>
      <c r="KZ130" s="28"/>
      <c r="LA130" s="28"/>
      <c r="LB130" s="28"/>
      <c r="LC130" s="28"/>
      <c r="LD130" s="28"/>
      <c r="LE130" s="28"/>
      <c r="LF130" s="28"/>
      <c r="LG130" s="28"/>
      <c r="LH130" s="28"/>
      <c r="LI130" s="28"/>
      <c r="LJ130" s="28"/>
      <c r="LK130" s="28"/>
      <c r="LL130" s="28"/>
      <c r="LM130" s="28"/>
      <c r="LN130" s="28"/>
      <c r="LO130" s="28"/>
      <c r="LP130" s="28"/>
      <c r="LQ130" s="28"/>
      <c r="LR130" s="28"/>
      <c r="LS130" s="28"/>
      <c r="LT130" s="28"/>
      <c r="LU130" s="28"/>
      <c r="LV130" s="28"/>
      <c r="LW130" s="28"/>
      <c r="LX130" s="28"/>
      <c r="LY130" s="28"/>
      <c r="LZ130" s="28"/>
      <c r="MA130" s="28"/>
      <c r="MB130" s="28"/>
      <c r="MC130" s="28"/>
      <c r="MD130" s="28"/>
      <c r="ME130" s="28"/>
      <c r="MF130" s="28"/>
      <c r="MG130" s="28"/>
      <c r="MH130" s="28"/>
      <c r="MI130" s="28"/>
      <c r="MJ130" s="28"/>
      <c r="MK130" s="28"/>
      <c r="ML130" s="28"/>
      <c r="MM130" s="28"/>
      <c r="MN130" s="28"/>
      <c r="MO130" s="28"/>
      <c r="MP130" s="28"/>
      <c r="MQ130" s="28"/>
      <c r="MR130" s="28"/>
      <c r="MS130" s="28"/>
      <c r="MT130" s="28"/>
      <c r="MU130" s="28"/>
      <c r="MV130" s="28"/>
      <c r="MW130" s="28"/>
      <c r="MX130" s="28"/>
      <c r="MY130" s="28"/>
      <c r="MZ130" s="28"/>
      <c r="NA130" s="28"/>
      <c r="NB130" s="28"/>
      <c r="NC130" s="28"/>
      <c r="ND130" s="28"/>
      <c r="NE130" s="28"/>
      <c r="NF130" s="28"/>
      <c r="NG130" s="28"/>
      <c r="NH130" s="28"/>
      <c r="NI130" s="28"/>
      <c r="NJ130" s="28"/>
      <c r="NK130" s="28"/>
      <c r="NL130" s="28"/>
      <c r="NM130" s="28"/>
      <c r="NN130" s="28"/>
      <c r="NO130" s="28"/>
      <c r="NP130" s="28"/>
      <c r="NQ130" s="28"/>
      <c r="NR130" s="28"/>
      <c r="NS130" s="28"/>
      <c r="NT130" s="28"/>
      <c r="NU130" s="28"/>
      <c r="NV130" s="28"/>
      <c r="NW130" s="28"/>
      <c r="NX130" s="28"/>
      <c r="NY130" s="28"/>
      <c r="NZ130" s="28"/>
      <c r="OA130" s="28"/>
      <c r="OB130" s="28"/>
      <c r="OC130" s="28"/>
      <c r="OD130" s="28"/>
      <c r="OE130" s="28"/>
      <c r="OF130" s="28"/>
      <c r="OG130" s="28"/>
      <c r="OH130" s="28"/>
      <c r="OI130" s="28"/>
      <c r="OJ130" s="28"/>
      <c r="OK130" s="28"/>
      <c r="OL130" s="28"/>
      <c r="OM130" s="28"/>
      <c r="ON130" s="28"/>
      <c r="OO130" s="28"/>
      <c r="OP130" s="28"/>
      <c r="OQ130" s="28"/>
      <c r="OR130" s="28"/>
      <c r="OS130" s="28"/>
      <c r="OT130" s="28"/>
      <c r="OU130" s="28"/>
      <c r="OV130" s="28"/>
      <c r="OW130" s="28"/>
      <c r="OX130" s="28"/>
      <c r="OY130" s="28"/>
      <c r="OZ130" s="28"/>
      <c r="PA130" s="28"/>
      <c r="PB130" s="28"/>
      <c r="PC130" s="28"/>
      <c r="PD130" s="28"/>
      <c r="PE130" s="28"/>
      <c r="PF130" s="28"/>
      <c r="PG130" s="28"/>
      <c r="PH130" s="28"/>
      <c r="PI130" s="28"/>
      <c r="PJ130" s="28"/>
      <c r="PK130" s="28"/>
      <c r="PL130" s="28"/>
      <c r="PM130" s="28"/>
      <c r="PN130" s="28"/>
      <c r="PO130" s="28"/>
      <c r="PP130" s="28"/>
      <c r="PQ130" s="28"/>
      <c r="PR130" s="28"/>
      <c r="PS130" s="28"/>
      <c r="PT130" s="28"/>
      <c r="PU130" s="28"/>
      <c r="PV130" s="28"/>
      <c r="PW130" s="28"/>
      <c r="PX130" s="28"/>
      <c r="PY130" s="28"/>
      <c r="PZ130" s="28"/>
      <c r="QA130" s="28"/>
      <c r="QB130" s="28"/>
      <c r="QC130" s="28"/>
      <c r="QD130" s="28"/>
      <c r="QE130" s="28"/>
      <c r="QF130" s="28"/>
      <c r="QG130" s="28"/>
      <c r="QH130" s="28"/>
      <c r="QI130" s="28"/>
      <c r="QJ130" s="28"/>
      <c r="QK130" s="28"/>
      <c r="QL130" s="28"/>
      <c r="QM130" s="28"/>
      <c r="QN130" s="28"/>
      <c r="QO130" s="28"/>
      <c r="QP130" s="28"/>
      <c r="QQ130" s="28"/>
      <c r="QR130" s="28"/>
      <c r="QS130" s="28"/>
      <c r="QT130" s="28"/>
      <c r="QU130" s="28"/>
      <c r="QV130" s="28"/>
      <c r="QW130" s="28"/>
      <c r="QX130" s="28"/>
      <c r="QY130" s="28"/>
      <c r="QZ130" s="28"/>
      <c r="RA130" s="28"/>
      <c r="RB130" s="28"/>
      <c r="RC130" s="28"/>
      <c r="RD130" s="28"/>
      <c r="RE130" s="28"/>
      <c r="RF130" s="28"/>
      <c r="RG130" s="28"/>
      <c r="RH130" s="28"/>
      <c r="RI130" s="28"/>
      <c r="RJ130" s="28"/>
      <c r="RK130" s="28"/>
      <c r="RL130" s="28"/>
      <c r="RM130" s="28"/>
      <c r="RN130" s="28"/>
      <c r="RO130" s="28"/>
      <c r="RP130" s="28"/>
      <c r="RQ130" s="28"/>
      <c r="RR130" s="28"/>
      <c r="RS130" s="28"/>
      <c r="RT130" s="28"/>
      <c r="RU130" s="28"/>
      <c r="RV130" s="28"/>
      <c r="RW130" s="28"/>
      <c r="RX130" s="28"/>
      <c r="RY130" s="28"/>
      <c r="RZ130" s="28"/>
      <c r="SA130" s="28"/>
      <c r="SB130" s="28"/>
      <c r="SC130" s="28"/>
      <c r="SD130" s="28"/>
      <c r="SE130" s="28"/>
      <c r="SF130" s="28"/>
      <c r="SG130" s="28"/>
      <c r="SH130" s="28"/>
      <c r="SI130" s="28"/>
      <c r="SJ130" s="28"/>
      <c r="SK130" s="28"/>
      <c r="SL130" s="28"/>
      <c r="SM130" s="28"/>
      <c r="SN130" s="28"/>
      <c r="SO130" s="28"/>
      <c r="SP130" s="28"/>
      <c r="SQ130" s="28"/>
      <c r="SR130" s="28"/>
      <c r="SS130" s="28"/>
      <c r="ST130" s="28"/>
      <c r="SU130" s="28"/>
      <c r="SV130" s="28"/>
      <c r="SW130" s="28"/>
      <c r="SX130" s="28"/>
      <c r="SY130" s="28"/>
      <c r="SZ130" s="28"/>
      <c r="TA130" s="28"/>
      <c r="TB130" s="28"/>
      <c r="TC130" s="28"/>
      <c r="TD130" s="28"/>
      <c r="TE130" s="28"/>
      <c r="TF130" s="28"/>
      <c r="TG130" s="28"/>
      <c r="TH130" s="28"/>
      <c r="TI130" s="28"/>
      <c r="TJ130" s="28"/>
      <c r="TK130" s="28"/>
      <c r="TL130" s="28"/>
      <c r="TM130" s="28"/>
      <c r="TN130" s="28"/>
      <c r="TO130" s="28"/>
      <c r="TP130" s="28"/>
      <c r="TQ130" s="28"/>
      <c r="TR130" s="28"/>
      <c r="TS130" s="28"/>
      <c r="TT130" s="28"/>
      <c r="TU130" s="28"/>
      <c r="TV130" s="28"/>
      <c r="TW130" s="28"/>
      <c r="TX130" s="28"/>
      <c r="TY130" s="28"/>
      <c r="TZ130" s="28"/>
      <c r="UA130" s="28"/>
      <c r="UB130" s="28"/>
      <c r="UC130" s="28"/>
      <c r="UD130" s="28"/>
      <c r="UE130" s="28"/>
      <c r="UF130" s="28"/>
      <c r="UG130" s="28"/>
      <c r="UH130" s="28"/>
      <c r="UI130" s="28"/>
      <c r="UJ130" s="28"/>
      <c r="UK130" s="28"/>
      <c r="UL130" s="28"/>
      <c r="UM130" s="28"/>
      <c r="UN130" s="28"/>
      <c r="UO130" s="28"/>
      <c r="UP130" s="28"/>
      <c r="UQ130" s="28"/>
      <c r="UR130" s="28"/>
      <c r="US130" s="28"/>
      <c r="UT130" s="28"/>
      <c r="UU130" s="28"/>
      <c r="UV130" s="28"/>
      <c r="UW130" s="28"/>
      <c r="UX130" s="28"/>
      <c r="UY130" s="28"/>
      <c r="UZ130" s="28"/>
      <c r="VA130" s="28"/>
      <c r="VB130" s="28"/>
      <c r="VC130" s="28"/>
      <c r="VD130" s="28"/>
      <c r="VE130" s="28"/>
      <c r="VF130" s="28"/>
      <c r="VG130" s="28"/>
      <c r="VH130" s="28"/>
      <c r="VI130" s="28"/>
      <c r="VJ130" s="28"/>
      <c r="VK130" s="28"/>
      <c r="VL130" s="28"/>
      <c r="VM130" s="28"/>
      <c r="VN130" s="28"/>
      <c r="VO130" s="28"/>
      <c r="VP130" s="28"/>
      <c r="VQ130" s="28"/>
      <c r="VR130" s="28"/>
      <c r="VS130" s="28"/>
      <c r="VT130" s="28"/>
      <c r="VU130" s="28"/>
      <c r="VV130" s="28"/>
      <c r="VW130" s="28"/>
      <c r="VX130" s="28"/>
      <c r="VY130" s="28"/>
      <c r="VZ130" s="28"/>
      <c r="WA130" s="28"/>
      <c r="WB130" s="28"/>
      <c r="WC130" s="28"/>
      <c r="WD130" s="28"/>
      <c r="WE130" s="28"/>
      <c r="WF130" s="28"/>
      <c r="WG130" s="28"/>
      <c r="WH130" s="28"/>
      <c r="WI130" s="28"/>
      <c r="WJ130" s="28"/>
      <c r="WK130" s="28"/>
      <c r="WL130" s="28"/>
      <c r="WM130" s="28"/>
      <c r="WN130" s="28"/>
      <c r="WO130" s="28"/>
      <c r="WP130" s="28"/>
      <c r="WQ130" s="28"/>
      <c r="WR130" s="28"/>
      <c r="WS130" s="28"/>
      <c r="WT130" s="28"/>
      <c r="WU130" s="28"/>
      <c r="WV130" s="28"/>
      <c r="WW130" s="28"/>
      <c r="WX130" s="28"/>
      <c r="WY130" s="28"/>
      <c r="WZ130" s="28"/>
      <c r="XA130" s="28"/>
      <c r="XB130" s="28"/>
      <c r="XC130" s="28"/>
      <c r="XD130" s="28"/>
      <c r="XE130" s="28"/>
      <c r="XF130" s="28"/>
      <c r="XG130" s="28"/>
      <c r="XH130" s="28"/>
      <c r="XI130" s="28"/>
      <c r="XJ130" s="28"/>
      <c r="XK130" s="28"/>
      <c r="XL130" s="28"/>
      <c r="XM130" s="28"/>
      <c r="XN130" s="28"/>
      <c r="XO130" s="28"/>
      <c r="XP130" s="28"/>
      <c r="XQ130" s="28"/>
      <c r="XR130" s="28"/>
      <c r="XS130" s="28"/>
      <c r="XT130" s="28"/>
      <c r="XU130" s="28"/>
      <c r="XV130" s="28"/>
      <c r="XW130" s="28"/>
      <c r="XX130" s="28"/>
      <c r="XY130" s="28"/>
      <c r="XZ130" s="28"/>
      <c r="YA130" s="28"/>
      <c r="YB130" s="28"/>
      <c r="YC130" s="28"/>
      <c r="YD130" s="28"/>
      <c r="YE130" s="28"/>
      <c r="YF130" s="28"/>
    </row>
    <row r="131" spans="1:656" x14ac:dyDescent="0.2">
      <c r="A131" s="11" t="s">
        <v>55</v>
      </c>
      <c r="B131" s="10"/>
      <c r="D131" s="11"/>
      <c r="E131" s="11"/>
      <c r="F131" s="11"/>
      <c r="G131" s="11"/>
      <c r="H131" s="11"/>
      <c r="I131" s="11"/>
    </row>
    <row r="132" spans="1:656" x14ac:dyDescent="0.2">
      <c r="A132" s="153" t="s">
        <v>111</v>
      </c>
      <c r="B132" s="141"/>
      <c r="D132"/>
    </row>
    <row r="133" spans="1:656" x14ac:dyDescent="0.2">
      <c r="A133" s="154" t="s">
        <v>112</v>
      </c>
      <c r="B133" s="10"/>
      <c r="D133"/>
    </row>
    <row r="134" spans="1:656" x14ac:dyDescent="0.2">
      <c r="B134" s="10"/>
      <c r="D134"/>
    </row>
  </sheetData>
  <mergeCells count="6">
    <mergeCell ref="K4:P5"/>
    <mergeCell ref="A4:A6"/>
    <mergeCell ref="B4:B6"/>
    <mergeCell ref="C4:C6"/>
    <mergeCell ref="D4:D6"/>
    <mergeCell ref="E4:J5"/>
  </mergeCells>
  <conditionalFormatting sqref="E62">
    <cfRule type="cellIs" dxfId="1" priority="2" operator="greaterThan">
      <formula>1.38</formula>
    </cfRule>
  </conditionalFormatting>
  <pageMargins left="0.7" right="0.7" top="0.75" bottom="0.75" header="0.3" footer="0.3"/>
  <pageSetup orientation="portrait" r:id="rId1"/>
  <headerFooter>
    <oddFooter>&amp;R_x000D_&amp;1#&amp;"Calibri"&amp;10&amp;K000000 Official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FF82B-3BC6-4C4C-8403-4A8E55D400F1}">
  <dimension ref="B1:AN26"/>
  <sheetViews>
    <sheetView zoomScale="82" zoomScaleNormal="82" workbookViewId="0">
      <selection activeCell="O47" sqref="O47"/>
    </sheetView>
  </sheetViews>
  <sheetFormatPr defaultColWidth="9.140625" defaultRowHeight="12.75" x14ac:dyDescent="0.2"/>
  <cols>
    <col min="1" max="16384" width="9.140625" style="2"/>
  </cols>
  <sheetData>
    <row r="1" spans="2:40" ht="18.75" x14ac:dyDescent="0.3">
      <c r="C1" s="326" t="s">
        <v>168</v>
      </c>
      <c r="D1" s="326"/>
      <c r="E1" s="326"/>
      <c r="F1" s="326"/>
      <c r="G1" s="326"/>
      <c r="H1" s="326"/>
      <c r="I1" s="326"/>
      <c r="J1" s="326"/>
      <c r="K1" s="326"/>
      <c r="L1" s="326"/>
      <c r="M1" s="326"/>
      <c r="N1" s="326"/>
      <c r="O1" s="326"/>
      <c r="P1" s="326"/>
    </row>
    <row r="3" spans="2:40" x14ac:dyDescent="0.2">
      <c r="B3" s="327" t="s">
        <v>267</v>
      </c>
      <c r="C3" s="327"/>
      <c r="D3" s="327"/>
      <c r="E3" s="327"/>
      <c r="F3" s="327"/>
      <c r="G3" s="327"/>
      <c r="H3" s="327"/>
      <c r="I3" s="327"/>
      <c r="J3" s="327"/>
      <c r="K3" s="327"/>
      <c r="L3" s="327"/>
      <c r="M3" s="327"/>
      <c r="N3" s="327"/>
      <c r="O3" s="327"/>
      <c r="P3" s="327"/>
      <c r="Q3" s="327"/>
      <c r="R3" s="327"/>
    </row>
    <row r="4" spans="2:40" ht="36" customHeight="1" x14ac:dyDescent="0.2">
      <c r="B4" s="327"/>
      <c r="C4" s="327"/>
      <c r="D4" s="327"/>
      <c r="E4" s="327"/>
      <c r="F4" s="327"/>
      <c r="G4" s="327"/>
      <c r="H4" s="327"/>
      <c r="I4" s="327"/>
      <c r="J4" s="327"/>
      <c r="K4" s="327"/>
      <c r="L4" s="327"/>
      <c r="M4" s="327"/>
      <c r="N4" s="327"/>
      <c r="O4" s="327"/>
      <c r="P4" s="327"/>
      <c r="Q4" s="327"/>
      <c r="R4" s="327"/>
    </row>
    <row r="5" spans="2:40" ht="21" x14ac:dyDescent="0.35">
      <c r="F5" s="375" t="s">
        <v>169</v>
      </c>
      <c r="G5" s="376"/>
      <c r="H5" s="376"/>
      <c r="I5" s="376"/>
      <c r="J5" s="376"/>
      <c r="K5" s="376"/>
      <c r="L5" s="376"/>
    </row>
    <row r="10" spans="2:40" ht="13.5" thickBot="1" x14ac:dyDescent="0.25"/>
    <row r="11" spans="2:40" ht="22.5" customHeight="1" x14ac:dyDescent="0.2">
      <c r="R11" s="328" t="s">
        <v>15</v>
      </c>
      <c r="S11" s="329"/>
      <c r="T11" s="329"/>
      <c r="U11" s="329"/>
      <c r="V11" s="329"/>
      <c r="W11" s="329"/>
      <c r="X11" s="329"/>
      <c r="Y11" s="329"/>
      <c r="Z11" s="330"/>
      <c r="AA11" s="3"/>
      <c r="AB11" s="3"/>
      <c r="AC11" s="3"/>
      <c r="AD11" s="3"/>
      <c r="AE11" s="3"/>
      <c r="AF11" s="3"/>
      <c r="AG11" s="3"/>
      <c r="AH11" s="3"/>
      <c r="AI11" s="3"/>
      <c r="AJ11" s="4"/>
      <c r="AK11" s="4"/>
      <c r="AL11" s="4"/>
      <c r="AM11" s="4"/>
      <c r="AN11" s="4"/>
    </row>
    <row r="12" spans="2:40" ht="22.5" customHeight="1" x14ac:dyDescent="0.2">
      <c r="R12" s="331" t="s">
        <v>16</v>
      </c>
      <c r="S12" s="321"/>
      <c r="T12" s="321"/>
      <c r="U12" s="321"/>
      <c r="V12" s="321"/>
      <c r="W12" s="321"/>
      <c r="X12" s="321"/>
      <c r="Y12" s="321"/>
      <c r="Z12" s="332"/>
      <c r="AA12" s="3"/>
      <c r="AB12" s="3"/>
      <c r="AC12" s="3"/>
      <c r="AD12" s="3"/>
      <c r="AE12" s="3"/>
      <c r="AF12" s="3"/>
      <c r="AG12" s="3"/>
      <c r="AH12" s="3"/>
      <c r="AI12" s="3"/>
      <c r="AJ12" s="4"/>
      <c r="AK12" s="4"/>
      <c r="AL12" s="4"/>
      <c r="AM12" s="4"/>
      <c r="AN12" s="4"/>
    </row>
    <row r="13" spans="2:40" ht="22.5" customHeight="1" x14ac:dyDescent="0.2">
      <c r="R13" s="331" t="s">
        <v>17</v>
      </c>
      <c r="S13" s="321"/>
      <c r="T13" s="321"/>
      <c r="U13" s="321"/>
      <c r="V13" s="321"/>
      <c r="W13" s="321"/>
      <c r="X13" s="321"/>
      <c r="Y13" s="321"/>
      <c r="Z13" s="332"/>
      <c r="AA13" s="3"/>
      <c r="AB13" s="3"/>
      <c r="AC13" s="3"/>
      <c r="AD13" s="3"/>
      <c r="AE13" s="3"/>
      <c r="AF13" s="3"/>
      <c r="AG13" s="3"/>
      <c r="AH13" s="3"/>
      <c r="AI13" s="3"/>
      <c r="AJ13" s="4"/>
      <c r="AK13" s="4"/>
      <c r="AL13" s="4"/>
      <c r="AM13" s="4"/>
      <c r="AN13" s="4"/>
    </row>
    <row r="14" spans="2:40" ht="39.75" customHeight="1" thickBot="1" x14ac:dyDescent="0.25">
      <c r="R14" s="323" t="s">
        <v>170</v>
      </c>
      <c r="S14" s="324"/>
      <c r="T14" s="324"/>
      <c r="U14" s="324"/>
      <c r="V14" s="324"/>
      <c r="W14" s="324"/>
      <c r="X14" s="324"/>
      <c r="Y14" s="324"/>
      <c r="Z14" s="325"/>
      <c r="AA14" s="3"/>
      <c r="AB14" s="3"/>
      <c r="AC14" s="3"/>
      <c r="AD14" s="3"/>
      <c r="AE14" s="3"/>
      <c r="AF14" s="3"/>
      <c r="AG14" s="3"/>
      <c r="AH14" s="3"/>
      <c r="AI14" s="3"/>
      <c r="AJ14" s="4"/>
      <c r="AK14" s="4"/>
      <c r="AL14" s="4"/>
      <c r="AM14" s="4"/>
      <c r="AN14" s="4"/>
    </row>
    <row r="15" spans="2:40" ht="28.5" customHeight="1" x14ac:dyDescent="0.2">
      <c r="R15" s="5"/>
      <c r="S15" s="5"/>
      <c r="T15" s="5"/>
      <c r="U15" s="5"/>
      <c r="V15" s="5"/>
      <c r="W15" s="5"/>
      <c r="X15" s="5"/>
      <c r="Y15" s="5"/>
      <c r="Z15" s="5"/>
      <c r="AA15" s="6"/>
      <c r="AB15" s="6"/>
      <c r="AC15" s="6"/>
      <c r="AD15" s="6"/>
      <c r="AE15" s="6"/>
      <c r="AF15" s="6"/>
      <c r="AG15" s="6"/>
      <c r="AH15" s="3"/>
      <c r="AI15" s="3"/>
      <c r="AJ15" s="4"/>
      <c r="AK15" s="4"/>
      <c r="AL15" s="4"/>
      <c r="AM15" s="4"/>
      <c r="AN15" s="4"/>
    </row>
    <row r="16" spans="2:40" ht="64.5" customHeight="1" x14ac:dyDescent="0.2">
      <c r="R16" s="5"/>
      <c r="S16" s="5"/>
      <c r="T16" s="5"/>
      <c r="U16" s="5"/>
      <c r="V16" s="5"/>
      <c r="W16" s="5"/>
      <c r="X16" s="5"/>
      <c r="Y16" s="5"/>
      <c r="Z16" s="5"/>
      <c r="AA16" s="3"/>
      <c r="AB16" s="3"/>
      <c r="AC16" s="3"/>
      <c r="AD16" s="3"/>
      <c r="AE16" s="3"/>
      <c r="AF16" s="3"/>
      <c r="AG16" s="3"/>
      <c r="AH16" s="3"/>
      <c r="AI16" s="3"/>
      <c r="AJ16" s="4"/>
      <c r="AK16" s="4"/>
      <c r="AL16" s="4"/>
      <c r="AM16" s="4"/>
      <c r="AN16" s="4"/>
    </row>
    <row r="17" spans="18:40" ht="54.75" customHeight="1" x14ac:dyDescent="0.2">
      <c r="AA17" s="321"/>
      <c r="AB17" s="321"/>
      <c r="AC17" s="321"/>
      <c r="AD17" s="321"/>
      <c r="AE17" s="321"/>
      <c r="AF17" s="321"/>
      <c r="AG17" s="321"/>
      <c r="AH17" s="321"/>
      <c r="AI17" s="321"/>
      <c r="AJ17" s="322"/>
      <c r="AK17" s="322"/>
      <c r="AL17" s="322"/>
      <c r="AM17" s="322"/>
      <c r="AN17" s="322"/>
    </row>
    <row r="18" spans="18:40" ht="34.5" customHeight="1" x14ac:dyDescent="0.2">
      <c r="AA18" s="321"/>
      <c r="AB18" s="321"/>
      <c r="AC18" s="321"/>
      <c r="AD18" s="321"/>
      <c r="AE18" s="321"/>
      <c r="AF18" s="321"/>
      <c r="AG18" s="321"/>
      <c r="AH18" s="321"/>
      <c r="AI18" s="321"/>
      <c r="AJ18" s="322"/>
      <c r="AK18" s="322"/>
      <c r="AL18" s="322"/>
      <c r="AM18" s="322"/>
      <c r="AN18" s="322"/>
    </row>
    <row r="19" spans="18:40" ht="43.5" customHeight="1" thickBot="1" x14ac:dyDescent="0.25">
      <c r="AA19" s="321"/>
      <c r="AB19" s="321"/>
      <c r="AC19" s="321"/>
      <c r="AD19" s="321"/>
      <c r="AE19" s="321"/>
      <c r="AF19" s="321"/>
      <c r="AG19" s="321"/>
      <c r="AH19" s="321"/>
      <c r="AI19" s="321"/>
      <c r="AJ19" s="322"/>
      <c r="AK19" s="322"/>
      <c r="AL19" s="322"/>
      <c r="AM19" s="322"/>
      <c r="AN19" s="322"/>
    </row>
    <row r="20" spans="18:40" s="7" customFormat="1" ht="45" customHeight="1" x14ac:dyDescent="0.2">
      <c r="R20" s="312" t="s">
        <v>266</v>
      </c>
      <c r="S20" s="313"/>
      <c r="T20" s="313"/>
      <c r="U20" s="313"/>
      <c r="V20" s="313"/>
      <c r="W20" s="313"/>
      <c r="X20" s="313"/>
      <c r="Y20" s="313"/>
      <c r="Z20" s="314"/>
    </row>
    <row r="21" spans="18:40" s="7" customFormat="1" ht="76.5" customHeight="1" x14ac:dyDescent="0.2">
      <c r="R21" s="315" t="s">
        <v>130</v>
      </c>
      <c r="S21" s="316"/>
      <c r="T21" s="316"/>
      <c r="U21" s="316"/>
      <c r="V21" s="316"/>
      <c r="W21" s="316"/>
      <c r="X21" s="316"/>
      <c r="Y21" s="316"/>
      <c r="Z21" s="317"/>
      <c r="AA21" s="8"/>
      <c r="AB21" s="8"/>
    </row>
    <row r="22" spans="18:40" ht="98.25" customHeight="1" thickBot="1" x14ac:dyDescent="0.25">
      <c r="R22" s="318" t="s">
        <v>131</v>
      </c>
      <c r="S22" s="319"/>
      <c r="T22" s="319"/>
      <c r="U22" s="319"/>
      <c r="V22" s="319"/>
      <c r="W22" s="319"/>
      <c r="X22" s="319"/>
      <c r="Y22" s="319"/>
      <c r="Z22" s="320"/>
    </row>
    <row r="23" spans="18:40" ht="41.25" customHeight="1" x14ac:dyDescent="0.2">
      <c r="R23" s="229"/>
    </row>
    <row r="24" spans="18:40" ht="66.75" customHeight="1" x14ac:dyDescent="0.2"/>
    <row r="26" spans="18:40" ht="12.75" customHeight="1" x14ac:dyDescent="0.2"/>
  </sheetData>
  <mergeCells count="16">
    <mergeCell ref="R13:Z13"/>
    <mergeCell ref="F5:L5"/>
    <mergeCell ref="C1:P1"/>
    <mergeCell ref="B3:R4"/>
    <mergeCell ref="R11:Z11"/>
    <mergeCell ref="R12:Z12"/>
    <mergeCell ref="AJ17:AN17"/>
    <mergeCell ref="AA18:AI18"/>
    <mergeCell ref="AJ18:AN18"/>
    <mergeCell ref="AA19:AI19"/>
    <mergeCell ref="AJ19:AN19"/>
    <mergeCell ref="R20:Z20"/>
    <mergeCell ref="R21:Z21"/>
    <mergeCell ref="R22:Z22"/>
    <mergeCell ref="R14:Z14"/>
    <mergeCell ref="AA17:AI17"/>
  </mergeCells>
  <pageMargins left="0.7" right="0.7" top="0.75" bottom="0.75" header="0.3" footer="0.3"/>
  <pageSetup paperSize="9" orientation="portrait" r:id="rId1"/>
  <headerFooter>
    <oddFooter>&amp;R_x000D_&amp;1#&amp;"Calibri"&amp;10&amp;K000000 Official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32A0A-9D4F-4D41-9D11-32BF3EF0C060}">
  <dimension ref="A1:AU33"/>
  <sheetViews>
    <sheetView zoomScale="70" zoomScaleNormal="70" workbookViewId="0">
      <pane xSplit="2" ySplit="5" topLeftCell="C6" activePane="bottomRight" state="frozen"/>
      <selection activeCell="A2" sqref="A2"/>
      <selection pane="topRight" activeCell="C2" sqref="C2"/>
      <selection pane="bottomLeft" activeCell="A7" sqref="A7"/>
      <selection pane="bottomRight" activeCell="C7" sqref="C7:C17"/>
    </sheetView>
  </sheetViews>
  <sheetFormatPr defaultColWidth="9.140625" defaultRowHeight="12.75" x14ac:dyDescent="0.2"/>
  <cols>
    <col min="1" max="1" width="16.42578125" style="15" customWidth="1"/>
    <col min="2" max="2" width="21.5703125" style="16" customWidth="1"/>
    <col min="3" max="3" width="17.7109375" style="16" customWidth="1"/>
    <col min="4" max="4" width="22" style="16" customWidth="1"/>
    <col min="5" max="5" width="12.42578125" style="16" customWidth="1"/>
    <col min="6" max="6" width="11.85546875" style="16" customWidth="1"/>
    <col min="7" max="8" width="15.42578125" style="16" customWidth="1"/>
    <col min="9" max="9" width="12.42578125" style="16" customWidth="1"/>
    <col min="10" max="13" width="15.140625" style="16" customWidth="1"/>
    <col min="14" max="14" width="8.42578125" style="16" customWidth="1"/>
    <col min="15" max="16" width="16.42578125" style="16" customWidth="1"/>
    <col min="17" max="17" width="8.42578125" style="16" customWidth="1"/>
    <col min="18" max="18" width="9.42578125" style="16" customWidth="1"/>
    <col min="19" max="19" width="12" style="16" customWidth="1"/>
    <col min="20" max="20" width="9.42578125" style="16" customWidth="1"/>
    <col min="21" max="21" width="8.140625" style="16" customWidth="1"/>
    <col min="22" max="22" width="10.7109375" style="16" customWidth="1"/>
    <col min="23" max="23" width="9.5703125" style="16" customWidth="1"/>
    <col min="24" max="24" width="8.140625" style="16" customWidth="1"/>
    <col min="25" max="25" width="6.7109375" style="15" customWidth="1"/>
    <col min="26" max="26" width="9.5703125" style="15" customWidth="1"/>
    <col min="27" max="27" width="8.140625" style="15" customWidth="1"/>
    <col min="28" max="28" width="7.85546875" style="15" customWidth="1"/>
    <col min="29" max="29" width="7.28515625" style="15" customWidth="1"/>
    <col min="30" max="30" width="9.140625" style="15" customWidth="1"/>
    <col min="31" max="16384" width="9.140625" style="15"/>
  </cols>
  <sheetData>
    <row r="1" spans="1:24" s="59" customFormat="1" ht="18" x14ac:dyDescent="0.2">
      <c r="A1" s="58" t="s">
        <v>204</v>
      </c>
      <c r="D1" s="60"/>
      <c r="E1" s="60"/>
      <c r="F1" s="60"/>
      <c r="G1" s="60"/>
      <c r="H1" s="60"/>
      <c r="I1" s="60"/>
      <c r="J1" s="60"/>
      <c r="K1" s="60"/>
      <c r="L1" s="60"/>
      <c r="M1" s="60"/>
      <c r="N1" s="60"/>
      <c r="O1" s="60"/>
      <c r="P1" s="60"/>
      <c r="Q1" s="60"/>
      <c r="R1" s="60"/>
    </row>
    <row r="2" spans="1:24" s="234" customFormat="1" x14ac:dyDescent="0.2">
      <c r="A2" s="67" t="s">
        <v>187</v>
      </c>
      <c r="B2" s="194"/>
      <c r="C2" s="194"/>
      <c r="D2" s="194"/>
      <c r="E2" s="194"/>
      <c r="F2" s="194"/>
      <c r="G2" s="194"/>
      <c r="H2" s="194"/>
      <c r="I2" s="194"/>
      <c r="J2" s="194"/>
      <c r="K2" s="194"/>
      <c r="L2" s="194"/>
      <c r="M2" s="194"/>
      <c r="N2" s="194"/>
      <c r="O2" s="246"/>
      <c r="P2" s="246"/>
      <c r="Q2" s="246"/>
      <c r="R2" s="246"/>
    </row>
    <row r="3" spans="1:24" x14ac:dyDescent="0.2">
      <c r="B3" s="15"/>
      <c r="C3" s="77"/>
      <c r="D3" s="50"/>
      <c r="Q3" s="15"/>
      <c r="R3" s="15"/>
      <c r="S3" s="15"/>
      <c r="T3" s="15"/>
      <c r="U3" s="15"/>
      <c r="V3" s="15"/>
      <c r="W3" s="15"/>
      <c r="X3" s="15"/>
    </row>
    <row r="4" spans="1:24" s="72" customFormat="1" ht="18.75" customHeight="1" x14ac:dyDescent="0.2">
      <c r="A4" s="357" t="s">
        <v>127</v>
      </c>
      <c r="B4" s="345" t="s">
        <v>157</v>
      </c>
      <c r="C4" s="377" t="s">
        <v>149</v>
      </c>
      <c r="D4" s="335" t="s">
        <v>101</v>
      </c>
      <c r="E4" s="155"/>
      <c r="F4" s="337" t="s">
        <v>218</v>
      </c>
      <c r="G4" s="338"/>
      <c r="H4" s="338"/>
      <c r="I4" s="337" t="s">
        <v>219</v>
      </c>
      <c r="J4" s="338"/>
      <c r="K4" s="338"/>
      <c r="L4" s="338"/>
      <c r="M4" s="338"/>
      <c r="N4" s="340" t="s">
        <v>220</v>
      </c>
      <c r="O4" s="341"/>
      <c r="P4" s="342"/>
    </row>
    <row r="5" spans="1:24" s="73" customFormat="1" ht="52.5" customHeight="1" x14ac:dyDescent="0.25">
      <c r="A5" s="358"/>
      <c r="B5" s="346"/>
      <c r="C5" s="378"/>
      <c r="D5" s="336"/>
      <c r="E5" s="146" t="s">
        <v>188</v>
      </c>
      <c r="F5" s="131" t="s">
        <v>189</v>
      </c>
      <c r="G5" s="250" t="s">
        <v>3</v>
      </c>
      <c r="H5" s="75" t="s">
        <v>4</v>
      </c>
      <c r="I5" s="116" t="s">
        <v>190</v>
      </c>
      <c r="J5" s="250" t="s">
        <v>5</v>
      </c>
      <c r="K5" s="250" t="s">
        <v>6</v>
      </c>
      <c r="L5" s="250" t="s">
        <v>7</v>
      </c>
      <c r="M5" s="75" t="s">
        <v>8</v>
      </c>
      <c r="N5" s="116" t="s">
        <v>191</v>
      </c>
      <c r="O5" s="250" t="s">
        <v>9</v>
      </c>
      <c r="P5" s="89" t="s">
        <v>10</v>
      </c>
    </row>
    <row r="6" spans="1:24" x14ac:dyDescent="0.2">
      <c r="A6" s="233"/>
      <c r="B6" s="248" t="s">
        <v>129</v>
      </c>
      <c r="C6" s="245"/>
      <c r="D6" s="233"/>
      <c r="E6" s="254"/>
      <c r="F6" s="172"/>
      <c r="G6" s="257"/>
      <c r="H6" s="258"/>
      <c r="I6" s="172"/>
      <c r="J6" s="257"/>
      <c r="K6" s="258"/>
      <c r="L6" s="258"/>
      <c r="M6" s="91"/>
      <c r="N6" s="172"/>
      <c r="O6" s="258"/>
      <c r="P6" s="258"/>
      <c r="Q6" s="27"/>
      <c r="R6" s="15"/>
      <c r="S6" s="15"/>
      <c r="T6" s="15"/>
      <c r="U6" s="15"/>
      <c r="V6" s="15"/>
      <c r="W6" s="15"/>
      <c r="X6" s="15"/>
    </row>
    <row r="7" spans="1:24" x14ac:dyDescent="0.2">
      <c r="A7" s="169" t="s">
        <v>208</v>
      </c>
      <c r="B7" s="66" t="s">
        <v>171</v>
      </c>
      <c r="C7" s="85" t="s">
        <v>134</v>
      </c>
      <c r="D7" s="252">
        <v>43466</v>
      </c>
      <c r="E7" s="254">
        <f>IF(AND(G7=".",H7=".",J7=".",K7=".",L7=".",M7=".",O7=".",P7="."),".",AVERAGE(G7,H7,J7,K7,L7,M7,O7,P7))</f>
        <v>1.7638365067541599</v>
      </c>
      <c r="F7" s="172">
        <v>2.6031746864318852</v>
      </c>
      <c r="G7" s="257">
        <v>2.428571462631226</v>
      </c>
      <c r="H7" s="258">
        <v>2.7777776718139648</v>
      </c>
      <c r="I7" s="172">
        <v>2.1830358505249019</v>
      </c>
      <c r="J7" s="257">
        <v>4.7142858505249023</v>
      </c>
      <c r="K7" s="258">
        <v>1</v>
      </c>
      <c r="L7" s="258">
        <v>2.1428570747375488</v>
      </c>
      <c r="M7" s="91">
        <v>0.875</v>
      </c>
      <c r="N7" s="172">
        <v>8.6099997162818909E-2</v>
      </c>
      <c r="O7" s="258">
        <v>0.17219999432563779</v>
      </c>
      <c r="P7" s="258">
        <v>0</v>
      </c>
      <c r="Q7" s="27"/>
      <c r="R7" s="15"/>
      <c r="S7" s="15"/>
      <c r="T7" s="15"/>
      <c r="U7" s="15"/>
      <c r="V7" s="15"/>
      <c r="W7" s="15"/>
      <c r="X7" s="15"/>
    </row>
    <row r="8" spans="1:24" x14ac:dyDescent="0.2">
      <c r="A8" s="169" t="s">
        <v>209</v>
      </c>
      <c r="B8" s="66" t="s">
        <v>172</v>
      </c>
      <c r="C8" s="85" t="s">
        <v>134</v>
      </c>
      <c r="D8" s="252">
        <v>44197</v>
      </c>
      <c r="E8" s="254">
        <f>IF(AND(G8=".",H8=".",J8=".",K8=".",L8=".",M8=".",O8=".",P8="."),".",AVERAGE(G8,H8,J8,K8,L8,M8,O8,P8))</f>
        <v>3.3524118917328969</v>
      </c>
      <c r="F8" s="172">
        <v>5.1607141494750977</v>
      </c>
      <c r="G8" s="257">
        <v>5.0714287757873544</v>
      </c>
      <c r="H8" s="258">
        <v>5.25</v>
      </c>
      <c r="I8" s="172">
        <v>1.5151515007019041</v>
      </c>
      <c r="J8" s="257" t="s">
        <v>173</v>
      </c>
      <c r="K8" s="258">
        <v>0.54545456171035767</v>
      </c>
      <c r="L8" s="258">
        <v>2</v>
      </c>
      <c r="M8" s="91">
        <v>2</v>
      </c>
      <c r="N8" s="172">
        <v>4.3000001907348633</v>
      </c>
      <c r="O8" s="258">
        <v>5.0999999046325684</v>
      </c>
      <c r="P8" s="258">
        <v>3.5</v>
      </c>
      <c r="Q8" s="27"/>
      <c r="R8" s="15"/>
      <c r="S8" s="15"/>
      <c r="T8" s="15"/>
      <c r="U8" s="15"/>
      <c r="V8" s="15"/>
      <c r="W8" s="15"/>
      <c r="X8" s="15"/>
    </row>
    <row r="9" spans="1:24" x14ac:dyDescent="0.2">
      <c r="A9" s="169" t="s">
        <v>210</v>
      </c>
      <c r="B9" s="66" t="s">
        <v>192</v>
      </c>
      <c r="C9" s="85" t="s">
        <v>133</v>
      </c>
      <c r="D9" s="252">
        <v>43101</v>
      </c>
      <c r="E9" s="254">
        <v>2.5995297282934189</v>
      </c>
      <c r="F9" s="172">
        <v>2.6607141494750981</v>
      </c>
      <c r="G9" s="257">
        <v>2.821428537368774</v>
      </c>
      <c r="H9" s="258">
        <v>2.5</v>
      </c>
      <c r="I9" s="172">
        <v>2.3922023773193359</v>
      </c>
      <c r="J9" s="257">
        <v>3</v>
      </c>
      <c r="K9" s="258">
        <v>3.086666584014893</v>
      </c>
      <c r="L9" s="258">
        <v>1.3571428060531621</v>
      </c>
      <c r="M9" s="91">
        <v>2.125</v>
      </c>
      <c r="N9" s="172">
        <v>2.9530000686645508</v>
      </c>
      <c r="O9" s="258">
        <v>3.6059999465942378</v>
      </c>
      <c r="P9" s="258">
        <v>2.2999999523162842</v>
      </c>
      <c r="Q9" s="27"/>
      <c r="R9" s="15"/>
      <c r="S9" s="15"/>
      <c r="T9" s="15"/>
      <c r="U9" s="15"/>
      <c r="V9" s="15"/>
      <c r="W9" s="15"/>
      <c r="X9" s="15"/>
    </row>
    <row r="10" spans="1:24" x14ac:dyDescent="0.2">
      <c r="A10" s="169"/>
      <c r="B10" s="66" t="s">
        <v>174</v>
      </c>
      <c r="C10" s="85" t="s">
        <v>134</v>
      </c>
      <c r="D10" s="252">
        <v>43831</v>
      </c>
      <c r="E10" s="254">
        <f t="shared" ref="E10:E17" si="0">IF(AND(G10=".",H10=".",J10=".",K10=".",L10=".",M10=".",O10=".",P10="."),".",AVERAGE(G10,H10,J10,K10,L10,M10,O10,P10))</f>
        <v>1.8220237890879314</v>
      </c>
      <c r="F10" s="172">
        <v>1.8571428060531621</v>
      </c>
      <c r="G10" s="257">
        <v>1.8571428060531621</v>
      </c>
      <c r="H10" s="258" t="s">
        <v>173</v>
      </c>
      <c r="I10" s="172">
        <v>2</v>
      </c>
      <c r="J10" s="257">
        <v>3</v>
      </c>
      <c r="K10" s="258">
        <v>2</v>
      </c>
      <c r="L10" s="258">
        <v>1</v>
      </c>
      <c r="M10" s="91" t="s">
        <v>173</v>
      </c>
      <c r="N10" s="172">
        <v>1.5374999046325679</v>
      </c>
      <c r="O10" s="258">
        <v>0.97500002384185791</v>
      </c>
      <c r="P10" s="258">
        <v>2.0999999046325679</v>
      </c>
      <c r="Q10" s="27"/>
      <c r="R10" s="15"/>
      <c r="S10" s="15"/>
      <c r="T10" s="15"/>
      <c r="U10" s="15"/>
      <c r="V10" s="15"/>
      <c r="W10" s="15"/>
      <c r="X10" s="15"/>
    </row>
    <row r="11" spans="1:24" ht="14.25" x14ac:dyDescent="0.2">
      <c r="A11" s="169" t="s">
        <v>211</v>
      </c>
      <c r="B11" s="66" t="s">
        <v>175</v>
      </c>
      <c r="C11" s="85" t="s">
        <v>134</v>
      </c>
      <c r="D11" s="252">
        <v>43831</v>
      </c>
      <c r="E11" s="254">
        <f t="shared" si="0"/>
        <v>2.7872337773442268</v>
      </c>
      <c r="F11" s="172">
        <v>4.0142087936401367</v>
      </c>
      <c r="G11" s="257">
        <v>4.7225713729858398</v>
      </c>
      <c r="H11" s="258">
        <v>3.305846214294434</v>
      </c>
      <c r="I11" s="172">
        <v>2.831863164901733</v>
      </c>
      <c r="J11" s="257">
        <v>3.428571462631226</v>
      </c>
      <c r="K11" s="258">
        <v>2.8180000782012939</v>
      </c>
      <c r="L11" s="258">
        <v>2.2857143878936772</v>
      </c>
      <c r="M11" s="91">
        <v>2.7951667308807369</v>
      </c>
      <c r="N11" s="172">
        <v>1.470999956130981</v>
      </c>
      <c r="O11" s="258">
        <v>1.984799981117249</v>
      </c>
      <c r="P11" s="258">
        <v>0.95719999074935913</v>
      </c>
      <c r="Q11" s="27"/>
      <c r="R11" s="15"/>
      <c r="S11" s="15"/>
      <c r="T11" s="15"/>
      <c r="U11" s="15"/>
      <c r="V11" s="15"/>
      <c r="W11" s="15"/>
      <c r="X11" s="15"/>
    </row>
    <row r="12" spans="1:24" x14ac:dyDescent="0.2">
      <c r="A12" s="169" t="s">
        <v>212</v>
      </c>
      <c r="B12" s="66" t="s">
        <v>176</v>
      </c>
      <c r="C12" s="85" t="s">
        <v>134</v>
      </c>
      <c r="D12" s="252">
        <v>43466</v>
      </c>
      <c r="E12" s="254">
        <f t="shared" si="0"/>
        <v>2.3712239414453506</v>
      </c>
      <c r="F12" s="172">
        <v>1.7723956108093259</v>
      </c>
      <c r="G12" s="257">
        <v>2.0357143878936772</v>
      </c>
      <c r="H12" s="258">
        <v>1.5090769529342649</v>
      </c>
      <c r="I12" s="172">
        <v>2.9375</v>
      </c>
      <c r="J12" s="257">
        <v>5.5714287757873544</v>
      </c>
      <c r="K12" s="258">
        <v>2.25</v>
      </c>
      <c r="L12" s="258">
        <v>1.428571462631226</v>
      </c>
      <c r="M12" s="91">
        <v>2.5</v>
      </c>
      <c r="N12" s="172">
        <v>1.8374999761581421</v>
      </c>
      <c r="O12" s="258">
        <v>1.875</v>
      </c>
      <c r="P12" s="258">
        <v>1.799999952316284</v>
      </c>
      <c r="Q12" s="27"/>
      <c r="R12" s="15"/>
      <c r="S12" s="15"/>
      <c r="T12" s="15"/>
      <c r="U12" s="15"/>
      <c r="V12" s="15"/>
      <c r="W12" s="15"/>
      <c r="X12" s="15"/>
    </row>
    <row r="13" spans="1:24" x14ac:dyDescent="0.2">
      <c r="A13" s="169" t="s">
        <v>213</v>
      </c>
      <c r="B13" s="66" t="s">
        <v>177</v>
      </c>
      <c r="C13" s="85" t="s">
        <v>134</v>
      </c>
      <c r="D13" s="252">
        <v>44562</v>
      </c>
      <c r="E13" s="254">
        <f t="shared" si="0"/>
        <v>2.7196915745735168</v>
      </c>
      <c r="F13" s="172">
        <v>3.522571325302124</v>
      </c>
      <c r="G13" s="257">
        <v>3.522571325302124</v>
      </c>
      <c r="H13" s="258" t="s">
        <v>173</v>
      </c>
      <c r="I13" s="172">
        <v>3.5600674152374272</v>
      </c>
      <c r="J13" s="257">
        <v>4.6118569374084473</v>
      </c>
      <c r="K13" s="258">
        <v>4.25</v>
      </c>
      <c r="L13" s="258">
        <v>2.1428570747375488</v>
      </c>
      <c r="M13" s="91">
        <v>3.2355556488037109</v>
      </c>
      <c r="N13" s="172">
        <v>0.63750004768371582</v>
      </c>
      <c r="O13" s="258">
        <v>0.67500001192092896</v>
      </c>
      <c r="P13" s="258">
        <v>0.60000002384185791</v>
      </c>
      <c r="Q13" s="27"/>
      <c r="R13" s="15"/>
      <c r="S13" s="15"/>
      <c r="T13" s="15"/>
      <c r="U13" s="15"/>
      <c r="V13" s="15"/>
      <c r="W13" s="15"/>
      <c r="X13" s="15"/>
    </row>
    <row r="14" spans="1:24" x14ac:dyDescent="0.2">
      <c r="A14" s="169" t="s">
        <v>214</v>
      </c>
      <c r="B14" s="66" t="s">
        <v>205</v>
      </c>
      <c r="C14" s="85" t="s">
        <v>133</v>
      </c>
      <c r="D14" s="252">
        <v>43101</v>
      </c>
      <c r="E14" s="254">
        <v>3.0432802736759186</v>
      </c>
      <c r="F14" s="172">
        <v>3.312012910842896</v>
      </c>
      <c r="G14" s="257">
        <v>2.7896924018859859</v>
      </c>
      <c r="H14" s="258">
        <v>3.8343334197998051</v>
      </c>
      <c r="I14" s="172">
        <v>2.476054191589355</v>
      </c>
      <c r="J14" s="257">
        <v>4.1999998092651367</v>
      </c>
      <c r="K14" s="258">
        <v>2.5873334407806401</v>
      </c>
      <c r="L14" s="258">
        <v>1.071428537368774</v>
      </c>
      <c r="M14" s="91">
        <v>2.0454545021057129</v>
      </c>
      <c r="N14" s="172">
        <v>3.908999919891357</v>
      </c>
      <c r="O14" s="258">
        <v>5.1180000305175781</v>
      </c>
      <c r="P14" s="258">
        <v>2.7000000476837158</v>
      </c>
      <c r="Q14" s="27"/>
      <c r="R14" s="15"/>
      <c r="S14" s="15"/>
      <c r="T14" s="15"/>
      <c r="U14" s="15"/>
      <c r="V14" s="15"/>
      <c r="W14" s="15"/>
      <c r="X14" s="15"/>
    </row>
    <row r="15" spans="1:24" x14ac:dyDescent="0.2">
      <c r="A15" s="169" t="s">
        <v>215</v>
      </c>
      <c r="B15" s="66" t="s">
        <v>178</v>
      </c>
      <c r="C15" s="85" t="s">
        <v>134</v>
      </c>
      <c r="D15" s="252">
        <v>43466</v>
      </c>
      <c r="E15" s="254">
        <f t="shared" si="0"/>
        <v>2.6278878450393677</v>
      </c>
      <c r="F15" s="29">
        <v>2.2126538753509521</v>
      </c>
      <c r="G15" s="258">
        <v>2.5</v>
      </c>
      <c r="H15" s="258">
        <v>1.925307631492615</v>
      </c>
      <c r="I15" s="29">
        <v>2.9772322177886958</v>
      </c>
      <c r="J15" s="258">
        <v>4.2857141494750977</v>
      </c>
      <c r="K15" s="258">
        <v>3.9210000038146968</v>
      </c>
      <c r="L15" s="258">
        <v>2.2857143878936772</v>
      </c>
      <c r="M15" s="258">
        <v>1.416499972343445</v>
      </c>
      <c r="N15" s="29">
        <v>2.3444333076477051</v>
      </c>
      <c r="O15" s="258">
        <v>2.1735999584197998</v>
      </c>
      <c r="P15" s="258">
        <v>2.5152666568756099</v>
      </c>
      <c r="Q15" s="27"/>
      <c r="R15" s="15"/>
      <c r="S15" s="15"/>
      <c r="T15" s="15"/>
      <c r="U15" s="15"/>
      <c r="V15" s="15"/>
      <c r="W15" s="15"/>
      <c r="X15" s="15"/>
    </row>
    <row r="16" spans="1:24" x14ac:dyDescent="0.2">
      <c r="A16" s="169" t="s">
        <v>216</v>
      </c>
      <c r="B16" s="66" t="s">
        <v>179</v>
      </c>
      <c r="C16" s="85" t="s">
        <v>134</v>
      </c>
      <c r="D16" s="252">
        <v>44562</v>
      </c>
      <c r="E16" s="254">
        <f t="shared" si="0"/>
        <v>2.7400438274656023</v>
      </c>
      <c r="F16" s="29">
        <v>2.307692289352417</v>
      </c>
      <c r="G16" s="258">
        <v>2.307692289352417</v>
      </c>
      <c r="H16" s="258" t="s">
        <v>173</v>
      </c>
      <c r="I16" s="29">
        <v>2.5614035129547119</v>
      </c>
      <c r="J16" s="258">
        <v>3.5</v>
      </c>
      <c r="K16" s="258">
        <v>2.2916667461395259</v>
      </c>
      <c r="L16" s="258">
        <v>1.5789474248886111</v>
      </c>
      <c r="M16" s="258">
        <v>2.875</v>
      </c>
      <c r="N16" s="29">
        <v>3.3135001659393311</v>
      </c>
      <c r="O16" s="258">
        <v>4.2270002365112296</v>
      </c>
      <c r="P16" s="258">
        <v>2.4000000953674321</v>
      </c>
      <c r="Q16" s="27"/>
      <c r="R16" s="15"/>
      <c r="S16" s="15"/>
      <c r="T16" s="15"/>
      <c r="U16" s="15"/>
      <c r="V16" s="15"/>
      <c r="W16" s="15"/>
      <c r="X16" s="15"/>
    </row>
    <row r="17" spans="1:47" x14ac:dyDescent="0.2">
      <c r="A17" s="251" t="s">
        <v>217</v>
      </c>
      <c r="B17" s="244" t="s">
        <v>180</v>
      </c>
      <c r="C17" s="86" t="s">
        <v>134</v>
      </c>
      <c r="D17" s="253">
        <v>44562</v>
      </c>
      <c r="E17" s="255">
        <f t="shared" si="0"/>
        <v>3.8835362941026688</v>
      </c>
      <c r="F17" s="256">
        <v>4.4099998474121094</v>
      </c>
      <c r="G17" s="259">
        <v>3.5</v>
      </c>
      <c r="H17" s="259">
        <v>5.320000171661377</v>
      </c>
      <c r="I17" s="256">
        <v>3.212072610855103</v>
      </c>
      <c r="J17" s="259">
        <v>5.5</v>
      </c>
      <c r="K17" s="259">
        <v>3.5716667175292969</v>
      </c>
      <c r="L17" s="259">
        <v>1.785714268684387</v>
      </c>
      <c r="M17" s="259">
        <v>1.990909099578857</v>
      </c>
      <c r="N17" s="256">
        <v>4.6999998092651367</v>
      </c>
      <c r="O17" s="259">
        <v>5.0999999046325684</v>
      </c>
      <c r="P17" s="259">
        <v>4.3000001907348633</v>
      </c>
      <c r="Q17" s="27"/>
      <c r="R17" s="15"/>
      <c r="S17" s="15"/>
      <c r="T17" s="15"/>
      <c r="U17" s="15"/>
      <c r="V17" s="15"/>
      <c r="W17" s="15"/>
      <c r="X17" s="15"/>
    </row>
    <row r="18" spans="1:47" x14ac:dyDescent="0.2">
      <c r="A18" s="144"/>
      <c r="B18" s="14"/>
      <c r="C18" s="77"/>
      <c r="D18" s="278"/>
      <c r="E18" s="279"/>
      <c r="F18" s="172"/>
      <c r="G18" s="18"/>
      <c r="H18" s="18"/>
      <c r="I18" s="172"/>
      <c r="J18" s="18"/>
      <c r="K18" s="18"/>
      <c r="L18" s="18"/>
      <c r="M18" s="18"/>
      <c r="N18" s="172"/>
      <c r="O18" s="18"/>
      <c r="P18" s="18"/>
      <c r="Q18" s="27"/>
      <c r="R18" s="15"/>
      <c r="S18" s="15"/>
      <c r="T18" s="15"/>
      <c r="U18" s="15"/>
      <c r="V18" s="15"/>
      <c r="W18" s="15"/>
      <c r="X18" s="15"/>
    </row>
    <row r="19" spans="1:47" s="286" customFormat="1" x14ac:dyDescent="0.2">
      <c r="A19" s="283"/>
      <c r="B19" s="284" t="s">
        <v>156</v>
      </c>
      <c r="C19" s="285"/>
      <c r="E19" s="287">
        <v>1.4863799290116211</v>
      </c>
      <c r="F19" s="288">
        <v>1.4765185956892215</v>
      </c>
      <c r="G19" s="291">
        <v>1.524053445379985</v>
      </c>
      <c r="H19" s="289">
        <v>1.3248399984505441</v>
      </c>
      <c r="I19" s="293">
        <v>1.8479332045504921</v>
      </c>
      <c r="J19" s="289">
        <v>3.4695598660288631</v>
      </c>
      <c r="K19" s="289">
        <v>1.0728244599150984</v>
      </c>
      <c r="L19" s="289">
        <v>1.4784626098055589</v>
      </c>
      <c r="M19" s="289">
        <v>1.4331971312824048</v>
      </c>
      <c r="N19" s="293">
        <v>0.80718139029647173</v>
      </c>
      <c r="O19" s="289">
        <v>0.8735178418849644</v>
      </c>
      <c r="P19" s="289">
        <v>0.74084493642868965</v>
      </c>
      <c r="Q19" s="290"/>
    </row>
    <row r="20" spans="1:47" s="237" customFormat="1" x14ac:dyDescent="0.2">
      <c r="A20" s="281"/>
      <c r="B20" s="280" t="s">
        <v>150</v>
      </c>
      <c r="C20" s="282"/>
      <c r="E20" s="175">
        <v>0.92083131838589904</v>
      </c>
      <c r="F20" s="174">
        <v>0.44271392226219175</v>
      </c>
      <c r="G20" s="292">
        <v>0.38615714609622953</v>
      </c>
      <c r="H20" s="21">
        <v>0.26666667461395266</v>
      </c>
      <c r="I20" s="294">
        <v>1.2449820756912235</v>
      </c>
      <c r="J20" s="21">
        <v>1.65428569316864</v>
      </c>
      <c r="K20" s="21">
        <v>0.15347878783941268</v>
      </c>
      <c r="L20" s="21">
        <v>0.7627443432807921</v>
      </c>
      <c r="M20" s="21">
        <v>0.69733333587646484</v>
      </c>
      <c r="N20" s="294">
        <v>9.2000003159046176E-2</v>
      </c>
      <c r="O20" s="21">
        <v>0.12000000476837158</v>
      </c>
      <c r="P20" s="21">
        <v>0</v>
      </c>
      <c r="Q20" s="67"/>
    </row>
    <row r="21" spans="1:47" s="237" customFormat="1" x14ac:dyDescent="0.2">
      <c r="A21" s="281"/>
      <c r="B21" s="280" t="s">
        <v>147</v>
      </c>
      <c r="C21" s="282"/>
      <c r="E21" s="175">
        <v>2.2816673527870863</v>
      </c>
      <c r="F21" s="174">
        <v>3.0919939041137696</v>
      </c>
      <c r="G21" s="292">
        <v>3.0688060760498046</v>
      </c>
      <c r="H21" s="21">
        <v>3.1143897533416749</v>
      </c>
      <c r="I21" s="294">
        <v>2.5096601486206054</v>
      </c>
      <c r="J21" s="21">
        <v>4.8857143402099608</v>
      </c>
      <c r="K21" s="21">
        <v>2.2515933513641357</v>
      </c>
      <c r="L21" s="21">
        <v>2.0907143115997315</v>
      </c>
      <c r="M21" s="21">
        <v>2.4492576122283936</v>
      </c>
      <c r="N21" s="294">
        <v>1.9113807678222656</v>
      </c>
      <c r="O21" s="21">
        <v>1.9599333524703979</v>
      </c>
      <c r="P21" s="21">
        <v>2.0239481687545777</v>
      </c>
      <c r="Q21" s="67"/>
    </row>
    <row r="22" spans="1:47" s="237" customFormat="1" x14ac:dyDescent="0.2">
      <c r="A22" s="12" t="s">
        <v>207</v>
      </c>
      <c r="B22" s="25"/>
      <c r="C22" s="235"/>
      <c r="D22" s="236"/>
      <c r="E22" s="236"/>
      <c r="F22" s="236"/>
      <c r="G22" s="236"/>
      <c r="H22" s="236"/>
      <c r="I22" s="236"/>
      <c r="J22" s="236"/>
      <c r="K22" s="236"/>
      <c r="L22" s="236"/>
      <c r="M22" s="236"/>
      <c r="N22" s="236"/>
    </row>
    <row r="23" spans="1:47" s="27" customFormat="1" x14ac:dyDescent="0.2">
      <c r="A23" s="13" t="s">
        <v>206</v>
      </c>
      <c r="B23" s="78"/>
      <c r="C23" s="140"/>
      <c r="D23" s="25"/>
      <c r="E23" s="25"/>
      <c r="F23" s="25"/>
      <c r="G23" s="25"/>
      <c r="H23" s="25"/>
      <c r="I23" s="25"/>
      <c r="J23" s="25"/>
      <c r="K23" s="25"/>
      <c r="L23" s="25"/>
    </row>
    <row r="24" spans="1:47" s="20" customFormat="1" ht="11.1" customHeight="1" x14ac:dyDescent="0.2">
      <c r="A24" s="25"/>
      <c r="B24" s="25"/>
      <c r="C24" s="25"/>
      <c r="D24" s="25"/>
      <c r="E24" s="25"/>
      <c r="F24" s="25"/>
      <c r="G24" s="25"/>
      <c r="H24" s="25"/>
      <c r="I24" s="25"/>
      <c r="J24" s="25"/>
      <c r="K24" s="25"/>
      <c r="L24" s="25"/>
      <c r="M24" s="25"/>
      <c r="N24" s="25"/>
      <c r="O24" s="238"/>
      <c r="P24" s="238"/>
      <c r="Q24" s="238"/>
      <c r="R24" s="238"/>
    </row>
    <row r="25" spans="1:47" x14ac:dyDescent="0.2">
      <c r="A25" s="239" t="s">
        <v>56</v>
      </c>
      <c r="B25" s="25"/>
      <c r="C25" s="238"/>
      <c r="D25" s="238"/>
      <c r="E25" s="238"/>
      <c r="F25" s="238"/>
      <c r="G25" s="238"/>
      <c r="H25" s="238"/>
      <c r="I25" s="238"/>
      <c r="J25" s="238"/>
      <c r="K25" s="238"/>
      <c r="L25" s="238"/>
      <c r="M25" s="238"/>
      <c r="N25" s="238"/>
      <c r="O25" s="238"/>
      <c r="P25" s="238"/>
      <c r="Q25" s="238"/>
      <c r="R25" s="238"/>
      <c r="Y25" s="16"/>
    </row>
    <row r="26" spans="1:47" ht="22.5" customHeight="1" x14ac:dyDescent="0.2">
      <c r="A26" s="44" t="s">
        <v>276</v>
      </c>
      <c r="B26" s="77"/>
      <c r="C26" s="141"/>
      <c r="P26" s="15"/>
      <c r="Q26" s="15"/>
      <c r="R26" s="15"/>
      <c r="S26" s="15"/>
      <c r="T26" s="15"/>
      <c r="U26" s="15"/>
      <c r="V26" s="15"/>
      <c r="W26" s="15"/>
      <c r="X26" s="15"/>
    </row>
    <row r="27" spans="1:47" s="14" customFormat="1" ht="19.5" customHeight="1" x14ac:dyDescent="0.2">
      <c r="A27" s="43" t="s">
        <v>261</v>
      </c>
      <c r="B27" s="80"/>
      <c r="C27" s="140"/>
      <c r="D27" s="11"/>
      <c r="E27" s="11"/>
      <c r="F27" s="11"/>
      <c r="G27" s="11"/>
      <c r="H27" s="11"/>
      <c r="I27" s="11"/>
      <c r="J27" s="1"/>
      <c r="K27" s="1"/>
      <c r="L27" s="1"/>
      <c r="M27" s="1"/>
      <c r="N27" s="1"/>
      <c r="O27" s="1"/>
      <c r="P27" s="1"/>
      <c r="Q27" s="1"/>
      <c r="R27" s="1"/>
      <c r="S27" s="1"/>
      <c r="T27" s="1"/>
      <c r="U27" s="1"/>
      <c r="V27" s="1"/>
      <c r="W27" s="1"/>
      <c r="X27" s="1"/>
      <c r="Y27" s="1"/>
      <c r="Z27" s="1"/>
      <c r="AA27" s="1"/>
      <c r="AB27" s="1"/>
      <c r="AC27" s="1"/>
      <c r="AD27" s="1"/>
      <c r="AE27" s="1"/>
      <c r="AF27" s="1"/>
      <c r="AG27" s="1"/>
      <c r="AH27" s="1"/>
      <c r="AI27" s="12"/>
      <c r="AK27" s="1"/>
      <c r="AL27" s="1"/>
      <c r="AM27" s="1"/>
      <c r="AN27" s="1"/>
      <c r="AO27" s="1"/>
      <c r="AP27" s="1"/>
      <c r="AQ27" s="1"/>
      <c r="AR27" s="1"/>
      <c r="AS27" s="1"/>
      <c r="AT27" s="1"/>
      <c r="AU27" s="1"/>
    </row>
    <row r="28" spans="1:47" ht="15.95" customHeight="1" x14ac:dyDescent="0.2">
      <c r="A28" s="57" t="s">
        <v>262</v>
      </c>
      <c r="B28" s="25"/>
      <c r="C28" s="238"/>
      <c r="D28" s="238"/>
      <c r="E28" s="238"/>
      <c r="F28" s="238"/>
      <c r="G28" s="238"/>
      <c r="H28" s="238"/>
      <c r="I28" s="238"/>
      <c r="J28" s="238"/>
      <c r="K28" s="238"/>
      <c r="L28" s="238"/>
      <c r="M28" s="238"/>
      <c r="N28" s="238"/>
      <c r="O28" s="238"/>
      <c r="P28" s="238"/>
      <c r="Q28" s="238"/>
      <c r="R28" s="238"/>
      <c r="Y28" s="16"/>
    </row>
    <row r="29" spans="1:47" ht="15.95" customHeight="1" x14ac:dyDescent="0.2">
      <c r="A29" s="240" t="s">
        <v>181</v>
      </c>
      <c r="B29" s="15"/>
    </row>
    <row r="30" spans="1:47" ht="15.95" customHeight="1" x14ac:dyDescent="0.2">
      <c r="A30" s="240" t="s">
        <v>182</v>
      </c>
      <c r="B30" s="15"/>
    </row>
    <row r="31" spans="1:47" ht="15.95" customHeight="1" x14ac:dyDescent="0.2">
      <c r="A31" s="240" t="s">
        <v>183</v>
      </c>
      <c r="B31" s="15"/>
    </row>
    <row r="32" spans="1:47" ht="15.95" customHeight="1" x14ac:dyDescent="0.2">
      <c r="A32" s="240" t="s">
        <v>184</v>
      </c>
      <c r="B32" s="241"/>
    </row>
    <row r="33" spans="1:18" ht="10.5" customHeight="1" x14ac:dyDescent="0.2">
      <c r="A33" s="20"/>
      <c r="B33" s="242"/>
      <c r="C33" s="243"/>
      <c r="D33" s="243"/>
      <c r="E33" s="243"/>
      <c r="F33" s="243"/>
      <c r="G33" s="243"/>
      <c r="H33" s="243"/>
      <c r="I33" s="243"/>
      <c r="J33" s="243"/>
      <c r="K33" s="243"/>
      <c r="L33" s="243"/>
      <c r="M33" s="243"/>
      <c r="N33" s="243"/>
      <c r="O33" s="243"/>
      <c r="P33" s="243"/>
      <c r="Q33" s="243"/>
      <c r="R33" s="243"/>
    </row>
  </sheetData>
  <mergeCells count="7">
    <mergeCell ref="I4:M4"/>
    <mergeCell ref="N4:P4"/>
    <mergeCell ref="C4:C5"/>
    <mergeCell ref="A4:A5"/>
    <mergeCell ref="B4:B5"/>
    <mergeCell ref="D4:D5"/>
    <mergeCell ref="F4:H4"/>
  </mergeCells>
  <pageMargins left="0.7" right="0.7" top="0.75" bottom="0.75" header="0.3" footer="0.3"/>
  <pageSetup paperSize="9" scale="96" fitToWidth="0" orientation="landscape" r:id="rId1"/>
  <headerFooter>
    <oddFooter>&amp;R_x000D_&amp;1#&amp;"Calibri"&amp;10&amp;K000000 Official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9F2B-46E4-4658-AFD0-239F000146DF}">
  <dimension ref="A1:ABT2028"/>
  <sheetViews>
    <sheetView zoomScale="70" zoomScaleNormal="70" workbookViewId="0">
      <pane xSplit="2" ySplit="4" topLeftCell="C5" activePane="bottomRight" state="frozen"/>
      <selection pane="topRight" activeCell="C1" sqref="C1"/>
      <selection pane="bottomLeft" activeCell="A5" sqref="A5"/>
      <selection pane="bottomRight" activeCell="F35" sqref="F35"/>
    </sheetView>
  </sheetViews>
  <sheetFormatPr defaultColWidth="9.140625" defaultRowHeight="12.75" x14ac:dyDescent="0.2"/>
  <cols>
    <col min="1" max="1" width="13.42578125" style="15" customWidth="1"/>
    <col min="2" max="2" width="21.140625" style="15" customWidth="1"/>
    <col min="3" max="3" width="21.42578125" style="15" customWidth="1"/>
    <col min="4" max="4" width="21.140625" style="16" customWidth="1"/>
    <col min="5" max="5" width="14.7109375" style="231" customWidth="1"/>
    <col min="6" max="7" width="13.5703125" style="231" customWidth="1"/>
    <col min="8" max="8" width="15.42578125" style="231" customWidth="1"/>
    <col min="9" max="11" width="13.5703125" style="231" customWidth="1"/>
    <col min="12" max="12" width="13.28515625" style="231" customWidth="1"/>
    <col min="13" max="21" width="13.28515625" style="16" customWidth="1"/>
    <col min="22" max="22" width="9.140625" style="16" bestFit="1" customWidth="1"/>
    <col min="23" max="23" width="9.28515625" style="16" customWidth="1"/>
    <col min="24" max="24" width="9.140625" style="16" customWidth="1"/>
    <col min="25" max="25" width="7.85546875" style="16" customWidth="1"/>
    <col min="26" max="26" width="9.140625" style="16" customWidth="1"/>
    <col min="27" max="27" width="8.28515625" style="16" customWidth="1"/>
    <col min="28" max="28" width="6.7109375" style="16" customWidth="1"/>
    <col min="29" max="30" width="9.140625" style="16" customWidth="1"/>
    <col min="31" max="31" width="6.7109375" style="16" customWidth="1"/>
    <col min="32" max="32" width="9.42578125" style="16" customWidth="1"/>
    <col min="33" max="33" width="8.140625" style="16" customWidth="1"/>
    <col min="34" max="34" width="6.7109375" style="16" customWidth="1"/>
    <col min="35" max="35" width="9.5703125" style="16" customWidth="1"/>
    <col min="36" max="36" width="8.140625" style="16" customWidth="1"/>
    <col min="37" max="37" width="2.5703125" style="16" customWidth="1"/>
    <col min="38" max="38" width="13.42578125" style="16" customWidth="1"/>
    <col min="39" max="39" width="7.28515625" style="16" customWidth="1"/>
    <col min="40" max="40" width="6.7109375" style="16" customWidth="1"/>
    <col min="41" max="41" width="9.5703125" style="16" customWidth="1"/>
    <col min="42" max="42" width="8.140625" style="16" customWidth="1"/>
    <col min="43" max="43" width="7.85546875" style="16" customWidth="1"/>
    <col min="44" max="44" width="7.28515625" style="16" customWidth="1"/>
    <col min="45" max="45" width="9.140625" style="16" customWidth="1"/>
    <col min="46" max="748" width="9.140625" style="16"/>
    <col min="749" max="16384" width="9.140625" style="230"/>
  </cols>
  <sheetData>
    <row r="1" spans="1:748" ht="18" x14ac:dyDescent="0.2">
      <c r="A1" s="58" t="s">
        <v>186</v>
      </c>
      <c r="B1" s="58"/>
      <c r="C1" s="58"/>
      <c r="D1" s="76"/>
      <c r="E1" s="27"/>
      <c r="F1" s="27"/>
      <c r="G1" s="27"/>
      <c r="H1" s="27"/>
      <c r="I1" s="27"/>
      <c r="J1" s="27"/>
      <c r="K1" s="27"/>
      <c r="L1" s="27"/>
    </row>
    <row r="2" spans="1:748" ht="18" x14ac:dyDescent="0.2">
      <c r="A2" s="67" t="s">
        <v>187</v>
      </c>
      <c r="B2" s="58"/>
      <c r="C2" s="58"/>
      <c r="D2" s="76"/>
      <c r="E2" s="27"/>
      <c r="F2" s="27"/>
      <c r="G2" s="27"/>
      <c r="H2" s="27"/>
      <c r="I2" s="27"/>
      <c r="J2" s="27"/>
      <c r="K2" s="27"/>
      <c r="L2" s="27"/>
    </row>
    <row r="3" spans="1:748" ht="32.25" customHeight="1" x14ac:dyDescent="0.2">
      <c r="A3" s="357" t="s">
        <v>127</v>
      </c>
      <c r="B3" s="359" t="s">
        <v>157</v>
      </c>
      <c r="C3" s="384" t="s">
        <v>149</v>
      </c>
      <c r="D3" s="335" t="s">
        <v>101</v>
      </c>
      <c r="E3" s="379" t="s">
        <v>12</v>
      </c>
      <c r="F3" s="381" t="s">
        <v>193</v>
      </c>
      <c r="G3" s="382"/>
      <c r="H3" s="382"/>
      <c r="I3" s="382"/>
      <c r="J3" s="382"/>
      <c r="K3" s="383"/>
      <c r="L3" s="379" t="s">
        <v>160</v>
      </c>
      <c r="Y3" s="15"/>
      <c r="Z3" s="15"/>
      <c r="AA3" s="15"/>
      <c r="AB3" s="15"/>
    </row>
    <row r="4" spans="1:748" ht="58.5" customHeight="1" x14ac:dyDescent="0.2">
      <c r="A4" s="358"/>
      <c r="B4" s="360"/>
      <c r="C4" s="385"/>
      <c r="D4" s="336"/>
      <c r="E4" s="380"/>
      <c r="F4" s="260" t="s">
        <v>13</v>
      </c>
      <c r="G4" s="260" t="s">
        <v>194</v>
      </c>
      <c r="H4" s="260" t="s">
        <v>0</v>
      </c>
      <c r="I4" s="260" t="s">
        <v>1</v>
      </c>
      <c r="J4" s="261" t="s">
        <v>2</v>
      </c>
      <c r="K4" s="262" t="s">
        <v>185</v>
      </c>
      <c r="L4" s="380"/>
      <c r="Y4" s="15"/>
      <c r="Z4" s="15"/>
      <c r="AA4" s="15"/>
      <c r="AB4" s="15"/>
    </row>
    <row r="5" spans="1:748" s="231" customFormat="1" ht="15.6" customHeight="1" x14ac:dyDescent="0.2">
      <c r="A5" s="233"/>
      <c r="B5" s="62" t="s">
        <v>129</v>
      </c>
      <c r="C5" s="245"/>
      <c r="D5" s="233"/>
      <c r="E5" s="40"/>
      <c r="F5" s="29"/>
      <c r="G5" s="29"/>
      <c r="H5" s="29"/>
      <c r="I5" s="29"/>
      <c r="J5" s="29"/>
      <c r="K5" s="29"/>
      <c r="L5" s="40"/>
      <c r="M5" s="16"/>
      <c r="N5" s="16"/>
      <c r="O5" s="30"/>
      <c r="P5" s="16"/>
      <c r="Q5" s="16"/>
      <c r="R5" s="16"/>
      <c r="S5" s="16"/>
      <c r="T5" s="16"/>
      <c r="U5" s="16"/>
      <c r="V5" s="16"/>
      <c r="W5" s="16"/>
      <c r="X5" s="16"/>
      <c r="Y5" s="15"/>
      <c r="Z5" s="15"/>
      <c r="AA5" s="15"/>
      <c r="AB5" s="15"/>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E5" s="16"/>
      <c r="HF5" s="16"/>
      <c r="HG5" s="16"/>
      <c r="HH5" s="16"/>
      <c r="HI5" s="16"/>
      <c r="HJ5" s="16"/>
      <c r="HK5" s="16"/>
      <c r="HL5" s="16"/>
      <c r="HM5" s="16"/>
      <c r="HN5" s="16"/>
      <c r="HO5" s="16"/>
      <c r="HP5" s="16"/>
      <c r="HQ5" s="16"/>
      <c r="HR5" s="16"/>
      <c r="HS5" s="16"/>
      <c r="HT5" s="16"/>
      <c r="HU5" s="16"/>
      <c r="HV5" s="16"/>
      <c r="HW5" s="16"/>
      <c r="HX5" s="16"/>
      <c r="HY5" s="16"/>
      <c r="HZ5" s="16"/>
      <c r="IA5" s="16"/>
      <c r="IB5" s="16"/>
      <c r="IC5" s="16"/>
      <c r="ID5" s="16"/>
      <c r="IE5" s="16"/>
      <c r="IF5" s="16"/>
      <c r="IG5" s="16"/>
      <c r="IH5" s="16"/>
      <c r="II5" s="16"/>
      <c r="IJ5" s="16"/>
      <c r="IK5" s="16"/>
      <c r="IL5" s="16"/>
      <c r="IM5" s="16"/>
      <c r="IN5" s="16"/>
      <c r="IO5" s="16"/>
      <c r="IP5" s="16"/>
      <c r="IQ5" s="16"/>
      <c r="IR5" s="16"/>
      <c r="IS5" s="16"/>
      <c r="IT5" s="16"/>
      <c r="IU5" s="16"/>
      <c r="IV5" s="16"/>
      <c r="IW5" s="16"/>
      <c r="IX5" s="16"/>
      <c r="IY5" s="16"/>
      <c r="IZ5" s="16"/>
      <c r="JA5" s="16"/>
      <c r="JB5" s="16"/>
      <c r="JC5" s="16"/>
      <c r="JD5" s="16"/>
      <c r="JE5" s="16"/>
      <c r="JF5" s="16"/>
      <c r="JG5" s="16"/>
      <c r="JH5" s="16"/>
      <c r="JI5" s="16"/>
      <c r="JJ5" s="16"/>
      <c r="JK5" s="16"/>
      <c r="JL5" s="16"/>
      <c r="JM5" s="16"/>
      <c r="JN5" s="16"/>
      <c r="JO5" s="16"/>
      <c r="JP5" s="16"/>
      <c r="JQ5" s="16"/>
      <c r="JR5" s="16"/>
      <c r="JS5" s="16"/>
      <c r="JT5" s="16"/>
      <c r="JU5" s="16"/>
      <c r="JV5" s="16"/>
      <c r="JW5" s="16"/>
      <c r="JX5" s="16"/>
      <c r="JY5" s="16"/>
      <c r="JZ5" s="16"/>
      <c r="KA5" s="16"/>
      <c r="KB5" s="16"/>
      <c r="KC5" s="16"/>
      <c r="KD5" s="16"/>
      <c r="KE5" s="16"/>
      <c r="KF5" s="16"/>
      <c r="KG5" s="16"/>
      <c r="KH5" s="16"/>
      <c r="KI5" s="16"/>
      <c r="KJ5" s="16"/>
      <c r="KK5" s="16"/>
      <c r="KL5" s="16"/>
      <c r="KM5" s="16"/>
      <c r="KN5" s="16"/>
      <c r="KO5" s="16"/>
      <c r="KP5" s="16"/>
      <c r="KQ5" s="16"/>
      <c r="KR5" s="16"/>
      <c r="KS5" s="16"/>
      <c r="KT5" s="16"/>
      <c r="KU5" s="16"/>
      <c r="KV5" s="16"/>
      <c r="KW5" s="16"/>
      <c r="KX5" s="16"/>
      <c r="KY5" s="16"/>
      <c r="KZ5" s="16"/>
      <c r="LA5" s="16"/>
      <c r="LB5" s="16"/>
      <c r="LC5" s="16"/>
      <c r="LD5" s="16"/>
      <c r="LE5" s="16"/>
      <c r="LF5" s="16"/>
      <c r="LG5" s="16"/>
      <c r="LH5" s="16"/>
      <c r="LI5" s="16"/>
      <c r="LJ5" s="16"/>
      <c r="LK5" s="16"/>
      <c r="LL5" s="16"/>
      <c r="LM5" s="16"/>
      <c r="LN5" s="16"/>
      <c r="LO5" s="16"/>
      <c r="LP5" s="16"/>
      <c r="LQ5" s="16"/>
      <c r="LR5" s="16"/>
      <c r="LS5" s="16"/>
      <c r="LT5" s="16"/>
      <c r="LU5" s="16"/>
      <c r="LV5" s="16"/>
      <c r="LW5" s="16"/>
      <c r="LX5" s="16"/>
      <c r="LY5" s="16"/>
      <c r="LZ5" s="16"/>
      <c r="MA5" s="16"/>
      <c r="MB5" s="16"/>
      <c r="MC5" s="16"/>
      <c r="MD5" s="16"/>
      <c r="ME5" s="16"/>
      <c r="MF5" s="16"/>
      <c r="MG5" s="16"/>
      <c r="MH5" s="16"/>
      <c r="MI5" s="16"/>
      <c r="MJ5" s="16"/>
      <c r="MK5" s="16"/>
      <c r="ML5" s="16"/>
      <c r="MM5" s="16"/>
      <c r="MN5" s="16"/>
      <c r="MO5" s="16"/>
      <c r="MP5" s="16"/>
      <c r="MQ5" s="16"/>
      <c r="MR5" s="16"/>
      <c r="MS5" s="16"/>
      <c r="MT5" s="16"/>
      <c r="MU5" s="16"/>
      <c r="MV5" s="16"/>
      <c r="MW5" s="16"/>
      <c r="MX5" s="16"/>
      <c r="MY5" s="16"/>
      <c r="MZ5" s="16"/>
      <c r="NA5" s="16"/>
      <c r="NB5" s="16"/>
      <c r="NC5" s="16"/>
      <c r="ND5" s="16"/>
      <c r="NE5" s="16"/>
      <c r="NF5" s="16"/>
      <c r="NG5" s="16"/>
      <c r="NH5" s="16"/>
      <c r="NI5" s="16"/>
      <c r="NJ5" s="16"/>
      <c r="NK5" s="16"/>
      <c r="NL5" s="16"/>
      <c r="NM5" s="16"/>
      <c r="NN5" s="16"/>
      <c r="NO5" s="16"/>
      <c r="NP5" s="16"/>
      <c r="NQ5" s="16"/>
      <c r="NR5" s="16"/>
      <c r="NS5" s="16"/>
      <c r="NT5" s="16"/>
      <c r="NU5" s="16"/>
      <c r="NV5" s="16"/>
      <c r="NW5" s="16"/>
      <c r="NX5" s="16"/>
      <c r="NY5" s="16"/>
      <c r="NZ5" s="16"/>
      <c r="OA5" s="16"/>
      <c r="OB5" s="16"/>
      <c r="OC5" s="16"/>
      <c r="OD5" s="16"/>
      <c r="OE5" s="16"/>
      <c r="OF5" s="16"/>
      <c r="OG5" s="16"/>
      <c r="OH5" s="16"/>
      <c r="OI5" s="16"/>
      <c r="OJ5" s="16"/>
      <c r="OK5" s="16"/>
      <c r="OL5" s="16"/>
      <c r="OM5" s="16"/>
      <c r="ON5" s="16"/>
      <c r="OO5" s="16"/>
      <c r="OP5" s="16"/>
      <c r="OQ5" s="16"/>
      <c r="OR5" s="16"/>
      <c r="OS5" s="16"/>
      <c r="OT5" s="16"/>
      <c r="OU5" s="16"/>
      <c r="OV5" s="16"/>
      <c r="OW5" s="16"/>
      <c r="OX5" s="16"/>
      <c r="OY5" s="16"/>
      <c r="OZ5" s="16"/>
      <c r="PA5" s="16"/>
      <c r="PB5" s="16"/>
      <c r="PC5" s="16"/>
      <c r="PD5" s="16"/>
      <c r="PE5" s="16"/>
      <c r="PF5" s="16"/>
      <c r="PG5" s="16"/>
      <c r="PH5" s="16"/>
      <c r="PI5" s="16"/>
      <c r="PJ5" s="16"/>
      <c r="PK5" s="16"/>
      <c r="PL5" s="16"/>
      <c r="PM5" s="16"/>
      <c r="PN5" s="16"/>
      <c r="PO5" s="16"/>
      <c r="PP5" s="16"/>
      <c r="PQ5" s="16"/>
      <c r="PR5" s="16"/>
      <c r="PS5" s="16"/>
      <c r="PT5" s="16"/>
      <c r="PU5" s="16"/>
      <c r="PV5" s="16"/>
      <c r="PW5" s="16"/>
      <c r="PX5" s="16"/>
      <c r="PY5" s="16"/>
      <c r="PZ5" s="16"/>
      <c r="QA5" s="16"/>
      <c r="QB5" s="16"/>
      <c r="QC5" s="16"/>
      <c r="QD5" s="16"/>
      <c r="QE5" s="16"/>
      <c r="QF5" s="16"/>
      <c r="QG5" s="16"/>
      <c r="QH5" s="16"/>
      <c r="QI5" s="16"/>
      <c r="QJ5" s="16"/>
      <c r="QK5" s="16"/>
      <c r="QL5" s="16"/>
      <c r="QM5" s="16"/>
      <c r="QN5" s="16"/>
      <c r="QO5" s="16"/>
      <c r="QP5" s="16"/>
      <c r="QQ5" s="16"/>
      <c r="QR5" s="16"/>
      <c r="QS5" s="16"/>
      <c r="QT5" s="16"/>
      <c r="QU5" s="16"/>
      <c r="QV5" s="16"/>
      <c r="QW5" s="16"/>
      <c r="QX5" s="16"/>
      <c r="QY5" s="16"/>
      <c r="QZ5" s="16"/>
      <c r="RA5" s="16"/>
      <c r="RB5" s="16"/>
      <c r="RC5" s="16"/>
      <c r="RD5" s="16"/>
      <c r="RE5" s="16"/>
      <c r="RF5" s="16"/>
      <c r="RG5" s="16"/>
      <c r="RH5" s="16"/>
      <c r="RI5" s="16"/>
      <c r="RJ5" s="16"/>
      <c r="RK5" s="16"/>
      <c r="RL5" s="16"/>
      <c r="RM5" s="16"/>
      <c r="RN5" s="16"/>
      <c r="RO5" s="16"/>
      <c r="RP5" s="16"/>
      <c r="RQ5" s="16"/>
      <c r="RR5" s="16"/>
      <c r="RS5" s="16"/>
      <c r="RT5" s="16"/>
      <c r="RU5" s="16"/>
      <c r="RV5" s="16"/>
      <c r="RW5" s="16"/>
      <c r="RX5" s="16"/>
      <c r="RY5" s="16"/>
      <c r="RZ5" s="16"/>
      <c r="SA5" s="16"/>
      <c r="SB5" s="16"/>
      <c r="SC5" s="16"/>
      <c r="SD5" s="16"/>
      <c r="SE5" s="16"/>
      <c r="SF5" s="16"/>
      <c r="SG5" s="16"/>
      <c r="SH5" s="16"/>
      <c r="SI5" s="16"/>
      <c r="SJ5" s="16"/>
      <c r="SK5" s="16"/>
      <c r="SL5" s="16"/>
      <c r="SM5" s="16"/>
      <c r="SN5" s="16"/>
      <c r="SO5" s="16"/>
      <c r="SP5" s="16"/>
      <c r="SQ5" s="16"/>
      <c r="SR5" s="16"/>
      <c r="SS5" s="16"/>
      <c r="ST5" s="16"/>
      <c r="SU5" s="16"/>
      <c r="SV5" s="16"/>
      <c r="SW5" s="16"/>
      <c r="SX5" s="16"/>
      <c r="SY5" s="16"/>
      <c r="SZ5" s="16"/>
      <c r="TA5" s="16"/>
      <c r="TB5" s="16"/>
      <c r="TC5" s="16"/>
      <c r="TD5" s="16"/>
      <c r="TE5" s="16"/>
      <c r="TF5" s="16"/>
      <c r="TG5" s="16"/>
      <c r="TH5" s="16"/>
      <c r="TI5" s="16"/>
      <c r="TJ5" s="16"/>
      <c r="TK5" s="16"/>
      <c r="TL5" s="16"/>
      <c r="TM5" s="16"/>
      <c r="TN5" s="16"/>
      <c r="TO5" s="16"/>
      <c r="TP5" s="16"/>
      <c r="TQ5" s="16"/>
      <c r="TR5" s="16"/>
      <c r="TS5" s="16"/>
      <c r="TT5" s="16"/>
      <c r="TU5" s="16"/>
      <c r="TV5" s="16"/>
      <c r="TW5" s="16"/>
      <c r="TX5" s="16"/>
      <c r="TY5" s="16"/>
      <c r="TZ5" s="16"/>
      <c r="UA5" s="16"/>
      <c r="UB5" s="16"/>
      <c r="UC5" s="16"/>
      <c r="UD5" s="16"/>
      <c r="UE5" s="16"/>
      <c r="UF5" s="16"/>
      <c r="UG5" s="16"/>
      <c r="UH5" s="16"/>
      <c r="UI5" s="16"/>
      <c r="UJ5" s="16"/>
      <c r="UK5" s="16"/>
      <c r="UL5" s="16"/>
      <c r="UM5" s="16"/>
      <c r="UN5" s="16"/>
      <c r="UO5" s="16"/>
      <c r="UP5" s="16"/>
      <c r="UQ5" s="16"/>
      <c r="UR5" s="16"/>
      <c r="US5" s="16"/>
      <c r="UT5" s="16"/>
      <c r="UU5" s="16"/>
      <c r="UV5" s="16"/>
      <c r="UW5" s="16"/>
      <c r="UX5" s="16"/>
      <c r="UY5" s="16"/>
      <c r="UZ5" s="16"/>
      <c r="VA5" s="16"/>
      <c r="VB5" s="16"/>
      <c r="VC5" s="16"/>
      <c r="VD5" s="16"/>
      <c r="VE5" s="16"/>
      <c r="VF5" s="16"/>
      <c r="VG5" s="16"/>
      <c r="VH5" s="16"/>
      <c r="VI5" s="16"/>
      <c r="VJ5" s="16"/>
      <c r="VK5" s="16"/>
      <c r="VL5" s="16"/>
      <c r="VM5" s="16"/>
      <c r="VN5" s="16"/>
      <c r="VO5" s="16"/>
      <c r="VP5" s="16"/>
      <c r="VQ5" s="16"/>
      <c r="VR5" s="16"/>
      <c r="VS5" s="16"/>
      <c r="VT5" s="16"/>
      <c r="VU5" s="16"/>
      <c r="VV5" s="16"/>
      <c r="VW5" s="16"/>
      <c r="VX5" s="16"/>
      <c r="VY5" s="16"/>
      <c r="VZ5" s="16"/>
      <c r="WA5" s="16"/>
      <c r="WB5" s="16"/>
      <c r="WC5" s="16"/>
      <c r="WD5" s="16"/>
      <c r="WE5" s="16"/>
      <c r="WF5" s="16"/>
      <c r="WG5" s="16"/>
      <c r="WH5" s="16"/>
      <c r="WI5" s="16"/>
      <c r="WJ5" s="16"/>
      <c r="WK5" s="16"/>
      <c r="WL5" s="16"/>
      <c r="WM5" s="16"/>
      <c r="WN5" s="16"/>
      <c r="WO5" s="16"/>
      <c r="WP5" s="16"/>
      <c r="WQ5" s="16"/>
      <c r="WR5" s="16"/>
      <c r="WS5" s="16"/>
      <c r="WT5" s="16"/>
      <c r="WU5" s="16"/>
      <c r="WV5" s="16"/>
      <c r="WW5" s="16"/>
      <c r="WX5" s="16"/>
      <c r="WY5" s="16"/>
      <c r="WZ5" s="16"/>
      <c r="XA5" s="16"/>
      <c r="XB5" s="16"/>
      <c r="XC5" s="16"/>
      <c r="XD5" s="16"/>
      <c r="XE5" s="16"/>
      <c r="XF5" s="16"/>
      <c r="XG5" s="16"/>
      <c r="XH5" s="16"/>
      <c r="XI5" s="16"/>
      <c r="XJ5" s="16"/>
      <c r="XK5" s="16"/>
      <c r="XL5" s="16"/>
      <c r="XM5" s="16"/>
      <c r="XN5" s="16"/>
      <c r="XO5" s="16"/>
      <c r="XP5" s="16"/>
      <c r="XQ5" s="16"/>
      <c r="XR5" s="16"/>
      <c r="XS5" s="16"/>
      <c r="XT5" s="16"/>
      <c r="XU5" s="16"/>
      <c r="XV5" s="16"/>
      <c r="XW5" s="16"/>
      <c r="XX5" s="16"/>
      <c r="XY5" s="16"/>
      <c r="XZ5" s="16"/>
      <c r="YA5" s="16"/>
      <c r="YB5" s="16"/>
      <c r="YC5" s="16"/>
      <c r="YD5" s="16"/>
      <c r="YE5" s="16"/>
      <c r="YF5" s="16"/>
      <c r="YG5" s="16"/>
      <c r="YH5" s="16"/>
      <c r="YI5" s="16"/>
      <c r="YJ5" s="16"/>
      <c r="YK5" s="16"/>
      <c r="YL5" s="16"/>
      <c r="YM5" s="16"/>
      <c r="YN5" s="16"/>
      <c r="YO5" s="16"/>
      <c r="YP5" s="16"/>
      <c r="YQ5" s="16"/>
      <c r="YR5" s="16"/>
      <c r="YS5" s="16"/>
      <c r="YT5" s="16"/>
      <c r="YU5" s="16"/>
      <c r="YV5" s="16"/>
      <c r="YW5" s="16"/>
      <c r="YX5" s="16"/>
      <c r="YY5" s="16"/>
      <c r="YZ5" s="16"/>
      <c r="ZA5" s="16"/>
      <c r="ZB5" s="16"/>
      <c r="ZC5" s="16"/>
      <c r="ZD5" s="16"/>
      <c r="ZE5" s="16"/>
      <c r="ZF5" s="16"/>
      <c r="ZG5" s="16"/>
      <c r="ZH5" s="16"/>
      <c r="ZI5" s="16"/>
      <c r="ZJ5" s="16"/>
      <c r="ZK5" s="16"/>
      <c r="ZL5" s="16"/>
      <c r="ZM5" s="16"/>
      <c r="ZN5" s="16"/>
      <c r="ZO5" s="16"/>
      <c r="ZP5" s="16"/>
      <c r="ZQ5" s="16"/>
      <c r="ZR5" s="16"/>
      <c r="ZS5" s="16"/>
      <c r="ZT5" s="16"/>
      <c r="ZU5" s="16"/>
      <c r="ZV5" s="16"/>
      <c r="ZW5" s="16"/>
      <c r="ZX5" s="16"/>
      <c r="ZY5" s="16"/>
      <c r="ZZ5" s="16"/>
      <c r="AAA5" s="16"/>
      <c r="AAB5" s="16"/>
      <c r="AAC5" s="16"/>
      <c r="AAD5" s="16"/>
      <c r="AAE5" s="16"/>
      <c r="AAF5" s="16"/>
      <c r="AAG5" s="16"/>
      <c r="AAH5" s="16"/>
      <c r="AAI5" s="16"/>
      <c r="AAJ5" s="16"/>
      <c r="AAK5" s="16"/>
      <c r="AAL5" s="16"/>
      <c r="AAM5" s="16"/>
      <c r="AAN5" s="16"/>
      <c r="AAO5" s="16"/>
      <c r="AAP5" s="16"/>
      <c r="AAQ5" s="16"/>
      <c r="AAR5" s="16"/>
      <c r="AAS5" s="16"/>
      <c r="AAT5" s="16"/>
      <c r="AAU5" s="16"/>
      <c r="AAV5" s="16"/>
      <c r="AAW5" s="16"/>
      <c r="AAX5" s="16"/>
      <c r="AAY5" s="16"/>
      <c r="AAZ5" s="16"/>
      <c r="ABA5" s="16"/>
      <c r="ABB5" s="16"/>
      <c r="ABC5" s="16"/>
      <c r="ABD5" s="16"/>
      <c r="ABE5" s="16"/>
      <c r="ABF5" s="16"/>
      <c r="ABG5" s="16"/>
      <c r="ABH5" s="16"/>
      <c r="ABI5" s="16"/>
      <c r="ABJ5" s="16"/>
      <c r="ABK5" s="16"/>
      <c r="ABL5" s="16"/>
      <c r="ABM5" s="16"/>
      <c r="ABN5" s="16"/>
      <c r="ABO5" s="16"/>
      <c r="ABP5" s="16"/>
      <c r="ABQ5" s="16"/>
      <c r="ABR5" s="16"/>
      <c r="ABS5" s="16"/>
      <c r="ABT5" s="16"/>
    </row>
    <row r="6" spans="1:748" s="231" customFormat="1" ht="15.6" customHeight="1" x14ac:dyDescent="0.2">
      <c r="A6" s="169" t="s">
        <v>208</v>
      </c>
      <c r="B6" s="66" t="s">
        <v>171</v>
      </c>
      <c r="C6" s="85" t="s">
        <v>134</v>
      </c>
      <c r="D6" s="252">
        <v>43466</v>
      </c>
      <c r="E6" s="40">
        <v>0.7764706015586853</v>
      </c>
      <c r="F6" s="29">
        <v>2.1124999523162842</v>
      </c>
      <c r="G6" s="29">
        <v>4.9107141494750977</v>
      </c>
      <c r="H6" s="29">
        <v>1.8642857074737551</v>
      </c>
      <c r="I6" s="29">
        <v>1.1499999761581421</v>
      </c>
      <c r="J6" s="29">
        <v>1.1499999761581421</v>
      </c>
      <c r="K6" s="29">
        <v>0</v>
      </c>
      <c r="L6" s="40">
        <v>1.75</v>
      </c>
      <c r="M6" s="16"/>
      <c r="N6" s="16"/>
      <c r="O6" s="30"/>
      <c r="P6" s="16"/>
      <c r="Q6" s="16"/>
      <c r="R6" s="16"/>
      <c r="S6" s="16"/>
      <c r="T6" s="16"/>
      <c r="U6" s="16"/>
      <c r="V6" s="16"/>
      <c r="W6" s="16"/>
      <c r="X6" s="16"/>
      <c r="Y6" s="15"/>
      <c r="Z6" s="15"/>
      <c r="AA6" s="15"/>
      <c r="AB6" s="15"/>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c r="ABQ6" s="16"/>
      <c r="ABR6" s="16"/>
      <c r="ABS6" s="16"/>
      <c r="ABT6" s="16"/>
    </row>
    <row r="7" spans="1:748" s="231" customFormat="1" ht="15.6" customHeight="1" x14ac:dyDescent="0.2">
      <c r="A7" s="169" t="s">
        <v>209</v>
      </c>
      <c r="B7" s="66" t="s">
        <v>172</v>
      </c>
      <c r="C7" s="85" t="s">
        <v>134</v>
      </c>
      <c r="D7" s="252">
        <v>44197</v>
      </c>
      <c r="E7" s="40">
        <v>0.96249997615814209</v>
      </c>
      <c r="F7" s="29">
        <v>1.0208332538604741</v>
      </c>
      <c r="G7" s="29">
        <v>4.7678570747375488</v>
      </c>
      <c r="H7" s="29">
        <v>0.9375</v>
      </c>
      <c r="I7" s="29">
        <v>1.3125</v>
      </c>
      <c r="J7" s="29">
        <v>0.8571428656578064</v>
      </c>
      <c r="K7" s="29">
        <v>1.1428570747375491</v>
      </c>
      <c r="L7" s="40">
        <v>0.25</v>
      </c>
      <c r="M7" s="16"/>
      <c r="N7" s="16"/>
      <c r="O7" s="30"/>
      <c r="P7" s="16"/>
      <c r="Q7" s="16"/>
      <c r="R7" s="16"/>
      <c r="S7" s="16"/>
      <c r="T7" s="16"/>
      <c r="U7" s="16"/>
      <c r="V7" s="16"/>
      <c r="W7" s="16"/>
      <c r="X7" s="16"/>
      <c r="Y7" s="15"/>
      <c r="Z7" s="15"/>
      <c r="AA7" s="15"/>
      <c r="AB7" s="15"/>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6"/>
      <c r="GL7" s="16"/>
      <c r="GM7" s="16"/>
      <c r="GN7" s="16"/>
      <c r="GO7" s="16"/>
      <c r="GP7" s="16"/>
      <c r="GQ7" s="16"/>
      <c r="GR7" s="16"/>
      <c r="GS7" s="16"/>
      <c r="GT7" s="16"/>
      <c r="GU7" s="16"/>
      <c r="GV7" s="16"/>
      <c r="GW7" s="16"/>
      <c r="GX7" s="16"/>
      <c r="GY7" s="16"/>
      <c r="GZ7" s="16"/>
      <c r="HA7" s="16"/>
      <c r="HB7" s="16"/>
      <c r="HC7" s="16"/>
      <c r="HD7" s="16"/>
      <c r="HE7" s="16"/>
      <c r="HF7" s="16"/>
      <c r="HG7" s="16"/>
      <c r="HH7" s="16"/>
      <c r="HI7" s="16"/>
      <c r="HJ7" s="16"/>
      <c r="HK7" s="16"/>
      <c r="HL7" s="16"/>
      <c r="HM7" s="16"/>
      <c r="HN7" s="16"/>
      <c r="HO7" s="16"/>
      <c r="HP7" s="16"/>
      <c r="HQ7" s="16"/>
      <c r="HR7" s="16"/>
      <c r="HS7" s="16"/>
      <c r="HT7" s="16"/>
      <c r="HU7" s="16"/>
      <c r="HV7" s="16"/>
      <c r="HW7" s="16"/>
      <c r="HX7" s="16"/>
      <c r="HY7" s="16"/>
      <c r="HZ7" s="16"/>
      <c r="IA7" s="16"/>
      <c r="IB7" s="16"/>
      <c r="IC7" s="16"/>
      <c r="ID7" s="16"/>
      <c r="IE7" s="16"/>
      <c r="IF7" s="16"/>
      <c r="IG7" s="16"/>
      <c r="IH7" s="16"/>
      <c r="II7" s="16"/>
      <c r="IJ7" s="16"/>
      <c r="IK7" s="16"/>
      <c r="IL7" s="16"/>
      <c r="IM7" s="16"/>
      <c r="IN7" s="16"/>
      <c r="IO7" s="16"/>
      <c r="IP7" s="16"/>
      <c r="IQ7" s="16"/>
      <c r="IR7" s="16"/>
      <c r="IS7" s="16"/>
      <c r="IT7" s="16"/>
      <c r="IU7" s="16"/>
      <c r="IV7" s="16"/>
      <c r="IW7" s="16"/>
      <c r="IX7" s="16"/>
      <c r="IY7" s="16"/>
      <c r="IZ7" s="16"/>
      <c r="JA7" s="16"/>
      <c r="JB7" s="16"/>
      <c r="JC7" s="16"/>
      <c r="JD7" s="16"/>
      <c r="JE7" s="16"/>
      <c r="JF7" s="16"/>
      <c r="JG7" s="16"/>
      <c r="JH7" s="16"/>
      <c r="JI7" s="16"/>
      <c r="JJ7" s="16"/>
      <c r="JK7" s="16"/>
      <c r="JL7" s="16"/>
      <c r="JM7" s="16"/>
      <c r="JN7" s="16"/>
      <c r="JO7" s="16"/>
      <c r="JP7" s="16"/>
      <c r="JQ7" s="16"/>
      <c r="JR7" s="16"/>
      <c r="JS7" s="16"/>
      <c r="JT7" s="16"/>
      <c r="JU7" s="16"/>
      <c r="JV7" s="16"/>
      <c r="JW7" s="16"/>
      <c r="JX7" s="16"/>
      <c r="JY7" s="16"/>
      <c r="JZ7" s="16"/>
      <c r="KA7" s="16"/>
      <c r="KB7" s="16"/>
      <c r="KC7" s="16"/>
      <c r="KD7" s="16"/>
      <c r="KE7" s="16"/>
      <c r="KF7" s="16"/>
      <c r="KG7" s="16"/>
      <c r="KH7" s="16"/>
      <c r="KI7" s="16"/>
      <c r="KJ7" s="16"/>
      <c r="KK7" s="16"/>
      <c r="KL7" s="16"/>
      <c r="KM7" s="16"/>
      <c r="KN7" s="16"/>
      <c r="KO7" s="16"/>
      <c r="KP7" s="16"/>
      <c r="KQ7" s="16"/>
      <c r="KR7" s="16"/>
      <c r="KS7" s="16"/>
      <c r="KT7" s="16"/>
      <c r="KU7" s="16"/>
      <c r="KV7" s="16"/>
      <c r="KW7" s="16"/>
      <c r="KX7" s="16"/>
      <c r="KY7" s="16"/>
      <c r="KZ7" s="16"/>
      <c r="LA7" s="16"/>
      <c r="LB7" s="16"/>
      <c r="LC7" s="16"/>
      <c r="LD7" s="16"/>
      <c r="LE7" s="16"/>
      <c r="LF7" s="16"/>
      <c r="LG7" s="16"/>
      <c r="LH7" s="16"/>
      <c r="LI7" s="16"/>
      <c r="LJ7" s="16"/>
      <c r="LK7" s="16"/>
      <c r="LL7" s="16"/>
      <c r="LM7" s="16"/>
      <c r="LN7" s="16"/>
      <c r="LO7" s="16"/>
      <c r="LP7" s="16"/>
      <c r="LQ7" s="16"/>
      <c r="LR7" s="16"/>
      <c r="LS7" s="16"/>
      <c r="LT7" s="16"/>
      <c r="LU7" s="16"/>
      <c r="LV7" s="16"/>
      <c r="LW7" s="16"/>
      <c r="LX7" s="16"/>
      <c r="LY7" s="16"/>
      <c r="LZ7" s="16"/>
      <c r="MA7" s="16"/>
      <c r="MB7" s="16"/>
      <c r="MC7" s="16"/>
      <c r="MD7" s="16"/>
      <c r="ME7" s="16"/>
      <c r="MF7" s="16"/>
      <c r="MG7" s="16"/>
      <c r="MH7" s="16"/>
      <c r="MI7" s="16"/>
      <c r="MJ7" s="16"/>
      <c r="MK7" s="16"/>
      <c r="ML7" s="16"/>
      <c r="MM7" s="16"/>
      <c r="MN7" s="16"/>
      <c r="MO7" s="16"/>
      <c r="MP7" s="16"/>
      <c r="MQ7" s="16"/>
      <c r="MR7" s="16"/>
      <c r="MS7" s="16"/>
      <c r="MT7" s="16"/>
      <c r="MU7" s="16"/>
      <c r="MV7" s="16"/>
      <c r="MW7" s="16"/>
      <c r="MX7" s="16"/>
      <c r="MY7" s="16"/>
      <c r="MZ7" s="16"/>
      <c r="NA7" s="16"/>
      <c r="NB7" s="16"/>
      <c r="NC7" s="16"/>
      <c r="ND7" s="16"/>
      <c r="NE7" s="16"/>
      <c r="NF7" s="16"/>
      <c r="NG7" s="16"/>
      <c r="NH7" s="16"/>
      <c r="NI7" s="16"/>
      <c r="NJ7" s="16"/>
      <c r="NK7" s="16"/>
      <c r="NL7" s="16"/>
      <c r="NM7" s="16"/>
      <c r="NN7" s="16"/>
      <c r="NO7" s="16"/>
      <c r="NP7" s="16"/>
      <c r="NQ7" s="16"/>
      <c r="NR7" s="16"/>
      <c r="NS7" s="16"/>
      <c r="NT7" s="16"/>
      <c r="NU7" s="16"/>
      <c r="NV7" s="16"/>
      <c r="NW7" s="16"/>
      <c r="NX7" s="16"/>
      <c r="NY7" s="16"/>
      <c r="NZ7" s="16"/>
      <c r="OA7" s="16"/>
      <c r="OB7" s="16"/>
      <c r="OC7" s="16"/>
      <c r="OD7" s="16"/>
      <c r="OE7" s="16"/>
      <c r="OF7" s="16"/>
      <c r="OG7" s="16"/>
      <c r="OH7" s="16"/>
      <c r="OI7" s="16"/>
      <c r="OJ7" s="16"/>
      <c r="OK7" s="16"/>
      <c r="OL7" s="16"/>
      <c r="OM7" s="16"/>
      <c r="ON7" s="16"/>
      <c r="OO7" s="16"/>
      <c r="OP7" s="16"/>
      <c r="OQ7" s="16"/>
      <c r="OR7" s="16"/>
      <c r="OS7" s="16"/>
      <c r="OT7" s="16"/>
      <c r="OU7" s="16"/>
      <c r="OV7" s="16"/>
      <c r="OW7" s="16"/>
      <c r="OX7" s="16"/>
      <c r="OY7" s="16"/>
      <c r="OZ7" s="16"/>
      <c r="PA7" s="16"/>
      <c r="PB7" s="16"/>
      <c r="PC7" s="16"/>
      <c r="PD7" s="16"/>
      <c r="PE7" s="16"/>
      <c r="PF7" s="16"/>
      <c r="PG7" s="16"/>
      <c r="PH7" s="16"/>
      <c r="PI7" s="16"/>
      <c r="PJ7" s="16"/>
      <c r="PK7" s="16"/>
      <c r="PL7" s="16"/>
      <c r="PM7" s="16"/>
      <c r="PN7" s="16"/>
      <c r="PO7" s="16"/>
      <c r="PP7" s="16"/>
      <c r="PQ7" s="16"/>
      <c r="PR7" s="16"/>
      <c r="PS7" s="16"/>
      <c r="PT7" s="16"/>
      <c r="PU7" s="16"/>
      <c r="PV7" s="16"/>
      <c r="PW7" s="16"/>
      <c r="PX7" s="16"/>
      <c r="PY7" s="16"/>
      <c r="PZ7" s="16"/>
      <c r="QA7" s="16"/>
      <c r="QB7" s="16"/>
      <c r="QC7" s="16"/>
      <c r="QD7" s="16"/>
      <c r="QE7" s="16"/>
      <c r="QF7" s="16"/>
      <c r="QG7" s="16"/>
      <c r="QH7" s="16"/>
      <c r="QI7" s="16"/>
      <c r="QJ7" s="16"/>
      <c r="QK7" s="16"/>
      <c r="QL7" s="16"/>
      <c r="QM7" s="16"/>
      <c r="QN7" s="16"/>
      <c r="QO7" s="16"/>
      <c r="QP7" s="16"/>
      <c r="QQ7" s="16"/>
      <c r="QR7" s="16"/>
      <c r="QS7" s="16"/>
      <c r="QT7" s="16"/>
      <c r="QU7" s="16"/>
      <c r="QV7" s="16"/>
      <c r="QW7" s="16"/>
      <c r="QX7" s="16"/>
      <c r="QY7" s="16"/>
      <c r="QZ7" s="16"/>
      <c r="RA7" s="16"/>
      <c r="RB7" s="16"/>
      <c r="RC7" s="16"/>
      <c r="RD7" s="16"/>
      <c r="RE7" s="16"/>
      <c r="RF7" s="16"/>
      <c r="RG7" s="16"/>
      <c r="RH7" s="16"/>
      <c r="RI7" s="16"/>
      <c r="RJ7" s="16"/>
      <c r="RK7" s="16"/>
      <c r="RL7" s="16"/>
      <c r="RM7" s="16"/>
      <c r="RN7" s="16"/>
      <c r="RO7" s="16"/>
      <c r="RP7" s="16"/>
      <c r="RQ7" s="16"/>
      <c r="RR7" s="16"/>
      <c r="RS7" s="16"/>
      <c r="RT7" s="16"/>
      <c r="RU7" s="16"/>
      <c r="RV7" s="16"/>
      <c r="RW7" s="16"/>
      <c r="RX7" s="16"/>
      <c r="RY7" s="16"/>
      <c r="RZ7" s="16"/>
      <c r="SA7" s="16"/>
      <c r="SB7" s="16"/>
      <c r="SC7" s="16"/>
      <c r="SD7" s="16"/>
      <c r="SE7" s="16"/>
      <c r="SF7" s="16"/>
      <c r="SG7" s="16"/>
      <c r="SH7" s="16"/>
      <c r="SI7" s="16"/>
      <c r="SJ7" s="16"/>
      <c r="SK7" s="16"/>
      <c r="SL7" s="16"/>
      <c r="SM7" s="16"/>
      <c r="SN7" s="16"/>
      <c r="SO7" s="16"/>
      <c r="SP7" s="16"/>
      <c r="SQ7" s="16"/>
      <c r="SR7" s="16"/>
      <c r="SS7" s="16"/>
      <c r="ST7" s="16"/>
      <c r="SU7" s="16"/>
      <c r="SV7" s="16"/>
      <c r="SW7" s="16"/>
      <c r="SX7" s="16"/>
      <c r="SY7" s="16"/>
      <c r="SZ7" s="16"/>
      <c r="TA7" s="16"/>
      <c r="TB7" s="16"/>
      <c r="TC7" s="16"/>
      <c r="TD7" s="16"/>
      <c r="TE7" s="16"/>
      <c r="TF7" s="16"/>
      <c r="TG7" s="16"/>
      <c r="TH7" s="16"/>
      <c r="TI7" s="16"/>
      <c r="TJ7" s="16"/>
      <c r="TK7" s="16"/>
      <c r="TL7" s="16"/>
      <c r="TM7" s="16"/>
      <c r="TN7" s="16"/>
      <c r="TO7" s="16"/>
      <c r="TP7" s="16"/>
      <c r="TQ7" s="16"/>
      <c r="TR7" s="16"/>
      <c r="TS7" s="16"/>
      <c r="TT7" s="16"/>
      <c r="TU7" s="16"/>
      <c r="TV7" s="16"/>
      <c r="TW7" s="16"/>
      <c r="TX7" s="16"/>
      <c r="TY7" s="16"/>
      <c r="TZ7" s="16"/>
      <c r="UA7" s="16"/>
      <c r="UB7" s="16"/>
      <c r="UC7" s="16"/>
      <c r="UD7" s="16"/>
      <c r="UE7" s="16"/>
      <c r="UF7" s="16"/>
      <c r="UG7" s="16"/>
      <c r="UH7" s="16"/>
      <c r="UI7" s="16"/>
      <c r="UJ7" s="16"/>
      <c r="UK7" s="16"/>
      <c r="UL7" s="16"/>
      <c r="UM7" s="16"/>
      <c r="UN7" s="16"/>
      <c r="UO7" s="16"/>
      <c r="UP7" s="16"/>
      <c r="UQ7" s="16"/>
      <c r="UR7" s="16"/>
      <c r="US7" s="16"/>
      <c r="UT7" s="16"/>
      <c r="UU7" s="16"/>
      <c r="UV7" s="16"/>
      <c r="UW7" s="16"/>
      <c r="UX7" s="16"/>
      <c r="UY7" s="16"/>
      <c r="UZ7" s="16"/>
      <c r="VA7" s="16"/>
      <c r="VB7" s="16"/>
      <c r="VC7" s="16"/>
      <c r="VD7" s="16"/>
      <c r="VE7" s="16"/>
      <c r="VF7" s="16"/>
      <c r="VG7" s="16"/>
      <c r="VH7" s="16"/>
      <c r="VI7" s="16"/>
      <c r="VJ7" s="16"/>
      <c r="VK7" s="16"/>
      <c r="VL7" s="16"/>
      <c r="VM7" s="16"/>
      <c r="VN7" s="16"/>
      <c r="VO7" s="16"/>
      <c r="VP7" s="16"/>
      <c r="VQ7" s="16"/>
      <c r="VR7" s="16"/>
      <c r="VS7" s="16"/>
      <c r="VT7" s="16"/>
      <c r="VU7" s="16"/>
      <c r="VV7" s="16"/>
      <c r="VW7" s="16"/>
      <c r="VX7" s="16"/>
      <c r="VY7" s="16"/>
      <c r="VZ7" s="16"/>
      <c r="WA7" s="16"/>
      <c r="WB7" s="16"/>
      <c r="WC7" s="16"/>
      <c r="WD7" s="16"/>
      <c r="WE7" s="16"/>
      <c r="WF7" s="16"/>
      <c r="WG7" s="16"/>
      <c r="WH7" s="16"/>
      <c r="WI7" s="16"/>
      <c r="WJ7" s="16"/>
      <c r="WK7" s="16"/>
      <c r="WL7" s="16"/>
      <c r="WM7" s="16"/>
      <c r="WN7" s="16"/>
      <c r="WO7" s="16"/>
      <c r="WP7" s="16"/>
      <c r="WQ7" s="16"/>
      <c r="WR7" s="16"/>
      <c r="WS7" s="16"/>
      <c r="WT7" s="16"/>
      <c r="WU7" s="16"/>
      <c r="WV7" s="16"/>
      <c r="WW7" s="16"/>
      <c r="WX7" s="16"/>
      <c r="WY7" s="16"/>
      <c r="WZ7" s="16"/>
      <c r="XA7" s="16"/>
      <c r="XB7" s="16"/>
      <c r="XC7" s="16"/>
      <c r="XD7" s="16"/>
      <c r="XE7" s="16"/>
      <c r="XF7" s="16"/>
      <c r="XG7" s="16"/>
      <c r="XH7" s="16"/>
      <c r="XI7" s="16"/>
      <c r="XJ7" s="16"/>
      <c r="XK7" s="16"/>
      <c r="XL7" s="16"/>
      <c r="XM7" s="16"/>
      <c r="XN7" s="16"/>
      <c r="XO7" s="16"/>
      <c r="XP7" s="16"/>
      <c r="XQ7" s="16"/>
      <c r="XR7" s="16"/>
      <c r="XS7" s="16"/>
      <c r="XT7" s="16"/>
      <c r="XU7" s="16"/>
      <c r="XV7" s="16"/>
      <c r="XW7" s="16"/>
      <c r="XX7" s="16"/>
      <c r="XY7" s="16"/>
      <c r="XZ7" s="16"/>
      <c r="YA7" s="16"/>
      <c r="YB7" s="16"/>
      <c r="YC7" s="16"/>
      <c r="YD7" s="16"/>
      <c r="YE7" s="16"/>
      <c r="YF7" s="16"/>
      <c r="YG7" s="16"/>
      <c r="YH7" s="16"/>
      <c r="YI7" s="16"/>
      <c r="YJ7" s="16"/>
      <c r="YK7" s="16"/>
      <c r="YL7" s="16"/>
      <c r="YM7" s="16"/>
      <c r="YN7" s="16"/>
      <c r="YO7" s="16"/>
      <c r="YP7" s="16"/>
      <c r="YQ7" s="16"/>
      <c r="YR7" s="16"/>
      <c r="YS7" s="16"/>
      <c r="YT7" s="16"/>
      <c r="YU7" s="16"/>
      <c r="YV7" s="16"/>
      <c r="YW7" s="16"/>
      <c r="YX7" s="16"/>
      <c r="YY7" s="16"/>
      <c r="YZ7" s="16"/>
      <c r="ZA7" s="16"/>
      <c r="ZB7" s="16"/>
      <c r="ZC7" s="16"/>
      <c r="ZD7" s="16"/>
      <c r="ZE7" s="16"/>
      <c r="ZF7" s="16"/>
      <c r="ZG7" s="16"/>
      <c r="ZH7" s="16"/>
      <c r="ZI7" s="16"/>
      <c r="ZJ7" s="16"/>
      <c r="ZK7" s="16"/>
      <c r="ZL7" s="16"/>
      <c r="ZM7" s="16"/>
      <c r="ZN7" s="16"/>
      <c r="ZO7" s="16"/>
      <c r="ZP7" s="16"/>
      <c r="ZQ7" s="16"/>
      <c r="ZR7" s="16"/>
      <c r="ZS7" s="16"/>
      <c r="ZT7" s="16"/>
      <c r="ZU7" s="16"/>
      <c r="ZV7" s="16"/>
      <c r="ZW7" s="16"/>
      <c r="ZX7" s="16"/>
      <c r="ZY7" s="16"/>
      <c r="ZZ7" s="16"/>
      <c r="AAA7" s="16"/>
      <c r="AAB7" s="16"/>
      <c r="AAC7" s="16"/>
      <c r="AAD7" s="16"/>
      <c r="AAE7" s="16"/>
      <c r="AAF7" s="16"/>
      <c r="AAG7" s="16"/>
      <c r="AAH7" s="16"/>
      <c r="AAI7" s="16"/>
      <c r="AAJ7" s="16"/>
      <c r="AAK7" s="16"/>
      <c r="AAL7" s="16"/>
      <c r="AAM7" s="16"/>
      <c r="AAN7" s="16"/>
      <c r="AAO7" s="16"/>
      <c r="AAP7" s="16"/>
      <c r="AAQ7" s="16"/>
      <c r="AAR7" s="16"/>
      <c r="AAS7" s="16"/>
      <c r="AAT7" s="16"/>
      <c r="AAU7" s="16"/>
      <c r="AAV7" s="16"/>
      <c r="AAW7" s="16"/>
      <c r="AAX7" s="16"/>
      <c r="AAY7" s="16"/>
      <c r="AAZ7" s="16"/>
      <c r="ABA7" s="16"/>
      <c r="ABB7" s="16"/>
      <c r="ABC7" s="16"/>
      <c r="ABD7" s="16"/>
      <c r="ABE7" s="16"/>
      <c r="ABF7" s="16"/>
      <c r="ABG7" s="16"/>
      <c r="ABH7" s="16"/>
      <c r="ABI7" s="16"/>
      <c r="ABJ7" s="16"/>
      <c r="ABK7" s="16"/>
      <c r="ABL7" s="16"/>
      <c r="ABM7" s="16"/>
      <c r="ABN7" s="16"/>
      <c r="ABO7" s="16"/>
      <c r="ABP7" s="16"/>
      <c r="ABQ7" s="16"/>
      <c r="ABR7" s="16"/>
      <c r="ABS7" s="16"/>
      <c r="ABT7" s="16"/>
    </row>
    <row r="8" spans="1:748" s="231" customFormat="1" ht="15.6" customHeight="1" x14ac:dyDescent="0.2">
      <c r="A8" s="169" t="s">
        <v>210</v>
      </c>
      <c r="B8" s="66" t="s">
        <v>192</v>
      </c>
      <c r="C8" s="85" t="s">
        <v>133</v>
      </c>
      <c r="D8" s="252">
        <v>43101</v>
      </c>
      <c r="E8" s="40">
        <v>1.152941226959229</v>
      </c>
      <c r="F8" s="29">
        <v>2.4000000953674321</v>
      </c>
      <c r="G8" s="29">
        <v>4.6964282989501953</v>
      </c>
      <c r="H8" s="29">
        <v>1.8500000238418579</v>
      </c>
      <c r="I8" s="29">
        <v>1.166666626930237</v>
      </c>
      <c r="J8" s="29">
        <v>1</v>
      </c>
      <c r="K8" s="29">
        <v>0</v>
      </c>
      <c r="L8" s="40">
        <v>1</v>
      </c>
      <c r="M8" s="16"/>
      <c r="N8" s="16"/>
      <c r="O8" s="30"/>
      <c r="P8" s="16"/>
      <c r="Q8" s="16"/>
      <c r="R8" s="16"/>
      <c r="S8" s="16"/>
      <c r="T8" s="16"/>
      <c r="U8" s="16"/>
      <c r="V8" s="16"/>
      <c r="W8" s="16"/>
      <c r="X8" s="16"/>
      <c r="Y8" s="15"/>
      <c r="Z8" s="15"/>
      <c r="AA8" s="15"/>
      <c r="AB8" s="15"/>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c r="GP8" s="16"/>
      <c r="GQ8" s="16"/>
      <c r="GR8" s="16"/>
      <c r="GS8" s="16"/>
      <c r="GT8" s="16"/>
      <c r="GU8" s="16"/>
      <c r="GV8" s="16"/>
      <c r="GW8" s="16"/>
      <c r="GX8" s="16"/>
      <c r="GY8" s="16"/>
      <c r="GZ8" s="16"/>
      <c r="HA8" s="16"/>
      <c r="HB8" s="16"/>
      <c r="HC8" s="16"/>
      <c r="HD8" s="16"/>
      <c r="HE8" s="16"/>
      <c r="HF8" s="16"/>
      <c r="HG8" s="16"/>
      <c r="HH8" s="16"/>
      <c r="HI8" s="16"/>
      <c r="HJ8" s="16"/>
      <c r="HK8" s="16"/>
      <c r="HL8" s="16"/>
      <c r="HM8" s="16"/>
      <c r="HN8" s="16"/>
      <c r="HO8" s="16"/>
      <c r="HP8" s="16"/>
      <c r="HQ8" s="16"/>
      <c r="HR8" s="16"/>
      <c r="HS8" s="16"/>
      <c r="HT8" s="16"/>
      <c r="HU8" s="16"/>
      <c r="HV8" s="16"/>
      <c r="HW8" s="16"/>
      <c r="HX8" s="16"/>
      <c r="HY8" s="16"/>
      <c r="HZ8" s="16"/>
      <c r="IA8" s="16"/>
      <c r="IB8" s="16"/>
      <c r="IC8" s="16"/>
      <c r="ID8" s="16"/>
      <c r="IE8" s="16"/>
      <c r="IF8" s="16"/>
      <c r="IG8" s="16"/>
      <c r="IH8" s="16"/>
      <c r="II8" s="16"/>
      <c r="IJ8" s="16"/>
      <c r="IK8" s="16"/>
      <c r="IL8" s="16"/>
      <c r="IM8" s="16"/>
      <c r="IN8" s="16"/>
      <c r="IO8" s="16"/>
      <c r="IP8" s="16"/>
      <c r="IQ8" s="16"/>
      <c r="IR8" s="16"/>
      <c r="IS8" s="16"/>
      <c r="IT8" s="16"/>
      <c r="IU8" s="16"/>
      <c r="IV8" s="16"/>
      <c r="IW8" s="16"/>
      <c r="IX8" s="16"/>
      <c r="IY8" s="16"/>
      <c r="IZ8" s="16"/>
      <c r="JA8" s="16"/>
      <c r="JB8" s="16"/>
      <c r="JC8" s="16"/>
      <c r="JD8" s="16"/>
      <c r="JE8" s="16"/>
      <c r="JF8" s="16"/>
      <c r="JG8" s="16"/>
      <c r="JH8" s="16"/>
      <c r="JI8" s="16"/>
      <c r="JJ8" s="16"/>
      <c r="JK8" s="16"/>
      <c r="JL8" s="16"/>
      <c r="JM8" s="16"/>
      <c r="JN8" s="16"/>
      <c r="JO8" s="16"/>
      <c r="JP8" s="16"/>
      <c r="JQ8" s="16"/>
      <c r="JR8" s="16"/>
      <c r="JS8" s="16"/>
      <c r="JT8" s="16"/>
      <c r="JU8" s="16"/>
      <c r="JV8" s="16"/>
      <c r="JW8" s="16"/>
      <c r="JX8" s="16"/>
      <c r="JY8" s="16"/>
      <c r="JZ8" s="16"/>
      <c r="KA8" s="16"/>
      <c r="KB8" s="16"/>
      <c r="KC8" s="16"/>
      <c r="KD8" s="16"/>
      <c r="KE8" s="16"/>
      <c r="KF8" s="16"/>
      <c r="KG8" s="16"/>
      <c r="KH8" s="16"/>
      <c r="KI8" s="16"/>
      <c r="KJ8" s="16"/>
      <c r="KK8" s="16"/>
      <c r="KL8" s="16"/>
      <c r="KM8" s="16"/>
      <c r="KN8" s="16"/>
      <c r="KO8" s="16"/>
      <c r="KP8" s="16"/>
      <c r="KQ8" s="16"/>
      <c r="KR8" s="16"/>
      <c r="KS8" s="16"/>
      <c r="KT8" s="16"/>
      <c r="KU8" s="16"/>
      <c r="KV8" s="16"/>
      <c r="KW8" s="16"/>
      <c r="KX8" s="16"/>
      <c r="KY8" s="16"/>
      <c r="KZ8" s="16"/>
      <c r="LA8" s="16"/>
      <c r="LB8" s="16"/>
      <c r="LC8" s="16"/>
      <c r="LD8" s="16"/>
      <c r="LE8" s="16"/>
      <c r="LF8" s="16"/>
      <c r="LG8" s="16"/>
      <c r="LH8" s="16"/>
      <c r="LI8" s="16"/>
      <c r="LJ8" s="16"/>
      <c r="LK8" s="16"/>
      <c r="LL8" s="16"/>
      <c r="LM8" s="16"/>
      <c r="LN8" s="16"/>
      <c r="LO8" s="16"/>
      <c r="LP8" s="16"/>
      <c r="LQ8" s="16"/>
      <c r="LR8" s="16"/>
      <c r="LS8" s="16"/>
      <c r="LT8" s="16"/>
      <c r="LU8" s="16"/>
      <c r="LV8" s="16"/>
      <c r="LW8" s="16"/>
      <c r="LX8" s="16"/>
      <c r="LY8" s="16"/>
      <c r="LZ8" s="16"/>
      <c r="MA8" s="16"/>
      <c r="MB8" s="16"/>
      <c r="MC8" s="16"/>
      <c r="MD8" s="16"/>
      <c r="ME8" s="16"/>
      <c r="MF8" s="16"/>
      <c r="MG8" s="16"/>
      <c r="MH8" s="16"/>
      <c r="MI8" s="16"/>
      <c r="MJ8" s="16"/>
      <c r="MK8" s="16"/>
      <c r="ML8" s="16"/>
      <c r="MM8" s="16"/>
      <c r="MN8" s="16"/>
      <c r="MO8" s="16"/>
      <c r="MP8" s="16"/>
      <c r="MQ8" s="16"/>
      <c r="MR8" s="16"/>
      <c r="MS8" s="16"/>
      <c r="MT8" s="16"/>
      <c r="MU8" s="16"/>
      <c r="MV8" s="16"/>
      <c r="MW8" s="16"/>
      <c r="MX8" s="16"/>
      <c r="MY8" s="16"/>
      <c r="MZ8" s="16"/>
      <c r="NA8" s="16"/>
      <c r="NB8" s="16"/>
      <c r="NC8" s="16"/>
      <c r="ND8" s="16"/>
      <c r="NE8" s="16"/>
      <c r="NF8" s="16"/>
      <c r="NG8" s="16"/>
      <c r="NH8" s="16"/>
      <c r="NI8" s="16"/>
      <c r="NJ8" s="16"/>
      <c r="NK8" s="16"/>
      <c r="NL8" s="16"/>
      <c r="NM8" s="16"/>
      <c r="NN8" s="16"/>
      <c r="NO8" s="16"/>
      <c r="NP8" s="16"/>
      <c r="NQ8" s="16"/>
      <c r="NR8" s="16"/>
      <c r="NS8" s="16"/>
      <c r="NT8" s="16"/>
      <c r="NU8" s="16"/>
      <c r="NV8" s="16"/>
      <c r="NW8" s="16"/>
      <c r="NX8" s="16"/>
      <c r="NY8" s="16"/>
      <c r="NZ8" s="16"/>
      <c r="OA8" s="16"/>
      <c r="OB8" s="16"/>
      <c r="OC8" s="16"/>
      <c r="OD8" s="16"/>
      <c r="OE8" s="16"/>
      <c r="OF8" s="16"/>
      <c r="OG8" s="16"/>
      <c r="OH8" s="16"/>
      <c r="OI8" s="16"/>
      <c r="OJ8" s="16"/>
      <c r="OK8" s="16"/>
      <c r="OL8" s="16"/>
      <c r="OM8" s="16"/>
      <c r="ON8" s="16"/>
      <c r="OO8" s="16"/>
      <c r="OP8" s="16"/>
      <c r="OQ8" s="16"/>
      <c r="OR8" s="16"/>
      <c r="OS8" s="16"/>
      <c r="OT8" s="16"/>
      <c r="OU8" s="16"/>
      <c r="OV8" s="16"/>
      <c r="OW8" s="16"/>
      <c r="OX8" s="16"/>
      <c r="OY8" s="16"/>
      <c r="OZ8" s="16"/>
      <c r="PA8" s="16"/>
      <c r="PB8" s="16"/>
      <c r="PC8" s="16"/>
      <c r="PD8" s="16"/>
      <c r="PE8" s="16"/>
      <c r="PF8" s="16"/>
      <c r="PG8" s="16"/>
      <c r="PH8" s="16"/>
      <c r="PI8" s="16"/>
      <c r="PJ8" s="16"/>
      <c r="PK8" s="16"/>
      <c r="PL8" s="16"/>
      <c r="PM8" s="16"/>
      <c r="PN8" s="16"/>
      <c r="PO8" s="16"/>
      <c r="PP8" s="16"/>
      <c r="PQ8" s="16"/>
      <c r="PR8" s="16"/>
      <c r="PS8" s="16"/>
      <c r="PT8" s="16"/>
      <c r="PU8" s="16"/>
      <c r="PV8" s="16"/>
      <c r="PW8" s="16"/>
      <c r="PX8" s="16"/>
      <c r="PY8" s="16"/>
      <c r="PZ8" s="16"/>
      <c r="QA8" s="16"/>
      <c r="QB8" s="16"/>
      <c r="QC8" s="16"/>
      <c r="QD8" s="16"/>
      <c r="QE8" s="16"/>
      <c r="QF8" s="16"/>
      <c r="QG8" s="16"/>
      <c r="QH8" s="16"/>
      <c r="QI8" s="16"/>
      <c r="QJ8" s="16"/>
      <c r="QK8" s="16"/>
      <c r="QL8" s="16"/>
      <c r="QM8" s="16"/>
      <c r="QN8" s="16"/>
      <c r="QO8" s="16"/>
      <c r="QP8" s="16"/>
      <c r="QQ8" s="16"/>
      <c r="QR8" s="16"/>
      <c r="QS8" s="16"/>
      <c r="QT8" s="16"/>
      <c r="QU8" s="16"/>
      <c r="QV8" s="16"/>
      <c r="QW8" s="16"/>
      <c r="QX8" s="16"/>
      <c r="QY8" s="16"/>
      <c r="QZ8" s="16"/>
      <c r="RA8" s="16"/>
      <c r="RB8" s="16"/>
      <c r="RC8" s="16"/>
      <c r="RD8" s="16"/>
      <c r="RE8" s="16"/>
      <c r="RF8" s="16"/>
      <c r="RG8" s="16"/>
      <c r="RH8" s="16"/>
      <c r="RI8" s="16"/>
      <c r="RJ8" s="16"/>
      <c r="RK8" s="16"/>
      <c r="RL8" s="16"/>
      <c r="RM8" s="16"/>
      <c r="RN8" s="16"/>
      <c r="RO8" s="16"/>
      <c r="RP8" s="16"/>
      <c r="RQ8" s="16"/>
      <c r="RR8" s="16"/>
      <c r="RS8" s="16"/>
      <c r="RT8" s="16"/>
      <c r="RU8" s="16"/>
      <c r="RV8" s="16"/>
      <c r="RW8" s="16"/>
      <c r="RX8" s="16"/>
      <c r="RY8" s="16"/>
      <c r="RZ8" s="16"/>
      <c r="SA8" s="16"/>
      <c r="SB8" s="16"/>
      <c r="SC8" s="16"/>
      <c r="SD8" s="16"/>
      <c r="SE8" s="16"/>
      <c r="SF8" s="16"/>
      <c r="SG8" s="16"/>
      <c r="SH8" s="16"/>
      <c r="SI8" s="16"/>
      <c r="SJ8" s="16"/>
      <c r="SK8" s="16"/>
      <c r="SL8" s="16"/>
      <c r="SM8" s="16"/>
      <c r="SN8" s="16"/>
      <c r="SO8" s="16"/>
      <c r="SP8" s="16"/>
      <c r="SQ8" s="16"/>
      <c r="SR8" s="16"/>
      <c r="SS8" s="16"/>
      <c r="ST8" s="16"/>
      <c r="SU8" s="16"/>
      <c r="SV8" s="16"/>
      <c r="SW8" s="16"/>
      <c r="SX8" s="16"/>
      <c r="SY8" s="16"/>
      <c r="SZ8" s="16"/>
      <c r="TA8" s="16"/>
      <c r="TB8" s="16"/>
      <c r="TC8" s="16"/>
      <c r="TD8" s="16"/>
      <c r="TE8" s="16"/>
      <c r="TF8" s="16"/>
      <c r="TG8" s="16"/>
      <c r="TH8" s="16"/>
      <c r="TI8" s="16"/>
      <c r="TJ8" s="16"/>
      <c r="TK8" s="16"/>
      <c r="TL8" s="16"/>
      <c r="TM8" s="16"/>
      <c r="TN8" s="16"/>
      <c r="TO8" s="16"/>
      <c r="TP8" s="16"/>
      <c r="TQ8" s="16"/>
      <c r="TR8" s="16"/>
      <c r="TS8" s="16"/>
      <c r="TT8" s="16"/>
      <c r="TU8" s="16"/>
      <c r="TV8" s="16"/>
      <c r="TW8" s="16"/>
      <c r="TX8" s="16"/>
      <c r="TY8" s="16"/>
      <c r="TZ8" s="16"/>
      <c r="UA8" s="16"/>
      <c r="UB8" s="16"/>
      <c r="UC8" s="16"/>
      <c r="UD8" s="16"/>
      <c r="UE8" s="16"/>
      <c r="UF8" s="16"/>
      <c r="UG8" s="16"/>
      <c r="UH8" s="16"/>
      <c r="UI8" s="16"/>
      <c r="UJ8" s="16"/>
      <c r="UK8" s="16"/>
      <c r="UL8" s="16"/>
      <c r="UM8" s="16"/>
      <c r="UN8" s="16"/>
      <c r="UO8" s="16"/>
      <c r="UP8" s="16"/>
      <c r="UQ8" s="16"/>
      <c r="UR8" s="16"/>
      <c r="US8" s="16"/>
      <c r="UT8" s="16"/>
      <c r="UU8" s="16"/>
      <c r="UV8" s="16"/>
      <c r="UW8" s="16"/>
      <c r="UX8" s="16"/>
      <c r="UY8" s="16"/>
      <c r="UZ8" s="16"/>
      <c r="VA8" s="16"/>
      <c r="VB8" s="16"/>
      <c r="VC8" s="16"/>
      <c r="VD8" s="16"/>
      <c r="VE8" s="16"/>
      <c r="VF8" s="16"/>
      <c r="VG8" s="16"/>
      <c r="VH8" s="16"/>
      <c r="VI8" s="16"/>
      <c r="VJ8" s="16"/>
      <c r="VK8" s="16"/>
      <c r="VL8" s="16"/>
      <c r="VM8" s="16"/>
      <c r="VN8" s="16"/>
      <c r="VO8" s="16"/>
      <c r="VP8" s="16"/>
      <c r="VQ8" s="16"/>
      <c r="VR8" s="16"/>
      <c r="VS8" s="16"/>
      <c r="VT8" s="16"/>
      <c r="VU8" s="16"/>
      <c r="VV8" s="16"/>
      <c r="VW8" s="16"/>
      <c r="VX8" s="16"/>
      <c r="VY8" s="16"/>
      <c r="VZ8" s="16"/>
      <c r="WA8" s="16"/>
      <c r="WB8" s="16"/>
      <c r="WC8" s="16"/>
      <c r="WD8" s="16"/>
      <c r="WE8" s="16"/>
      <c r="WF8" s="16"/>
      <c r="WG8" s="16"/>
      <c r="WH8" s="16"/>
      <c r="WI8" s="16"/>
      <c r="WJ8" s="16"/>
      <c r="WK8" s="16"/>
      <c r="WL8" s="16"/>
      <c r="WM8" s="16"/>
      <c r="WN8" s="16"/>
      <c r="WO8" s="16"/>
      <c r="WP8" s="16"/>
      <c r="WQ8" s="16"/>
      <c r="WR8" s="16"/>
      <c r="WS8" s="16"/>
      <c r="WT8" s="16"/>
      <c r="WU8" s="16"/>
      <c r="WV8" s="16"/>
      <c r="WW8" s="16"/>
      <c r="WX8" s="16"/>
      <c r="WY8" s="16"/>
      <c r="WZ8" s="16"/>
      <c r="XA8" s="16"/>
      <c r="XB8" s="16"/>
      <c r="XC8" s="16"/>
      <c r="XD8" s="16"/>
      <c r="XE8" s="16"/>
      <c r="XF8" s="16"/>
      <c r="XG8" s="16"/>
      <c r="XH8" s="16"/>
      <c r="XI8" s="16"/>
      <c r="XJ8" s="16"/>
      <c r="XK8" s="16"/>
      <c r="XL8" s="16"/>
      <c r="XM8" s="16"/>
      <c r="XN8" s="16"/>
      <c r="XO8" s="16"/>
      <c r="XP8" s="16"/>
      <c r="XQ8" s="16"/>
      <c r="XR8" s="16"/>
      <c r="XS8" s="16"/>
      <c r="XT8" s="16"/>
      <c r="XU8" s="16"/>
      <c r="XV8" s="16"/>
      <c r="XW8" s="16"/>
      <c r="XX8" s="16"/>
      <c r="XY8" s="16"/>
      <c r="XZ8" s="16"/>
      <c r="YA8" s="16"/>
      <c r="YB8" s="16"/>
      <c r="YC8" s="16"/>
      <c r="YD8" s="16"/>
      <c r="YE8" s="16"/>
      <c r="YF8" s="16"/>
      <c r="YG8" s="16"/>
      <c r="YH8" s="16"/>
      <c r="YI8" s="16"/>
      <c r="YJ8" s="16"/>
      <c r="YK8" s="16"/>
      <c r="YL8" s="16"/>
      <c r="YM8" s="16"/>
      <c r="YN8" s="16"/>
      <c r="YO8" s="16"/>
      <c r="YP8" s="16"/>
      <c r="YQ8" s="16"/>
      <c r="YR8" s="16"/>
      <c r="YS8" s="16"/>
      <c r="YT8" s="16"/>
      <c r="YU8" s="16"/>
      <c r="YV8" s="16"/>
      <c r="YW8" s="16"/>
      <c r="YX8" s="16"/>
      <c r="YY8" s="16"/>
      <c r="YZ8" s="16"/>
      <c r="ZA8" s="16"/>
      <c r="ZB8" s="16"/>
      <c r="ZC8" s="16"/>
      <c r="ZD8" s="16"/>
      <c r="ZE8" s="16"/>
      <c r="ZF8" s="16"/>
      <c r="ZG8" s="16"/>
      <c r="ZH8" s="16"/>
      <c r="ZI8" s="16"/>
      <c r="ZJ8" s="16"/>
      <c r="ZK8" s="16"/>
      <c r="ZL8" s="16"/>
      <c r="ZM8" s="16"/>
      <c r="ZN8" s="16"/>
      <c r="ZO8" s="16"/>
      <c r="ZP8" s="16"/>
      <c r="ZQ8" s="16"/>
      <c r="ZR8" s="16"/>
      <c r="ZS8" s="16"/>
      <c r="ZT8" s="16"/>
      <c r="ZU8" s="16"/>
      <c r="ZV8" s="16"/>
      <c r="ZW8" s="16"/>
      <c r="ZX8" s="16"/>
      <c r="ZY8" s="16"/>
      <c r="ZZ8" s="16"/>
      <c r="AAA8" s="16"/>
      <c r="AAB8" s="16"/>
      <c r="AAC8" s="16"/>
      <c r="AAD8" s="16"/>
      <c r="AAE8" s="16"/>
      <c r="AAF8" s="16"/>
      <c r="AAG8" s="16"/>
      <c r="AAH8" s="16"/>
      <c r="AAI8" s="16"/>
      <c r="AAJ8" s="16"/>
      <c r="AAK8" s="16"/>
      <c r="AAL8" s="16"/>
      <c r="AAM8" s="16"/>
      <c r="AAN8" s="16"/>
      <c r="AAO8" s="16"/>
      <c r="AAP8" s="16"/>
      <c r="AAQ8" s="16"/>
      <c r="AAR8" s="16"/>
      <c r="AAS8" s="16"/>
      <c r="AAT8" s="16"/>
      <c r="AAU8" s="16"/>
      <c r="AAV8" s="16"/>
      <c r="AAW8" s="16"/>
      <c r="AAX8" s="16"/>
      <c r="AAY8" s="16"/>
      <c r="AAZ8" s="16"/>
      <c r="ABA8" s="16"/>
      <c r="ABB8" s="16"/>
      <c r="ABC8" s="16"/>
      <c r="ABD8" s="16"/>
      <c r="ABE8" s="16"/>
      <c r="ABF8" s="16"/>
      <c r="ABG8" s="16"/>
      <c r="ABH8" s="16"/>
      <c r="ABI8" s="16"/>
      <c r="ABJ8" s="16"/>
      <c r="ABK8" s="16"/>
      <c r="ABL8" s="16"/>
      <c r="ABM8" s="16"/>
      <c r="ABN8" s="16"/>
      <c r="ABO8" s="16"/>
      <c r="ABP8" s="16"/>
      <c r="ABQ8" s="16"/>
      <c r="ABR8" s="16"/>
      <c r="ABS8" s="16"/>
      <c r="ABT8" s="16"/>
    </row>
    <row r="9" spans="1:748" s="231" customFormat="1" ht="15.6" customHeight="1" x14ac:dyDescent="0.2">
      <c r="A9" s="169"/>
      <c r="B9" s="66" t="s">
        <v>174</v>
      </c>
      <c r="C9" s="85" t="s">
        <v>134</v>
      </c>
      <c r="D9" s="252">
        <v>43831</v>
      </c>
      <c r="E9" s="40">
        <v>0.8403361439704895</v>
      </c>
      <c r="F9" s="29">
        <v>2.1500000953674321</v>
      </c>
      <c r="G9" s="29">
        <v>4.71875</v>
      </c>
      <c r="H9" s="29">
        <v>1.549999952316284</v>
      </c>
      <c r="I9" s="29">
        <v>1.3999999761581421</v>
      </c>
      <c r="J9" s="29">
        <v>1.450000047683716</v>
      </c>
      <c r="K9" s="29">
        <v>0</v>
      </c>
      <c r="L9" s="40">
        <v>1.5</v>
      </c>
      <c r="M9" s="16"/>
      <c r="N9" s="16"/>
      <c r="O9" s="30"/>
      <c r="P9" s="16"/>
      <c r="Q9" s="16"/>
      <c r="R9" s="16"/>
      <c r="S9" s="16"/>
      <c r="T9" s="16"/>
      <c r="U9" s="16"/>
      <c r="V9" s="16"/>
      <c r="W9" s="16"/>
      <c r="X9" s="16"/>
      <c r="Y9" s="15"/>
      <c r="Z9" s="15"/>
      <c r="AA9" s="15"/>
      <c r="AB9" s="15"/>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c r="GP9" s="16"/>
      <c r="GQ9" s="16"/>
      <c r="GR9" s="16"/>
      <c r="GS9" s="16"/>
      <c r="GT9" s="16"/>
      <c r="GU9" s="16"/>
      <c r="GV9" s="16"/>
      <c r="GW9" s="16"/>
      <c r="GX9" s="16"/>
      <c r="GY9" s="16"/>
      <c r="GZ9" s="16"/>
      <c r="HA9" s="16"/>
      <c r="HB9" s="16"/>
      <c r="HC9" s="16"/>
      <c r="HD9" s="16"/>
      <c r="HE9" s="16"/>
      <c r="HF9" s="16"/>
      <c r="HG9" s="16"/>
      <c r="HH9" s="16"/>
      <c r="HI9" s="16"/>
      <c r="HJ9" s="16"/>
      <c r="HK9" s="16"/>
      <c r="HL9" s="16"/>
      <c r="HM9" s="16"/>
      <c r="HN9" s="16"/>
      <c r="HO9" s="16"/>
      <c r="HP9" s="16"/>
      <c r="HQ9" s="16"/>
      <c r="HR9" s="16"/>
      <c r="HS9" s="16"/>
      <c r="HT9" s="16"/>
      <c r="HU9" s="16"/>
      <c r="HV9" s="16"/>
      <c r="HW9" s="16"/>
      <c r="HX9" s="16"/>
      <c r="HY9" s="16"/>
      <c r="HZ9" s="16"/>
      <c r="IA9" s="16"/>
      <c r="IB9" s="16"/>
      <c r="IC9" s="16"/>
      <c r="ID9" s="16"/>
      <c r="IE9" s="16"/>
      <c r="IF9" s="16"/>
      <c r="IG9" s="16"/>
      <c r="IH9" s="16"/>
      <c r="II9" s="16"/>
      <c r="IJ9" s="16"/>
      <c r="IK9" s="16"/>
      <c r="IL9" s="16"/>
      <c r="IM9" s="16"/>
      <c r="IN9" s="16"/>
      <c r="IO9" s="16"/>
      <c r="IP9" s="16"/>
      <c r="IQ9" s="16"/>
      <c r="IR9" s="16"/>
      <c r="IS9" s="16"/>
      <c r="IT9" s="16"/>
      <c r="IU9" s="16"/>
      <c r="IV9" s="16"/>
      <c r="IW9" s="16"/>
      <c r="IX9" s="16"/>
      <c r="IY9" s="16"/>
      <c r="IZ9" s="16"/>
      <c r="JA9" s="16"/>
      <c r="JB9" s="16"/>
      <c r="JC9" s="16"/>
      <c r="JD9" s="16"/>
      <c r="JE9" s="16"/>
      <c r="JF9" s="16"/>
      <c r="JG9" s="16"/>
      <c r="JH9" s="16"/>
      <c r="JI9" s="16"/>
      <c r="JJ9" s="16"/>
      <c r="JK9" s="16"/>
      <c r="JL9" s="16"/>
      <c r="JM9" s="16"/>
      <c r="JN9" s="16"/>
      <c r="JO9" s="16"/>
      <c r="JP9" s="16"/>
      <c r="JQ9" s="16"/>
      <c r="JR9" s="16"/>
      <c r="JS9" s="16"/>
      <c r="JT9" s="16"/>
      <c r="JU9" s="16"/>
      <c r="JV9" s="16"/>
      <c r="JW9" s="16"/>
      <c r="JX9" s="16"/>
      <c r="JY9" s="16"/>
      <c r="JZ9" s="16"/>
      <c r="KA9" s="16"/>
      <c r="KB9" s="16"/>
      <c r="KC9" s="16"/>
      <c r="KD9" s="16"/>
      <c r="KE9" s="16"/>
      <c r="KF9" s="16"/>
      <c r="KG9" s="16"/>
      <c r="KH9" s="16"/>
      <c r="KI9" s="16"/>
      <c r="KJ9" s="16"/>
      <c r="KK9" s="16"/>
      <c r="KL9" s="16"/>
      <c r="KM9" s="16"/>
      <c r="KN9" s="16"/>
      <c r="KO9" s="16"/>
      <c r="KP9" s="16"/>
      <c r="KQ9" s="16"/>
      <c r="KR9" s="16"/>
      <c r="KS9" s="16"/>
      <c r="KT9" s="16"/>
      <c r="KU9" s="16"/>
      <c r="KV9" s="16"/>
      <c r="KW9" s="16"/>
      <c r="KX9" s="16"/>
      <c r="KY9" s="16"/>
      <c r="KZ9" s="16"/>
      <c r="LA9" s="16"/>
      <c r="LB9" s="16"/>
      <c r="LC9" s="16"/>
      <c r="LD9" s="16"/>
      <c r="LE9" s="16"/>
      <c r="LF9" s="16"/>
      <c r="LG9" s="16"/>
      <c r="LH9" s="16"/>
      <c r="LI9" s="16"/>
      <c r="LJ9" s="16"/>
      <c r="LK9" s="16"/>
      <c r="LL9" s="16"/>
      <c r="LM9" s="16"/>
      <c r="LN9" s="16"/>
      <c r="LO9" s="16"/>
      <c r="LP9" s="16"/>
      <c r="LQ9" s="16"/>
      <c r="LR9" s="16"/>
      <c r="LS9" s="16"/>
      <c r="LT9" s="16"/>
      <c r="LU9" s="16"/>
      <c r="LV9" s="16"/>
      <c r="LW9" s="16"/>
      <c r="LX9" s="16"/>
      <c r="LY9" s="16"/>
      <c r="LZ9" s="16"/>
      <c r="MA9" s="16"/>
      <c r="MB9" s="16"/>
      <c r="MC9" s="16"/>
      <c r="MD9" s="16"/>
      <c r="ME9" s="16"/>
      <c r="MF9" s="16"/>
      <c r="MG9" s="16"/>
      <c r="MH9" s="16"/>
      <c r="MI9" s="16"/>
      <c r="MJ9" s="16"/>
      <c r="MK9" s="16"/>
      <c r="ML9" s="16"/>
      <c r="MM9" s="16"/>
      <c r="MN9" s="16"/>
      <c r="MO9" s="16"/>
      <c r="MP9" s="16"/>
      <c r="MQ9" s="16"/>
      <c r="MR9" s="16"/>
      <c r="MS9" s="16"/>
      <c r="MT9" s="16"/>
      <c r="MU9" s="16"/>
      <c r="MV9" s="16"/>
      <c r="MW9" s="16"/>
      <c r="MX9" s="16"/>
      <c r="MY9" s="16"/>
      <c r="MZ9" s="16"/>
      <c r="NA9" s="16"/>
      <c r="NB9" s="16"/>
      <c r="NC9" s="16"/>
      <c r="ND9" s="16"/>
      <c r="NE9" s="16"/>
      <c r="NF9" s="16"/>
      <c r="NG9" s="16"/>
      <c r="NH9" s="16"/>
      <c r="NI9" s="16"/>
      <c r="NJ9" s="16"/>
      <c r="NK9" s="16"/>
      <c r="NL9" s="16"/>
      <c r="NM9" s="16"/>
      <c r="NN9" s="16"/>
      <c r="NO9" s="16"/>
      <c r="NP9" s="16"/>
      <c r="NQ9" s="16"/>
      <c r="NR9" s="16"/>
      <c r="NS9" s="16"/>
      <c r="NT9" s="16"/>
      <c r="NU9" s="16"/>
      <c r="NV9" s="16"/>
      <c r="NW9" s="16"/>
      <c r="NX9" s="16"/>
      <c r="NY9" s="16"/>
      <c r="NZ9" s="16"/>
      <c r="OA9" s="16"/>
      <c r="OB9" s="16"/>
      <c r="OC9" s="16"/>
      <c r="OD9" s="16"/>
      <c r="OE9" s="16"/>
      <c r="OF9" s="16"/>
      <c r="OG9" s="16"/>
      <c r="OH9" s="16"/>
      <c r="OI9" s="16"/>
      <c r="OJ9" s="16"/>
      <c r="OK9" s="16"/>
      <c r="OL9" s="16"/>
      <c r="OM9" s="16"/>
      <c r="ON9" s="16"/>
      <c r="OO9" s="16"/>
      <c r="OP9" s="16"/>
      <c r="OQ9" s="16"/>
      <c r="OR9" s="16"/>
      <c r="OS9" s="16"/>
      <c r="OT9" s="16"/>
      <c r="OU9" s="16"/>
      <c r="OV9" s="16"/>
      <c r="OW9" s="16"/>
      <c r="OX9" s="16"/>
      <c r="OY9" s="16"/>
      <c r="OZ9" s="16"/>
      <c r="PA9" s="16"/>
      <c r="PB9" s="16"/>
      <c r="PC9" s="16"/>
      <c r="PD9" s="16"/>
      <c r="PE9" s="16"/>
      <c r="PF9" s="16"/>
      <c r="PG9" s="16"/>
      <c r="PH9" s="16"/>
      <c r="PI9" s="16"/>
      <c r="PJ9" s="16"/>
      <c r="PK9" s="16"/>
      <c r="PL9" s="16"/>
      <c r="PM9" s="16"/>
      <c r="PN9" s="16"/>
      <c r="PO9" s="16"/>
      <c r="PP9" s="16"/>
      <c r="PQ9" s="16"/>
      <c r="PR9" s="16"/>
      <c r="PS9" s="16"/>
      <c r="PT9" s="16"/>
      <c r="PU9" s="16"/>
      <c r="PV9" s="16"/>
      <c r="PW9" s="16"/>
      <c r="PX9" s="16"/>
      <c r="PY9" s="16"/>
      <c r="PZ9" s="16"/>
      <c r="QA9" s="16"/>
      <c r="QB9" s="16"/>
      <c r="QC9" s="16"/>
      <c r="QD9" s="16"/>
      <c r="QE9" s="16"/>
      <c r="QF9" s="16"/>
      <c r="QG9" s="16"/>
      <c r="QH9" s="16"/>
      <c r="QI9" s="16"/>
      <c r="QJ9" s="16"/>
      <c r="QK9" s="16"/>
      <c r="QL9" s="16"/>
      <c r="QM9" s="16"/>
      <c r="QN9" s="16"/>
      <c r="QO9" s="16"/>
      <c r="QP9" s="16"/>
      <c r="QQ9" s="16"/>
      <c r="QR9" s="16"/>
      <c r="QS9" s="16"/>
      <c r="QT9" s="16"/>
      <c r="QU9" s="16"/>
      <c r="QV9" s="16"/>
      <c r="QW9" s="16"/>
      <c r="QX9" s="16"/>
      <c r="QY9" s="16"/>
      <c r="QZ9" s="16"/>
      <c r="RA9" s="16"/>
      <c r="RB9" s="16"/>
      <c r="RC9" s="16"/>
      <c r="RD9" s="16"/>
      <c r="RE9" s="16"/>
      <c r="RF9" s="16"/>
      <c r="RG9" s="16"/>
      <c r="RH9" s="16"/>
      <c r="RI9" s="16"/>
      <c r="RJ9" s="16"/>
      <c r="RK9" s="16"/>
      <c r="RL9" s="16"/>
      <c r="RM9" s="16"/>
      <c r="RN9" s="16"/>
      <c r="RO9" s="16"/>
      <c r="RP9" s="16"/>
      <c r="RQ9" s="16"/>
      <c r="RR9" s="16"/>
      <c r="RS9" s="16"/>
      <c r="RT9" s="16"/>
      <c r="RU9" s="16"/>
      <c r="RV9" s="16"/>
      <c r="RW9" s="16"/>
      <c r="RX9" s="16"/>
      <c r="RY9" s="16"/>
      <c r="RZ9" s="16"/>
      <c r="SA9" s="16"/>
      <c r="SB9" s="16"/>
      <c r="SC9" s="16"/>
      <c r="SD9" s="16"/>
      <c r="SE9" s="16"/>
      <c r="SF9" s="16"/>
      <c r="SG9" s="16"/>
      <c r="SH9" s="16"/>
      <c r="SI9" s="16"/>
      <c r="SJ9" s="16"/>
      <c r="SK9" s="16"/>
      <c r="SL9" s="16"/>
      <c r="SM9" s="16"/>
      <c r="SN9" s="16"/>
      <c r="SO9" s="16"/>
      <c r="SP9" s="16"/>
      <c r="SQ9" s="16"/>
      <c r="SR9" s="16"/>
      <c r="SS9" s="16"/>
      <c r="ST9" s="16"/>
      <c r="SU9" s="16"/>
      <c r="SV9" s="16"/>
      <c r="SW9" s="16"/>
      <c r="SX9" s="16"/>
      <c r="SY9" s="16"/>
      <c r="SZ9" s="16"/>
      <c r="TA9" s="16"/>
      <c r="TB9" s="16"/>
      <c r="TC9" s="16"/>
      <c r="TD9" s="16"/>
      <c r="TE9" s="16"/>
      <c r="TF9" s="16"/>
      <c r="TG9" s="16"/>
      <c r="TH9" s="16"/>
      <c r="TI9" s="16"/>
      <c r="TJ9" s="16"/>
      <c r="TK9" s="16"/>
      <c r="TL9" s="16"/>
      <c r="TM9" s="16"/>
      <c r="TN9" s="16"/>
      <c r="TO9" s="16"/>
      <c r="TP9" s="16"/>
      <c r="TQ9" s="16"/>
      <c r="TR9" s="16"/>
      <c r="TS9" s="16"/>
      <c r="TT9" s="16"/>
      <c r="TU9" s="16"/>
      <c r="TV9" s="16"/>
      <c r="TW9" s="16"/>
      <c r="TX9" s="16"/>
      <c r="TY9" s="16"/>
      <c r="TZ9" s="16"/>
      <c r="UA9" s="16"/>
      <c r="UB9" s="16"/>
      <c r="UC9" s="16"/>
      <c r="UD9" s="16"/>
      <c r="UE9" s="16"/>
      <c r="UF9" s="16"/>
      <c r="UG9" s="16"/>
      <c r="UH9" s="16"/>
      <c r="UI9" s="16"/>
      <c r="UJ9" s="16"/>
      <c r="UK9" s="16"/>
      <c r="UL9" s="16"/>
      <c r="UM9" s="16"/>
      <c r="UN9" s="16"/>
      <c r="UO9" s="16"/>
      <c r="UP9" s="16"/>
      <c r="UQ9" s="16"/>
      <c r="UR9" s="16"/>
      <c r="US9" s="16"/>
      <c r="UT9" s="16"/>
      <c r="UU9" s="16"/>
      <c r="UV9" s="16"/>
      <c r="UW9" s="16"/>
      <c r="UX9" s="16"/>
      <c r="UY9" s="16"/>
      <c r="UZ9" s="16"/>
      <c r="VA9" s="16"/>
      <c r="VB9" s="16"/>
      <c r="VC9" s="16"/>
      <c r="VD9" s="16"/>
      <c r="VE9" s="16"/>
      <c r="VF9" s="16"/>
      <c r="VG9" s="16"/>
      <c r="VH9" s="16"/>
      <c r="VI9" s="16"/>
      <c r="VJ9" s="16"/>
      <c r="VK9" s="16"/>
      <c r="VL9" s="16"/>
      <c r="VM9" s="16"/>
      <c r="VN9" s="16"/>
      <c r="VO9" s="16"/>
      <c r="VP9" s="16"/>
      <c r="VQ9" s="16"/>
      <c r="VR9" s="16"/>
      <c r="VS9" s="16"/>
      <c r="VT9" s="16"/>
      <c r="VU9" s="16"/>
      <c r="VV9" s="16"/>
      <c r="VW9" s="16"/>
      <c r="VX9" s="16"/>
      <c r="VY9" s="16"/>
      <c r="VZ9" s="16"/>
      <c r="WA9" s="16"/>
      <c r="WB9" s="16"/>
      <c r="WC9" s="16"/>
      <c r="WD9" s="16"/>
      <c r="WE9" s="16"/>
      <c r="WF9" s="16"/>
      <c r="WG9" s="16"/>
      <c r="WH9" s="16"/>
      <c r="WI9" s="16"/>
      <c r="WJ9" s="16"/>
      <c r="WK9" s="16"/>
      <c r="WL9" s="16"/>
      <c r="WM9" s="16"/>
      <c r="WN9" s="16"/>
      <c r="WO9" s="16"/>
      <c r="WP9" s="16"/>
      <c r="WQ9" s="16"/>
      <c r="WR9" s="16"/>
      <c r="WS9" s="16"/>
      <c r="WT9" s="16"/>
      <c r="WU9" s="16"/>
      <c r="WV9" s="16"/>
      <c r="WW9" s="16"/>
      <c r="WX9" s="16"/>
      <c r="WY9" s="16"/>
      <c r="WZ9" s="16"/>
      <c r="XA9" s="16"/>
      <c r="XB9" s="16"/>
      <c r="XC9" s="16"/>
      <c r="XD9" s="16"/>
      <c r="XE9" s="16"/>
      <c r="XF9" s="16"/>
      <c r="XG9" s="16"/>
      <c r="XH9" s="16"/>
      <c r="XI9" s="16"/>
      <c r="XJ9" s="16"/>
      <c r="XK9" s="16"/>
      <c r="XL9" s="16"/>
      <c r="XM9" s="16"/>
      <c r="XN9" s="16"/>
      <c r="XO9" s="16"/>
      <c r="XP9" s="16"/>
      <c r="XQ9" s="16"/>
      <c r="XR9" s="16"/>
      <c r="XS9" s="16"/>
      <c r="XT9" s="16"/>
      <c r="XU9" s="16"/>
      <c r="XV9" s="16"/>
      <c r="XW9" s="16"/>
      <c r="XX9" s="16"/>
      <c r="XY9" s="16"/>
      <c r="XZ9" s="16"/>
      <c r="YA9" s="16"/>
      <c r="YB9" s="16"/>
      <c r="YC9" s="16"/>
      <c r="YD9" s="16"/>
      <c r="YE9" s="16"/>
      <c r="YF9" s="16"/>
      <c r="YG9" s="16"/>
      <c r="YH9" s="16"/>
      <c r="YI9" s="16"/>
      <c r="YJ9" s="16"/>
      <c r="YK9" s="16"/>
      <c r="YL9" s="16"/>
      <c r="YM9" s="16"/>
      <c r="YN9" s="16"/>
      <c r="YO9" s="16"/>
      <c r="YP9" s="16"/>
      <c r="YQ9" s="16"/>
      <c r="YR9" s="16"/>
      <c r="YS9" s="16"/>
      <c r="YT9" s="16"/>
      <c r="YU9" s="16"/>
      <c r="YV9" s="16"/>
      <c r="YW9" s="16"/>
      <c r="YX9" s="16"/>
      <c r="YY9" s="16"/>
      <c r="YZ9" s="16"/>
      <c r="ZA9" s="16"/>
      <c r="ZB9" s="16"/>
      <c r="ZC9" s="16"/>
      <c r="ZD9" s="16"/>
      <c r="ZE9" s="16"/>
      <c r="ZF9" s="16"/>
      <c r="ZG9" s="16"/>
      <c r="ZH9" s="16"/>
      <c r="ZI9" s="16"/>
      <c r="ZJ9" s="16"/>
      <c r="ZK9" s="16"/>
      <c r="ZL9" s="16"/>
      <c r="ZM9" s="16"/>
      <c r="ZN9" s="16"/>
      <c r="ZO9" s="16"/>
      <c r="ZP9" s="16"/>
      <c r="ZQ9" s="16"/>
      <c r="ZR9" s="16"/>
      <c r="ZS9" s="16"/>
      <c r="ZT9" s="16"/>
      <c r="ZU9" s="16"/>
      <c r="ZV9" s="16"/>
      <c r="ZW9" s="16"/>
      <c r="ZX9" s="16"/>
      <c r="ZY9" s="16"/>
      <c r="ZZ9" s="16"/>
      <c r="AAA9" s="16"/>
      <c r="AAB9" s="16"/>
      <c r="AAC9" s="16"/>
      <c r="AAD9" s="16"/>
      <c r="AAE9" s="16"/>
      <c r="AAF9" s="16"/>
      <c r="AAG9" s="16"/>
      <c r="AAH9" s="16"/>
      <c r="AAI9" s="16"/>
      <c r="AAJ9" s="16"/>
      <c r="AAK9" s="16"/>
      <c r="AAL9" s="16"/>
      <c r="AAM9" s="16"/>
      <c r="AAN9" s="16"/>
      <c r="AAO9" s="16"/>
      <c r="AAP9" s="16"/>
      <c r="AAQ9" s="16"/>
      <c r="AAR9" s="16"/>
      <c r="AAS9" s="16"/>
      <c r="AAT9" s="16"/>
      <c r="AAU9" s="16"/>
      <c r="AAV9" s="16"/>
      <c r="AAW9" s="16"/>
      <c r="AAX9" s="16"/>
      <c r="AAY9" s="16"/>
      <c r="AAZ9" s="16"/>
      <c r="ABA9" s="16"/>
      <c r="ABB9" s="16"/>
      <c r="ABC9" s="16"/>
      <c r="ABD9" s="16"/>
      <c r="ABE9" s="16"/>
      <c r="ABF9" s="16"/>
      <c r="ABG9" s="16"/>
      <c r="ABH9" s="16"/>
      <c r="ABI9" s="16"/>
      <c r="ABJ9" s="16"/>
      <c r="ABK9" s="16"/>
      <c r="ABL9" s="16"/>
      <c r="ABM9" s="16"/>
      <c r="ABN9" s="16"/>
      <c r="ABO9" s="16"/>
      <c r="ABP9" s="16"/>
      <c r="ABQ9" s="16"/>
      <c r="ABR9" s="16"/>
      <c r="ABS9" s="16"/>
      <c r="ABT9" s="16"/>
    </row>
    <row r="10" spans="1:748" s="231" customFormat="1" ht="15.6" customHeight="1" x14ac:dyDescent="0.2">
      <c r="A10" s="169" t="s">
        <v>211</v>
      </c>
      <c r="B10" s="66" t="s">
        <v>175</v>
      </c>
      <c r="C10" s="85" t="s">
        <v>134</v>
      </c>
      <c r="D10" s="252">
        <v>43831</v>
      </c>
      <c r="E10" s="40">
        <v>1.8588235378265381</v>
      </c>
      <c r="F10" s="29">
        <v>4.1875</v>
      </c>
      <c r="G10" s="29" t="s">
        <v>173</v>
      </c>
      <c r="H10" s="29">
        <v>2.4124999046325679</v>
      </c>
      <c r="I10" s="29">
        <v>2.75</v>
      </c>
      <c r="J10" s="29">
        <v>1.868055582046509</v>
      </c>
      <c r="K10" s="29">
        <v>2.491071462631226</v>
      </c>
      <c r="L10" s="40">
        <v>0.25</v>
      </c>
      <c r="M10" s="16"/>
      <c r="N10" s="16"/>
      <c r="O10" s="30"/>
      <c r="P10" s="16"/>
      <c r="Q10" s="16"/>
      <c r="R10" s="16"/>
      <c r="S10" s="16"/>
      <c r="T10" s="16"/>
      <c r="U10" s="16"/>
      <c r="V10" s="16"/>
      <c r="W10" s="16"/>
      <c r="X10" s="16"/>
      <c r="Y10" s="15"/>
      <c r="Z10" s="15"/>
      <c r="AA10" s="15"/>
      <c r="AB10" s="15"/>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c r="IW10" s="16"/>
      <c r="IX10" s="16"/>
      <c r="IY10" s="16"/>
      <c r="IZ10" s="16"/>
      <c r="JA10" s="16"/>
      <c r="JB10" s="16"/>
      <c r="JC10" s="16"/>
      <c r="JD10" s="16"/>
      <c r="JE10" s="16"/>
      <c r="JF10" s="16"/>
      <c r="JG10" s="16"/>
      <c r="JH10" s="16"/>
      <c r="JI10" s="16"/>
      <c r="JJ10" s="16"/>
      <c r="JK10" s="16"/>
      <c r="JL10" s="16"/>
      <c r="JM10" s="16"/>
      <c r="JN10" s="16"/>
      <c r="JO10" s="16"/>
      <c r="JP10" s="16"/>
      <c r="JQ10" s="16"/>
      <c r="JR10" s="16"/>
      <c r="JS10" s="16"/>
      <c r="JT10" s="16"/>
      <c r="JU10" s="16"/>
      <c r="JV10" s="16"/>
      <c r="JW10" s="16"/>
      <c r="JX10" s="16"/>
      <c r="JY10" s="16"/>
      <c r="JZ10" s="16"/>
      <c r="KA10" s="16"/>
      <c r="KB10" s="16"/>
      <c r="KC10" s="16"/>
      <c r="KD10" s="16"/>
      <c r="KE10" s="16"/>
      <c r="KF10" s="16"/>
      <c r="KG10" s="16"/>
      <c r="KH10" s="16"/>
      <c r="KI10" s="16"/>
      <c r="KJ10" s="16"/>
      <c r="KK10" s="16"/>
      <c r="KL10" s="16"/>
      <c r="KM10" s="16"/>
      <c r="KN10" s="16"/>
      <c r="KO10" s="16"/>
      <c r="KP10" s="16"/>
      <c r="KQ10" s="16"/>
      <c r="KR10" s="16"/>
      <c r="KS10" s="16"/>
      <c r="KT10" s="16"/>
      <c r="KU10" s="16"/>
      <c r="KV10" s="16"/>
      <c r="KW10" s="16"/>
      <c r="KX10" s="16"/>
      <c r="KY10" s="16"/>
      <c r="KZ10" s="16"/>
      <c r="LA10" s="16"/>
      <c r="LB10" s="16"/>
      <c r="LC10" s="16"/>
      <c r="LD10" s="16"/>
      <c r="LE10" s="16"/>
      <c r="LF10" s="16"/>
      <c r="LG10" s="16"/>
      <c r="LH10" s="16"/>
      <c r="LI10" s="16"/>
      <c r="LJ10" s="16"/>
      <c r="LK10" s="16"/>
      <c r="LL10" s="16"/>
      <c r="LM10" s="16"/>
      <c r="LN10" s="16"/>
      <c r="LO10" s="16"/>
      <c r="LP10" s="16"/>
      <c r="LQ10" s="16"/>
      <c r="LR10" s="16"/>
      <c r="LS10" s="16"/>
      <c r="LT10" s="16"/>
      <c r="LU10" s="16"/>
      <c r="LV10" s="16"/>
      <c r="LW10" s="16"/>
      <c r="LX10" s="16"/>
      <c r="LY10" s="16"/>
      <c r="LZ10" s="16"/>
      <c r="MA10" s="16"/>
      <c r="MB10" s="16"/>
      <c r="MC10" s="16"/>
      <c r="MD10" s="16"/>
      <c r="ME10" s="16"/>
      <c r="MF10" s="16"/>
      <c r="MG10" s="16"/>
      <c r="MH10" s="16"/>
      <c r="MI10" s="16"/>
      <c r="MJ10" s="16"/>
      <c r="MK10" s="16"/>
      <c r="ML10" s="16"/>
      <c r="MM10" s="16"/>
      <c r="MN10" s="16"/>
      <c r="MO10" s="16"/>
      <c r="MP10" s="16"/>
      <c r="MQ10" s="16"/>
      <c r="MR10" s="16"/>
      <c r="MS10" s="16"/>
      <c r="MT10" s="16"/>
      <c r="MU10" s="16"/>
      <c r="MV10" s="16"/>
      <c r="MW10" s="16"/>
      <c r="MX10" s="16"/>
      <c r="MY10" s="16"/>
      <c r="MZ10" s="16"/>
      <c r="NA10" s="16"/>
      <c r="NB10" s="16"/>
      <c r="NC10" s="16"/>
      <c r="ND10" s="16"/>
      <c r="NE10" s="16"/>
      <c r="NF10" s="16"/>
      <c r="NG10" s="16"/>
      <c r="NH10" s="16"/>
      <c r="NI10" s="16"/>
      <c r="NJ10" s="16"/>
      <c r="NK10" s="16"/>
      <c r="NL10" s="16"/>
      <c r="NM10" s="16"/>
      <c r="NN10" s="16"/>
      <c r="NO10" s="16"/>
      <c r="NP10" s="16"/>
      <c r="NQ10" s="16"/>
      <c r="NR10" s="16"/>
      <c r="NS10" s="16"/>
      <c r="NT10" s="16"/>
      <c r="NU10" s="16"/>
      <c r="NV10" s="16"/>
      <c r="NW10" s="16"/>
      <c r="NX10" s="16"/>
      <c r="NY10" s="16"/>
      <c r="NZ10" s="16"/>
      <c r="OA10" s="16"/>
      <c r="OB10" s="16"/>
      <c r="OC10" s="16"/>
      <c r="OD10" s="16"/>
      <c r="OE10" s="16"/>
      <c r="OF10" s="16"/>
      <c r="OG10" s="16"/>
      <c r="OH10" s="16"/>
      <c r="OI10" s="16"/>
      <c r="OJ10" s="16"/>
      <c r="OK10" s="16"/>
      <c r="OL10" s="16"/>
      <c r="OM10" s="16"/>
      <c r="ON10" s="16"/>
      <c r="OO10" s="16"/>
      <c r="OP10" s="16"/>
      <c r="OQ10" s="16"/>
      <c r="OR10" s="16"/>
      <c r="OS10" s="16"/>
      <c r="OT10" s="16"/>
      <c r="OU10" s="16"/>
      <c r="OV10" s="16"/>
      <c r="OW10" s="16"/>
      <c r="OX10" s="16"/>
      <c r="OY10" s="16"/>
      <c r="OZ10" s="16"/>
      <c r="PA10" s="16"/>
      <c r="PB10" s="16"/>
      <c r="PC10" s="16"/>
      <c r="PD10" s="16"/>
      <c r="PE10" s="16"/>
      <c r="PF10" s="16"/>
      <c r="PG10" s="16"/>
      <c r="PH10" s="16"/>
      <c r="PI10" s="16"/>
      <c r="PJ10" s="16"/>
      <c r="PK10" s="16"/>
      <c r="PL10" s="16"/>
      <c r="PM10" s="16"/>
      <c r="PN10" s="16"/>
      <c r="PO10" s="16"/>
      <c r="PP10" s="16"/>
      <c r="PQ10" s="16"/>
      <c r="PR10" s="16"/>
      <c r="PS10" s="16"/>
      <c r="PT10" s="16"/>
      <c r="PU10" s="16"/>
      <c r="PV10" s="16"/>
      <c r="PW10" s="16"/>
      <c r="PX10" s="16"/>
      <c r="PY10" s="16"/>
      <c r="PZ10" s="16"/>
      <c r="QA10" s="16"/>
      <c r="QB10" s="16"/>
      <c r="QC10" s="16"/>
      <c r="QD10" s="16"/>
      <c r="QE10" s="16"/>
      <c r="QF10" s="16"/>
      <c r="QG10" s="16"/>
      <c r="QH10" s="16"/>
      <c r="QI10" s="16"/>
      <c r="QJ10" s="16"/>
      <c r="QK10" s="16"/>
      <c r="QL10" s="16"/>
      <c r="QM10" s="16"/>
      <c r="QN10" s="16"/>
      <c r="QO10" s="16"/>
      <c r="QP10" s="16"/>
      <c r="QQ10" s="16"/>
      <c r="QR10" s="16"/>
      <c r="QS10" s="16"/>
      <c r="QT10" s="16"/>
      <c r="QU10" s="16"/>
      <c r="QV10" s="16"/>
      <c r="QW10" s="16"/>
      <c r="QX10" s="16"/>
      <c r="QY10" s="16"/>
      <c r="QZ10" s="16"/>
      <c r="RA10" s="16"/>
      <c r="RB10" s="16"/>
      <c r="RC10" s="16"/>
      <c r="RD10" s="16"/>
      <c r="RE10" s="16"/>
      <c r="RF10" s="16"/>
      <c r="RG10" s="16"/>
      <c r="RH10" s="16"/>
      <c r="RI10" s="16"/>
      <c r="RJ10" s="16"/>
      <c r="RK10" s="16"/>
      <c r="RL10" s="16"/>
      <c r="RM10" s="16"/>
      <c r="RN10" s="16"/>
      <c r="RO10" s="16"/>
      <c r="RP10" s="16"/>
      <c r="RQ10" s="16"/>
      <c r="RR10" s="16"/>
      <c r="RS10" s="16"/>
      <c r="RT10" s="16"/>
      <c r="RU10" s="16"/>
      <c r="RV10" s="16"/>
      <c r="RW10" s="16"/>
      <c r="RX10" s="16"/>
      <c r="RY10" s="16"/>
      <c r="RZ10" s="16"/>
      <c r="SA10" s="16"/>
      <c r="SB10" s="16"/>
      <c r="SC10" s="16"/>
      <c r="SD10" s="16"/>
      <c r="SE10" s="16"/>
      <c r="SF10" s="16"/>
      <c r="SG10" s="16"/>
      <c r="SH10" s="16"/>
      <c r="SI10" s="16"/>
      <c r="SJ10" s="16"/>
      <c r="SK10" s="16"/>
      <c r="SL10" s="16"/>
      <c r="SM10" s="16"/>
      <c r="SN10" s="16"/>
      <c r="SO10" s="16"/>
      <c r="SP10" s="16"/>
      <c r="SQ10" s="16"/>
      <c r="SR10" s="16"/>
      <c r="SS10" s="16"/>
      <c r="ST10" s="16"/>
      <c r="SU10" s="16"/>
      <c r="SV10" s="16"/>
      <c r="SW10" s="16"/>
      <c r="SX10" s="16"/>
      <c r="SY10" s="16"/>
      <c r="SZ10" s="16"/>
      <c r="TA10" s="16"/>
      <c r="TB10" s="16"/>
      <c r="TC10" s="16"/>
      <c r="TD10" s="16"/>
      <c r="TE10" s="16"/>
      <c r="TF10" s="16"/>
      <c r="TG10" s="16"/>
      <c r="TH10" s="16"/>
      <c r="TI10" s="16"/>
      <c r="TJ10" s="16"/>
      <c r="TK10" s="16"/>
      <c r="TL10" s="16"/>
      <c r="TM10" s="16"/>
      <c r="TN10" s="16"/>
      <c r="TO10" s="16"/>
      <c r="TP10" s="16"/>
      <c r="TQ10" s="16"/>
      <c r="TR10" s="16"/>
      <c r="TS10" s="16"/>
      <c r="TT10" s="16"/>
      <c r="TU10" s="16"/>
      <c r="TV10" s="16"/>
      <c r="TW10" s="16"/>
      <c r="TX10" s="16"/>
      <c r="TY10" s="16"/>
      <c r="TZ10" s="16"/>
      <c r="UA10" s="16"/>
      <c r="UB10" s="16"/>
      <c r="UC10" s="16"/>
      <c r="UD10" s="16"/>
      <c r="UE10" s="16"/>
      <c r="UF10" s="16"/>
      <c r="UG10" s="16"/>
      <c r="UH10" s="16"/>
      <c r="UI10" s="16"/>
      <c r="UJ10" s="16"/>
      <c r="UK10" s="16"/>
      <c r="UL10" s="16"/>
      <c r="UM10" s="16"/>
      <c r="UN10" s="16"/>
      <c r="UO10" s="16"/>
      <c r="UP10" s="16"/>
      <c r="UQ10" s="16"/>
      <c r="UR10" s="16"/>
      <c r="US10" s="16"/>
      <c r="UT10" s="16"/>
      <c r="UU10" s="16"/>
      <c r="UV10" s="16"/>
      <c r="UW10" s="16"/>
      <c r="UX10" s="16"/>
      <c r="UY10" s="16"/>
      <c r="UZ10" s="16"/>
      <c r="VA10" s="16"/>
      <c r="VB10" s="16"/>
      <c r="VC10" s="16"/>
      <c r="VD10" s="16"/>
      <c r="VE10" s="16"/>
      <c r="VF10" s="16"/>
      <c r="VG10" s="16"/>
      <c r="VH10" s="16"/>
      <c r="VI10" s="16"/>
      <c r="VJ10" s="16"/>
      <c r="VK10" s="16"/>
      <c r="VL10" s="16"/>
      <c r="VM10" s="16"/>
      <c r="VN10" s="16"/>
      <c r="VO10" s="16"/>
      <c r="VP10" s="16"/>
      <c r="VQ10" s="16"/>
      <c r="VR10" s="16"/>
      <c r="VS10" s="16"/>
      <c r="VT10" s="16"/>
      <c r="VU10" s="16"/>
      <c r="VV10" s="16"/>
      <c r="VW10" s="16"/>
      <c r="VX10" s="16"/>
      <c r="VY10" s="16"/>
      <c r="VZ10" s="16"/>
      <c r="WA10" s="16"/>
      <c r="WB10" s="16"/>
      <c r="WC10" s="16"/>
      <c r="WD10" s="16"/>
      <c r="WE10" s="16"/>
      <c r="WF10" s="16"/>
      <c r="WG10" s="16"/>
      <c r="WH10" s="16"/>
      <c r="WI10" s="16"/>
      <c r="WJ10" s="16"/>
      <c r="WK10" s="16"/>
      <c r="WL10" s="16"/>
      <c r="WM10" s="16"/>
      <c r="WN10" s="16"/>
      <c r="WO10" s="16"/>
      <c r="WP10" s="16"/>
      <c r="WQ10" s="16"/>
      <c r="WR10" s="16"/>
      <c r="WS10" s="16"/>
      <c r="WT10" s="16"/>
      <c r="WU10" s="16"/>
      <c r="WV10" s="16"/>
      <c r="WW10" s="16"/>
      <c r="WX10" s="16"/>
      <c r="WY10" s="16"/>
      <c r="WZ10" s="16"/>
      <c r="XA10" s="16"/>
      <c r="XB10" s="16"/>
      <c r="XC10" s="16"/>
      <c r="XD10" s="16"/>
      <c r="XE10" s="16"/>
      <c r="XF10" s="16"/>
      <c r="XG10" s="16"/>
      <c r="XH10" s="16"/>
      <c r="XI10" s="16"/>
      <c r="XJ10" s="16"/>
      <c r="XK10" s="16"/>
      <c r="XL10" s="16"/>
      <c r="XM10" s="16"/>
      <c r="XN10" s="16"/>
      <c r="XO10" s="16"/>
      <c r="XP10" s="16"/>
      <c r="XQ10" s="16"/>
      <c r="XR10" s="16"/>
      <c r="XS10" s="16"/>
      <c r="XT10" s="16"/>
      <c r="XU10" s="16"/>
      <c r="XV10" s="16"/>
      <c r="XW10" s="16"/>
      <c r="XX10" s="16"/>
      <c r="XY10" s="16"/>
      <c r="XZ10" s="16"/>
      <c r="YA10" s="16"/>
      <c r="YB10" s="16"/>
      <c r="YC10" s="16"/>
      <c r="YD10" s="16"/>
      <c r="YE10" s="16"/>
      <c r="YF10" s="16"/>
      <c r="YG10" s="16"/>
      <c r="YH10" s="16"/>
      <c r="YI10" s="16"/>
      <c r="YJ10" s="16"/>
      <c r="YK10" s="16"/>
      <c r="YL10" s="16"/>
      <c r="YM10" s="16"/>
      <c r="YN10" s="16"/>
      <c r="YO10" s="16"/>
      <c r="YP10" s="16"/>
      <c r="YQ10" s="16"/>
      <c r="YR10" s="16"/>
      <c r="YS10" s="16"/>
      <c r="YT10" s="16"/>
      <c r="YU10" s="16"/>
      <c r="YV10" s="16"/>
      <c r="YW10" s="16"/>
      <c r="YX10" s="16"/>
      <c r="YY10" s="16"/>
      <c r="YZ10" s="16"/>
      <c r="ZA10" s="16"/>
      <c r="ZB10" s="16"/>
      <c r="ZC10" s="16"/>
      <c r="ZD10" s="16"/>
      <c r="ZE10" s="16"/>
      <c r="ZF10" s="16"/>
      <c r="ZG10" s="16"/>
      <c r="ZH10" s="16"/>
      <c r="ZI10" s="16"/>
      <c r="ZJ10" s="16"/>
      <c r="ZK10" s="16"/>
      <c r="ZL10" s="16"/>
      <c r="ZM10" s="16"/>
      <c r="ZN10" s="16"/>
      <c r="ZO10" s="16"/>
      <c r="ZP10" s="16"/>
      <c r="ZQ10" s="16"/>
      <c r="ZR10" s="16"/>
      <c r="ZS10" s="16"/>
      <c r="ZT10" s="16"/>
      <c r="ZU10" s="16"/>
      <c r="ZV10" s="16"/>
      <c r="ZW10" s="16"/>
      <c r="ZX10" s="16"/>
      <c r="ZY10" s="16"/>
      <c r="ZZ10" s="16"/>
      <c r="AAA10" s="16"/>
      <c r="AAB10" s="16"/>
      <c r="AAC10" s="16"/>
      <c r="AAD10" s="16"/>
      <c r="AAE10" s="16"/>
      <c r="AAF10" s="16"/>
      <c r="AAG10" s="16"/>
      <c r="AAH10" s="16"/>
      <c r="AAI10" s="16"/>
      <c r="AAJ10" s="16"/>
      <c r="AAK10" s="16"/>
      <c r="AAL10" s="16"/>
      <c r="AAM10" s="16"/>
      <c r="AAN10" s="16"/>
      <c r="AAO10" s="16"/>
      <c r="AAP10" s="16"/>
      <c r="AAQ10" s="16"/>
      <c r="AAR10" s="16"/>
      <c r="AAS10" s="16"/>
      <c r="AAT10" s="16"/>
      <c r="AAU10" s="16"/>
      <c r="AAV10" s="16"/>
      <c r="AAW10" s="16"/>
      <c r="AAX10" s="16"/>
      <c r="AAY10" s="16"/>
      <c r="AAZ10" s="16"/>
      <c r="ABA10" s="16"/>
      <c r="ABB10" s="16"/>
      <c r="ABC10" s="16"/>
      <c r="ABD10" s="16"/>
      <c r="ABE10" s="16"/>
      <c r="ABF10" s="16"/>
      <c r="ABG10" s="16"/>
      <c r="ABH10" s="16"/>
      <c r="ABI10" s="16"/>
      <c r="ABJ10" s="16"/>
      <c r="ABK10" s="16"/>
      <c r="ABL10" s="16"/>
      <c r="ABM10" s="16"/>
      <c r="ABN10" s="16"/>
      <c r="ABO10" s="16"/>
      <c r="ABP10" s="16"/>
      <c r="ABQ10" s="16"/>
      <c r="ABR10" s="16"/>
      <c r="ABS10" s="16"/>
      <c r="ABT10" s="16"/>
    </row>
    <row r="11" spans="1:748" s="231" customFormat="1" ht="15.6" customHeight="1" x14ac:dyDescent="0.2">
      <c r="A11" s="169" t="s">
        <v>212</v>
      </c>
      <c r="B11" s="66" t="s">
        <v>176</v>
      </c>
      <c r="C11" s="85" t="s">
        <v>134</v>
      </c>
      <c r="D11" s="252">
        <v>43466</v>
      </c>
      <c r="E11" s="40">
        <v>1.2250000238418579</v>
      </c>
      <c r="F11" s="29">
        <v>3.6375000476837158</v>
      </c>
      <c r="G11" s="29">
        <v>5.1785717010498047</v>
      </c>
      <c r="H11" s="29">
        <v>0</v>
      </c>
      <c r="I11" s="29">
        <v>0.66666668653488159</v>
      </c>
      <c r="J11" s="29">
        <v>0.66666668653488159</v>
      </c>
      <c r="K11" s="29">
        <v>0</v>
      </c>
      <c r="L11" s="40">
        <v>2.75</v>
      </c>
      <c r="M11" s="16"/>
      <c r="N11" s="16"/>
      <c r="O11" s="30"/>
      <c r="P11" s="16"/>
      <c r="Q11" s="16"/>
      <c r="R11" s="16"/>
      <c r="S11" s="16"/>
      <c r="T11" s="16"/>
      <c r="U11" s="16"/>
      <c r="V11" s="16"/>
      <c r="W11" s="16"/>
      <c r="X11" s="16"/>
      <c r="Y11" s="15"/>
      <c r="Z11" s="15"/>
      <c r="AA11" s="15"/>
      <c r="AB11" s="15"/>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c r="KW11" s="16"/>
      <c r="KX11" s="16"/>
      <c r="KY11" s="16"/>
      <c r="KZ11" s="16"/>
      <c r="LA11" s="16"/>
      <c r="LB11" s="16"/>
      <c r="LC11" s="16"/>
      <c r="LD11" s="16"/>
      <c r="LE11" s="16"/>
      <c r="LF11" s="16"/>
      <c r="LG11" s="16"/>
      <c r="LH11" s="16"/>
      <c r="LI11" s="16"/>
      <c r="LJ11" s="16"/>
      <c r="LK11" s="16"/>
      <c r="LL11" s="16"/>
      <c r="LM11" s="16"/>
      <c r="LN11" s="16"/>
      <c r="LO11" s="16"/>
      <c r="LP11" s="16"/>
      <c r="LQ11" s="16"/>
      <c r="LR11" s="16"/>
      <c r="LS11" s="16"/>
      <c r="LT11" s="16"/>
      <c r="LU11" s="16"/>
      <c r="LV11" s="16"/>
      <c r="LW11" s="16"/>
      <c r="LX11" s="16"/>
      <c r="LY11" s="16"/>
      <c r="LZ11" s="16"/>
      <c r="MA11" s="16"/>
      <c r="MB11" s="16"/>
      <c r="MC11" s="16"/>
      <c r="MD11" s="16"/>
      <c r="ME11" s="16"/>
      <c r="MF11" s="16"/>
      <c r="MG11" s="16"/>
      <c r="MH11" s="16"/>
      <c r="MI11" s="16"/>
      <c r="MJ11" s="16"/>
      <c r="MK11" s="16"/>
      <c r="ML11" s="16"/>
      <c r="MM11" s="16"/>
      <c r="MN11" s="16"/>
      <c r="MO11" s="16"/>
      <c r="MP11" s="16"/>
      <c r="MQ11" s="16"/>
      <c r="MR11" s="16"/>
      <c r="MS11" s="16"/>
      <c r="MT11" s="16"/>
      <c r="MU11" s="16"/>
      <c r="MV11" s="16"/>
      <c r="MW11" s="16"/>
      <c r="MX11" s="16"/>
      <c r="MY11" s="16"/>
      <c r="MZ11" s="16"/>
      <c r="NA11" s="16"/>
      <c r="NB11" s="16"/>
      <c r="NC11" s="16"/>
      <c r="ND11" s="16"/>
      <c r="NE11" s="16"/>
      <c r="NF11" s="16"/>
      <c r="NG11" s="16"/>
      <c r="NH11" s="16"/>
      <c r="NI11" s="16"/>
      <c r="NJ11" s="16"/>
      <c r="NK11" s="16"/>
      <c r="NL11" s="16"/>
      <c r="NM11" s="16"/>
      <c r="NN11" s="16"/>
      <c r="NO11" s="16"/>
      <c r="NP11" s="16"/>
      <c r="NQ11" s="16"/>
      <c r="NR11" s="16"/>
      <c r="NS11" s="16"/>
      <c r="NT11" s="16"/>
      <c r="NU11" s="16"/>
      <c r="NV11" s="16"/>
      <c r="NW11" s="16"/>
      <c r="NX11" s="16"/>
      <c r="NY11" s="16"/>
      <c r="NZ11" s="16"/>
      <c r="OA11" s="16"/>
      <c r="OB11" s="16"/>
      <c r="OC11" s="16"/>
      <c r="OD11" s="16"/>
      <c r="OE11" s="16"/>
      <c r="OF11" s="16"/>
      <c r="OG11" s="16"/>
      <c r="OH11" s="16"/>
      <c r="OI11" s="16"/>
      <c r="OJ11" s="16"/>
      <c r="OK11" s="16"/>
      <c r="OL11" s="16"/>
      <c r="OM11" s="16"/>
      <c r="ON11" s="16"/>
      <c r="OO11" s="16"/>
      <c r="OP11" s="16"/>
      <c r="OQ11" s="16"/>
      <c r="OR11" s="16"/>
      <c r="OS11" s="16"/>
      <c r="OT11" s="16"/>
      <c r="OU11" s="16"/>
      <c r="OV11" s="16"/>
      <c r="OW11" s="16"/>
      <c r="OX11" s="16"/>
      <c r="OY11" s="16"/>
      <c r="OZ11" s="16"/>
      <c r="PA11" s="16"/>
      <c r="PB11" s="16"/>
      <c r="PC11" s="16"/>
      <c r="PD11" s="16"/>
      <c r="PE11" s="16"/>
      <c r="PF11" s="16"/>
      <c r="PG11" s="16"/>
      <c r="PH11" s="16"/>
      <c r="PI11" s="16"/>
      <c r="PJ11" s="16"/>
      <c r="PK11" s="16"/>
      <c r="PL11" s="16"/>
      <c r="PM11" s="16"/>
      <c r="PN11" s="16"/>
      <c r="PO11" s="16"/>
      <c r="PP11" s="16"/>
      <c r="PQ11" s="16"/>
      <c r="PR11" s="16"/>
      <c r="PS11" s="16"/>
      <c r="PT11" s="16"/>
      <c r="PU11" s="16"/>
      <c r="PV11" s="16"/>
      <c r="PW11" s="16"/>
      <c r="PX11" s="16"/>
      <c r="PY11" s="16"/>
      <c r="PZ11" s="16"/>
      <c r="QA11" s="16"/>
      <c r="QB11" s="16"/>
      <c r="QC11" s="16"/>
      <c r="QD11" s="16"/>
      <c r="QE11" s="16"/>
      <c r="QF11" s="16"/>
      <c r="QG11" s="16"/>
      <c r="QH11" s="16"/>
      <c r="QI11" s="16"/>
      <c r="QJ11" s="16"/>
      <c r="QK11" s="16"/>
      <c r="QL11" s="16"/>
      <c r="QM11" s="16"/>
      <c r="QN11" s="16"/>
      <c r="QO11" s="16"/>
      <c r="QP11" s="16"/>
      <c r="QQ11" s="16"/>
      <c r="QR11" s="16"/>
      <c r="QS11" s="16"/>
      <c r="QT11" s="16"/>
      <c r="QU11" s="16"/>
      <c r="QV11" s="16"/>
      <c r="QW11" s="16"/>
      <c r="QX11" s="16"/>
      <c r="QY11" s="16"/>
      <c r="QZ11" s="16"/>
      <c r="RA11" s="16"/>
      <c r="RB11" s="16"/>
      <c r="RC11" s="16"/>
      <c r="RD11" s="16"/>
      <c r="RE11" s="16"/>
      <c r="RF11" s="16"/>
      <c r="RG11" s="16"/>
      <c r="RH11" s="16"/>
      <c r="RI11" s="16"/>
      <c r="RJ11" s="16"/>
      <c r="RK11" s="16"/>
      <c r="RL11" s="16"/>
      <c r="RM11" s="16"/>
      <c r="RN11" s="16"/>
      <c r="RO11" s="16"/>
      <c r="RP11" s="16"/>
      <c r="RQ11" s="16"/>
      <c r="RR11" s="16"/>
      <c r="RS11" s="16"/>
      <c r="RT11" s="16"/>
      <c r="RU11" s="16"/>
      <c r="RV11" s="16"/>
      <c r="RW11" s="16"/>
      <c r="RX11" s="16"/>
      <c r="RY11" s="16"/>
      <c r="RZ11" s="16"/>
      <c r="SA11" s="16"/>
      <c r="SB11" s="16"/>
      <c r="SC11" s="16"/>
      <c r="SD11" s="16"/>
      <c r="SE11" s="16"/>
      <c r="SF11" s="16"/>
      <c r="SG11" s="16"/>
      <c r="SH11" s="16"/>
      <c r="SI11" s="16"/>
      <c r="SJ11" s="16"/>
      <c r="SK11" s="16"/>
      <c r="SL11" s="16"/>
      <c r="SM11" s="16"/>
      <c r="SN11" s="16"/>
      <c r="SO11" s="16"/>
      <c r="SP11" s="16"/>
      <c r="SQ11" s="16"/>
      <c r="SR11" s="16"/>
      <c r="SS11" s="16"/>
      <c r="ST11" s="16"/>
      <c r="SU11" s="16"/>
      <c r="SV11" s="16"/>
      <c r="SW11" s="16"/>
      <c r="SX11" s="16"/>
      <c r="SY11" s="16"/>
      <c r="SZ11" s="16"/>
      <c r="TA11" s="16"/>
      <c r="TB11" s="16"/>
      <c r="TC11" s="16"/>
      <c r="TD11" s="16"/>
      <c r="TE11" s="16"/>
      <c r="TF11" s="16"/>
      <c r="TG11" s="16"/>
      <c r="TH11" s="16"/>
      <c r="TI11" s="16"/>
      <c r="TJ11" s="16"/>
      <c r="TK11" s="16"/>
      <c r="TL11" s="16"/>
      <c r="TM11" s="16"/>
      <c r="TN11" s="16"/>
      <c r="TO11" s="16"/>
      <c r="TP11" s="16"/>
      <c r="TQ11" s="16"/>
      <c r="TR11" s="16"/>
      <c r="TS11" s="16"/>
      <c r="TT11" s="16"/>
      <c r="TU11" s="16"/>
      <c r="TV11" s="16"/>
      <c r="TW11" s="16"/>
      <c r="TX11" s="16"/>
      <c r="TY11" s="16"/>
      <c r="TZ11" s="16"/>
      <c r="UA11" s="16"/>
      <c r="UB11" s="16"/>
      <c r="UC11" s="16"/>
      <c r="UD11" s="16"/>
      <c r="UE11" s="16"/>
      <c r="UF11" s="16"/>
      <c r="UG11" s="16"/>
      <c r="UH11" s="16"/>
      <c r="UI11" s="16"/>
      <c r="UJ11" s="16"/>
      <c r="UK11" s="16"/>
      <c r="UL11" s="16"/>
      <c r="UM11" s="16"/>
      <c r="UN11" s="16"/>
      <c r="UO11" s="16"/>
      <c r="UP11" s="16"/>
      <c r="UQ11" s="16"/>
      <c r="UR11" s="16"/>
      <c r="US11" s="16"/>
      <c r="UT11" s="16"/>
      <c r="UU11" s="16"/>
      <c r="UV11" s="16"/>
      <c r="UW11" s="16"/>
      <c r="UX11" s="16"/>
      <c r="UY11" s="16"/>
      <c r="UZ11" s="16"/>
      <c r="VA11" s="16"/>
      <c r="VB11" s="16"/>
      <c r="VC11" s="16"/>
      <c r="VD11" s="16"/>
      <c r="VE11" s="16"/>
      <c r="VF11" s="16"/>
      <c r="VG11" s="16"/>
      <c r="VH11" s="16"/>
      <c r="VI11" s="16"/>
      <c r="VJ11" s="16"/>
      <c r="VK11" s="16"/>
      <c r="VL11" s="16"/>
      <c r="VM11" s="16"/>
      <c r="VN11" s="16"/>
      <c r="VO11" s="16"/>
      <c r="VP11" s="16"/>
      <c r="VQ11" s="16"/>
      <c r="VR11" s="16"/>
      <c r="VS11" s="16"/>
      <c r="VT11" s="16"/>
      <c r="VU11" s="16"/>
      <c r="VV11" s="16"/>
      <c r="VW11" s="16"/>
      <c r="VX11" s="16"/>
      <c r="VY11" s="16"/>
      <c r="VZ11" s="16"/>
      <c r="WA11" s="16"/>
      <c r="WB11" s="16"/>
      <c r="WC11" s="16"/>
      <c r="WD11" s="16"/>
      <c r="WE11" s="16"/>
      <c r="WF11" s="16"/>
      <c r="WG11" s="16"/>
      <c r="WH11" s="16"/>
      <c r="WI11" s="16"/>
      <c r="WJ11" s="16"/>
      <c r="WK11" s="16"/>
      <c r="WL11" s="16"/>
      <c r="WM11" s="16"/>
      <c r="WN11" s="16"/>
      <c r="WO11" s="16"/>
      <c r="WP11" s="16"/>
      <c r="WQ11" s="16"/>
      <c r="WR11" s="16"/>
      <c r="WS11" s="16"/>
      <c r="WT11" s="16"/>
      <c r="WU11" s="16"/>
      <c r="WV11" s="16"/>
      <c r="WW11" s="16"/>
      <c r="WX11" s="16"/>
      <c r="WY11" s="16"/>
      <c r="WZ11" s="16"/>
      <c r="XA11" s="16"/>
      <c r="XB11" s="16"/>
      <c r="XC11" s="16"/>
      <c r="XD11" s="16"/>
      <c r="XE11" s="16"/>
      <c r="XF11" s="16"/>
      <c r="XG11" s="16"/>
      <c r="XH11" s="16"/>
      <c r="XI11" s="16"/>
      <c r="XJ11" s="16"/>
      <c r="XK11" s="16"/>
      <c r="XL11" s="16"/>
      <c r="XM11" s="16"/>
      <c r="XN11" s="16"/>
      <c r="XO11" s="16"/>
      <c r="XP11" s="16"/>
      <c r="XQ11" s="16"/>
      <c r="XR11" s="16"/>
      <c r="XS11" s="16"/>
      <c r="XT11" s="16"/>
      <c r="XU11" s="16"/>
      <c r="XV11" s="16"/>
      <c r="XW11" s="16"/>
      <c r="XX11" s="16"/>
      <c r="XY11" s="16"/>
      <c r="XZ11" s="16"/>
      <c r="YA11" s="16"/>
      <c r="YB11" s="16"/>
      <c r="YC11" s="16"/>
      <c r="YD11" s="16"/>
      <c r="YE11" s="16"/>
      <c r="YF11" s="16"/>
      <c r="YG11" s="16"/>
      <c r="YH11" s="16"/>
      <c r="YI11" s="16"/>
      <c r="YJ11" s="16"/>
      <c r="YK11" s="16"/>
      <c r="YL11" s="16"/>
      <c r="YM11" s="16"/>
      <c r="YN11" s="16"/>
      <c r="YO11" s="16"/>
      <c r="YP11" s="16"/>
      <c r="YQ11" s="16"/>
      <c r="YR11" s="16"/>
      <c r="YS11" s="16"/>
      <c r="YT11" s="16"/>
      <c r="YU11" s="16"/>
      <c r="YV11" s="16"/>
      <c r="YW11" s="16"/>
      <c r="YX11" s="16"/>
      <c r="YY11" s="16"/>
      <c r="YZ11" s="16"/>
      <c r="ZA11" s="16"/>
      <c r="ZB11" s="16"/>
      <c r="ZC11" s="16"/>
      <c r="ZD11" s="16"/>
      <c r="ZE11" s="16"/>
      <c r="ZF11" s="16"/>
      <c r="ZG11" s="16"/>
      <c r="ZH11" s="16"/>
      <c r="ZI11" s="16"/>
      <c r="ZJ11" s="16"/>
      <c r="ZK11" s="16"/>
      <c r="ZL11" s="16"/>
      <c r="ZM11" s="16"/>
      <c r="ZN11" s="16"/>
      <c r="ZO11" s="16"/>
      <c r="ZP11" s="16"/>
      <c r="ZQ11" s="16"/>
      <c r="ZR11" s="16"/>
      <c r="ZS11" s="16"/>
      <c r="ZT11" s="16"/>
      <c r="ZU11" s="16"/>
      <c r="ZV11" s="16"/>
      <c r="ZW11" s="16"/>
      <c r="ZX11" s="16"/>
      <c r="ZY11" s="16"/>
      <c r="ZZ11" s="16"/>
      <c r="AAA11" s="16"/>
      <c r="AAB11" s="16"/>
      <c r="AAC11" s="16"/>
      <c r="AAD11" s="16"/>
      <c r="AAE11" s="16"/>
      <c r="AAF11" s="16"/>
      <c r="AAG11" s="16"/>
      <c r="AAH11" s="16"/>
      <c r="AAI11" s="16"/>
      <c r="AAJ11" s="16"/>
      <c r="AAK11" s="16"/>
      <c r="AAL11" s="16"/>
      <c r="AAM11" s="16"/>
      <c r="AAN11" s="16"/>
      <c r="AAO11" s="16"/>
      <c r="AAP11" s="16"/>
      <c r="AAQ11" s="16"/>
      <c r="AAR11" s="16"/>
      <c r="AAS11" s="16"/>
      <c r="AAT11" s="16"/>
      <c r="AAU11" s="16"/>
      <c r="AAV11" s="16"/>
      <c r="AAW11" s="16"/>
      <c r="AAX11" s="16"/>
      <c r="AAY11" s="16"/>
      <c r="AAZ11" s="16"/>
      <c r="ABA11" s="16"/>
      <c r="ABB11" s="16"/>
      <c r="ABC11" s="16"/>
      <c r="ABD11" s="16"/>
      <c r="ABE11" s="16"/>
      <c r="ABF11" s="16"/>
      <c r="ABG11" s="16"/>
      <c r="ABH11" s="16"/>
      <c r="ABI11" s="16"/>
      <c r="ABJ11" s="16"/>
      <c r="ABK11" s="16"/>
      <c r="ABL11" s="16"/>
      <c r="ABM11" s="16"/>
      <c r="ABN11" s="16"/>
      <c r="ABO11" s="16"/>
      <c r="ABP11" s="16"/>
      <c r="ABQ11" s="16"/>
      <c r="ABR11" s="16"/>
      <c r="ABS11" s="16"/>
      <c r="ABT11" s="16"/>
    </row>
    <row r="12" spans="1:748" s="231" customFormat="1" ht="15.6" customHeight="1" x14ac:dyDescent="0.2">
      <c r="A12" s="169" t="s">
        <v>213</v>
      </c>
      <c r="B12" s="66" t="s">
        <v>177</v>
      </c>
      <c r="C12" s="85" t="s">
        <v>134</v>
      </c>
      <c r="D12" s="252">
        <v>44562</v>
      </c>
      <c r="E12" s="40">
        <v>0.97767853736877441</v>
      </c>
      <c r="F12" s="29">
        <v>4.7125000953674316</v>
      </c>
      <c r="G12" s="29">
        <v>5.6428570747375488</v>
      </c>
      <c r="H12" s="29">
        <v>0.94999998807907104</v>
      </c>
      <c r="I12" s="29">
        <v>1.950000047683716</v>
      </c>
      <c r="J12" s="29">
        <v>1.950000047683716</v>
      </c>
      <c r="K12" s="29">
        <v>0</v>
      </c>
      <c r="L12" s="40">
        <v>1.1428571939468379</v>
      </c>
      <c r="M12" s="16"/>
      <c r="N12" s="16"/>
      <c r="O12" s="30"/>
      <c r="P12" s="16"/>
      <c r="Q12" s="16"/>
      <c r="R12" s="16"/>
      <c r="S12" s="16"/>
      <c r="T12" s="16"/>
      <c r="U12" s="16"/>
      <c r="V12" s="16"/>
      <c r="W12" s="16"/>
      <c r="X12" s="16"/>
      <c r="Y12" s="15"/>
      <c r="Z12" s="15"/>
      <c r="AA12" s="15"/>
      <c r="AB12" s="15"/>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c r="GP12" s="16"/>
      <c r="GQ12" s="16"/>
      <c r="GR12" s="16"/>
      <c r="GS12" s="16"/>
      <c r="GT12" s="16"/>
      <c r="GU12" s="16"/>
      <c r="GV12" s="16"/>
      <c r="GW12" s="16"/>
      <c r="GX12" s="16"/>
      <c r="GY12" s="16"/>
      <c r="GZ12" s="16"/>
      <c r="HA12" s="16"/>
      <c r="HB12" s="16"/>
      <c r="HC12" s="16"/>
      <c r="HD12" s="16"/>
      <c r="HE12" s="16"/>
      <c r="HF12" s="16"/>
      <c r="HG12" s="16"/>
      <c r="HH12" s="16"/>
      <c r="HI12" s="16"/>
      <c r="HJ12" s="16"/>
      <c r="HK12" s="16"/>
      <c r="HL12" s="16"/>
      <c r="HM12" s="16"/>
      <c r="HN12" s="16"/>
      <c r="HO12" s="16"/>
      <c r="HP12" s="16"/>
      <c r="HQ12" s="16"/>
      <c r="HR12" s="16"/>
      <c r="HS12" s="16"/>
      <c r="HT12" s="16"/>
      <c r="HU12" s="16"/>
      <c r="HV12" s="16"/>
      <c r="HW12" s="16"/>
      <c r="HX12" s="16"/>
      <c r="HY12" s="16"/>
      <c r="HZ12" s="16"/>
      <c r="IA12" s="16"/>
      <c r="IB12" s="16"/>
      <c r="IC12" s="16"/>
      <c r="ID12" s="16"/>
      <c r="IE12" s="16"/>
      <c r="IF12" s="16"/>
      <c r="IG12" s="16"/>
      <c r="IH12" s="16"/>
      <c r="II12" s="16"/>
      <c r="IJ12" s="16"/>
      <c r="IK12" s="16"/>
      <c r="IL12" s="16"/>
      <c r="IM12" s="16"/>
      <c r="IN12" s="16"/>
      <c r="IO12" s="16"/>
      <c r="IP12" s="16"/>
      <c r="IQ12" s="16"/>
      <c r="IR12" s="16"/>
      <c r="IS12" s="16"/>
      <c r="IT12" s="16"/>
      <c r="IU12" s="16"/>
      <c r="IV12" s="16"/>
      <c r="IW12" s="16"/>
      <c r="IX12" s="16"/>
      <c r="IY12" s="16"/>
      <c r="IZ12" s="16"/>
      <c r="JA12" s="16"/>
      <c r="JB12" s="16"/>
      <c r="JC12" s="16"/>
      <c r="JD12" s="16"/>
      <c r="JE12" s="16"/>
      <c r="JF12" s="16"/>
      <c r="JG12" s="16"/>
      <c r="JH12" s="16"/>
      <c r="JI12" s="16"/>
      <c r="JJ12" s="16"/>
      <c r="JK12" s="16"/>
      <c r="JL12" s="16"/>
      <c r="JM12" s="16"/>
      <c r="JN12" s="16"/>
      <c r="JO12" s="16"/>
      <c r="JP12" s="16"/>
      <c r="JQ12" s="16"/>
      <c r="JR12" s="16"/>
      <c r="JS12" s="16"/>
      <c r="JT12" s="16"/>
      <c r="JU12" s="16"/>
      <c r="JV12" s="16"/>
      <c r="JW12" s="16"/>
      <c r="JX12" s="16"/>
      <c r="JY12" s="16"/>
      <c r="JZ12" s="16"/>
      <c r="KA12" s="16"/>
      <c r="KB12" s="16"/>
      <c r="KC12" s="16"/>
      <c r="KD12" s="16"/>
      <c r="KE12" s="16"/>
      <c r="KF12" s="16"/>
      <c r="KG12" s="16"/>
      <c r="KH12" s="16"/>
      <c r="KI12" s="16"/>
      <c r="KJ12" s="16"/>
      <c r="KK12" s="16"/>
      <c r="KL12" s="16"/>
      <c r="KM12" s="16"/>
      <c r="KN12" s="16"/>
      <c r="KO12" s="16"/>
      <c r="KP12" s="16"/>
      <c r="KQ12" s="16"/>
      <c r="KR12" s="16"/>
      <c r="KS12" s="16"/>
      <c r="KT12" s="16"/>
      <c r="KU12" s="16"/>
      <c r="KV12" s="16"/>
      <c r="KW12" s="16"/>
      <c r="KX12" s="16"/>
      <c r="KY12" s="16"/>
      <c r="KZ12" s="16"/>
      <c r="LA12" s="16"/>
      <c r="LB12" s="16"/>
      <c r="LC12" s="16"/>
      <c r="LD12" s="16"/>
      <c r="LE12" s="16"/>
      <c r="LF12" s="16"/>
      <c r="LG12" s="16"/>
      <c r="LH12" s="16"/>
      <c r="LI12" s="16"/>
      <c r="LJ12" s="16"/>
      <c r="LK12" s="16"/>
      <c r="LL12" s="16"/>
      <c r="LM12" s="16"/>
      <c r="LN12" s="16"/>
      <c r="LO12" s="16"/>
      <c r="LP12" s="16"/>
      <c r="LQ12" s="16"/>
      <c r="LR12" s="16"/>
      <c r="LS12" s="16"/>
      <c r="LT12" s="16"/>
      <c r="LU12" s="16"/>
      <c r="LV12" s="16"/>
      <c r="LW12" s="16"/>
      <c r="LX12" s="16"/>
      <c r="LY12" s="16"/>
      <c r="LZ12" s="16"/>
      <c r="MA12" s="16"/>
      <c r="MB12" s="16"/>
      <c r="MC12" s="16"/>
      <c r="MD12" s="16"/>
      <c r="ME12" s="16"/>
      <c r="MF12" s="16"/>
      <c r="MG12" s="16"/>
      <c r="MH12" s="16"/>
      <c r="MI12" s="16"/>
      <c r="MJ12" s="16"/>
      <c r="MK12" s="16"/>
      <c r="ML12" s="16"/>
      <c r="MM12" s="16"/>
      <c r="MN12" s="16"/>
      <c r="MO12" s="16"/>
      <c r="MP12" s="16"/>
      <c r="MQ12" s="16"/>
      <c r="MR12" s="16"/>
      <c r="MS12" s="16"/>
      <c r="MT12" s="16"/>
      <c r="MU12" s="16"/>
      <c r="MV12" s="16"/>
      <c r="MW12" s="16"/>
      <c r="MX12" s="16"/>
      <c r="MY12" s="16"/>
      <c r="MZ12" s="16"/>
      <c r="NA12" s="16"/>
      <c r="NB12" s="16"/>
      <c r="NC12" s="16"/>
      <c r="ND12" s="16"/>
      <c r="NE12" s="16"/>
      <c r="NF12" s="16"/>
      <c r="NG12" s="16"/>
      <c r="NH12" s="16"/>
      <c r="NI12" s="16"/>
      <c r="NJ12" s="16"/>
      <c r="NK12" s="16"/>
      <c r="NL12" s="16"/>
      <c r="NM12" s="16"/>
      <c r="NN12" s="16"/>
      <c r="NO12" s="16"/>
      <c r="NP12" s="16"/>
      <c r="NQ12" s="16"/>
      <c r="NR12" s="16"/>
      <c r="NS12" s="16"/>
      <c r="NT12" s="16"/>
      <c r="NU12" s="16"/>
      <c r="NV12" s="16"/>
      <c r="NW12" s="16"/>
      <c r="NX12" s="16"/>
      <c r="NY12" s="16"/>
      <c r="NZ12" s="16"/>
      <c r="OA12" s="16"/>
      <c r="OB12" s="16"/>
      <c r="OC12" s="16"/>
      <c r="OD12" s="16"/>
      <c r="OE12" s="16"/>
      <c r="OF12" s="16"/>
      <c r="OG12" s="16"/>
      <c r="OH12" s="16"/>
      <c r="OI12" s="16"/>
      <c r="OJ12" s="16"/>
      <c r="OK12" s="16"/>
      <c r="OL12" s="16"/>
      <c r="OM12" s="16"/>
      <c r="ON12" s="16"/>
      <c r="OO12" s="16"/>
      <c r="OP12" s="16"/>
      <c r="OQ12" s="16"/>
      <c r="OR12" s="16"/>
      <c r="OS12" s="16"/>
      <c r="OT12" s="16"/>
      <c r="OU12" s="16"/>
      <c r="OV12" s="16"/>
      <c r="OW12" s="16"/>
      <c r="OX12" s="16"/>
      <c r="OY12" s="16"/>
      <c r="OZ12" s="16"/>
      <c r="PA12" s="16"/>
      <c r="PB12" s="16"/>
      <c r="PC12" s="16"/>
      <c r="PD12" s="16"/>
      <c r="PE12" s="16"/>
      <c r="PF12" s="16"/>
      <c r="PG12" s="16"/>
      <c r="PH12" s="16"/>
      <c r="PI12" s="16"/>
      <c r="PJ12" s="16"/>
      <c r="PK12" s="16"/>
      <c r="PL12" s="16"/>
      <c r="PM12" s="16"/>
      <c r="PN12" s="16"/>
      <c r="PO12" s="16"/>
      <c r="PP12" s="16"/>
      <c r="PQ12" s="16"/>
      <c r="PR12" s="16"/>
      <c r="PS12" s="16"/>
      <c r="PT12" s="16"/>
      <c r="PU12" s="16"/>
      <c r="PV12" s="16"/>
      <c r="PW12" s="16"/>
      <c r="PX12" s="16"/>
      <c r="PY12" s="16"/>
      <c r="PZ12" s="16"/>
      <c r="QA12" s="16"/>
      <c r="QB12" s="16"/>
      <c r="QC12" s="16"/>
      <c r="QD12" s="16"/>
      <c r="QE12" s="16"/>
      <c r="QF12" s="16"/>
      <c r="QG12" s="16"/>
      <c r="QH12" s="16"/>
      <c r="QI12" s="16"/>
      <c r="QJ12" s="16"/>
      <c r="QK12" s="16"/>
      <c r="QL12" s="16"/>
      <c r="QM12" s="16"/>
      <c r="QN12" s="16"/>
      <c r="QO12" s="16"/>
      <c r="QP12" s="16"/>
      <c r="QQ12" s="16"/>
      <c r="QR12" s="16"/>
      <c r="QS12" s="16"/>
      <c r="QT12" s="16"/>
      <c r="QU12" s="16"/>
      <c r="QV12" s="16"/>
      <c r="QW12" s="16"/>
      <c r="QX12" s="16"/>
      <c r="QY12" s="16"/>
      <c r="QZ12" s="16"/>
      <c r="RA12" s="16"/>
      <c r="RB12" s="16"/>
      <c r="RC12" s="16"/>
      <c r="RD12" s="16"/>
      <c r="RE12" s="16"/>
      <c r="RF12" s="16"/>
      <c r="RG12" s="16"/>
      <c r="RH12" s="16"/>
      <c r="RI12" s="16"/>
      <c r="RJ12" s="16"/>
      <c r="RK12" s="16"/>
      <c r="RL12" s="16"/>
      <c r="RM12" s="16"/>
      <c r="RN12" s="16"/>
      <c r="RO12" s="16"/>
      <c r="RP12" s="16"/>
      <c r="RQ12" s="16"/>
      <c r="RR12" s="16"/>
      <c r="RS12" s="16"/>
      <c r="RT12" s="16"/>
      <c r="RU12" s="16"/>
      <c r="RV12" s="16"/>
      <c r="RW12" s="16"/>
      <c r="RX12" s="16"/>
      <c r="RY12" s="16"/>
      <c r="RZ12" s="16"/>
      <c r="SA12" s="16"/>
      <c r="SB12" s="16"/>
      <c r="SC12" s="16"/>
      <c r="SD12" s="16"/>
      <c r="SE12" s="16"/>
      <c r="SF12" s="16"/>
      <c r="SG12" s="16"/>
      <c r="SH12" s="16"/>
      <c r="SI12" s="16"/>
      <c r="SJ12" s="16"/>
      <c r="SK12" s="16"/>
      <c r="SL12" s="16"/>
      <c r="SM12" s="16"/>
      <c r="SN12" s="16"/>
      <c r="SO12" s="16"/>
      <c r="SP12" s="16"/>
      <c r="SQ12" s="16"/>
      <c r="SR12" s="16"/>
      <c r="SS12" s="16"/>
      <c r="ST12" s="16"/>
      <c r="SU12" s="16"/>
      <c r="SV12" s="16"/>
      <c r="SW12" s="16"/>
      <c r="SX12" s="16"/>
      <c r="SY12" s="16"/>
      <c r="SZ12" s="16"/>
      <c r="TA12" s="16"/>
      <c r="TB12" s="16"/>
      <c r="TC12" s="16"/>
      <c r="TD12" s="16"/>
      <c r="TE12" s="16"/>
      <c r="TF12" s="16"/>
      <c r="TG12" s="16"/>
      <c r="TH12" s="16"/>
      <c r="TI12" s="16"/>
      <c r="TJ12" s="16"/>
      <c r="TK12" s="16"/>
      <c r="TL12" s="16"/>
      <c r="TM12" s="16"/>
      <c r="TN12" s="16"/>
      <c r="TO12" s="16"/>
      <c r="TP12" s="16"/>
      <c r="TQ12" s="16"/>
      <c r="TR12" s="16"/>
      <c r="TS12" s="16"/>
      <c r="TT12" s="16"/>
      <c r="TU12" s="16"/>
      <c r="TV12" s="16"/>
      <c r="TW12" s="16"/>
      <c r="TX12" s="16"/>
      <c r="TY12" s="16"/>
      <c r="TZ12" s="16"/>
      <c r="UA12" s="16"/>
      <c r="UB12" s="16"/>
      <c r="UC12" s="16"/>
      <c r="UD12" s="16"/>
      <c r="UE12" s="16"/>
      <c r="UF12" s="16"/>
      <c r="UG12" s="16"/>
      <c r="UH12" s="16"/>
      <c r="UI12" s="16"/>
      <c r="UJ12" s="16"/>
      <c r="UK12" s="16"/>
      <c r="UL12" s="16"/>
      <c r="UM12" s="16"/>
      <c r="UN12" s="16"/>
      <c r="UO12" s="16"/>
      <c r="UP12" s="16"/>
      <c r="UQ12" s="16"/>
      <c r="UR12" s="16"/>
      <c r="US12" s="16"/>
      <c r="UT12" s="16"/>
      <c r="UU12" s="16"/>
      <c r="UV12" s="16"/>
      <c r="UW12" s="16"/>
      <c r="UX12" s="16"/>
      <c r="UY12" s="16"/>
      <c r="UZ12" s="16"/>
      <c r="VA12" s="16"/>
      <c r="VB12" s="16"/>
      <c r="VC12" s="16"/>
      <c r="VD12" s="16"/>
      <c r="VE12" s="16"/>
      <c r="VF12" s="16"/>
      <c r="VG12" s="16"/>
      <c r="VH12" s="16"/>
      <c r="VI12" s="16"/>
      <c r="VJ12" s="16"/>
      <c r="VK12" s="16"/>
      <c r="VL12" s="16"/>
      <c r="VM12" s="16"/>
      <c r="VN12" s="16"/>
      <c r="VO12" s="16"/>
      <c r="VP12" s="16"/>
      <c r="VQ12" s="16"/>
      <c r="VR12" s="16"/>
      <c r="VS12" s="16"/>
      <c r="VT12" s="16"/>
      <c r="VU12" s="16"/>
      <c r="VV12" s="16"/>
      <c r="VW12" s="16"/>
      <c r="VX12" s="16"/>
      <c r="VY12" s="16"/>
      <c r="VZ12" s="16"/>
      <c r="WA12" s="16"/>
      <c r="WB12" s="16"/>
      <c r="WC12" s="16"/>
      <c r="WD12" s="16"/>
      <c r="WE12" s="16"/>
      <c r="WF12" s="16"/>
      <c r="WG12" s="16"/>
      <c r="WH12" s="16"/>
      <c r="WI12" s="16"/>
      <c r="WJ12" s="16"/>
      <c r="WK12" s="16"/>
      <c r="WL12" s="16"/>
      <c r="WM12" s="16"/>
      <c r="WN12" s="16"/>
      <c r="WO12" s="16"/>
      <c r="WP12" s="16"/>
      <c r="WQ12" s="16"/>
      <c r="WR12" s="16"/>
      <c r="WS12" s="16"/>
      <c r="WT12" s="16"/>
      <c r="WU12" s="16"/>
      <c r="WV12" s="16"/>
      <c r="WW12" s="16"/>
      <c r="WX12" s="16"/>
      <c r="WY12" s="16"/>
      <c r="WZ12" s="16"/>
      <c r="XA12" s="16"/>
      <c r="XB12" s="16"/>
      <c r="XC12" s="16"/>
      <c r="XD12" s="16"/>
      <c r="XE12" s="16"/>
      <c r="XF12" s="16"/>
      <c r="XG12" s="16"/>
      <c r="XH12" s="16"/>
      <c r="XI12" s="16"/>
      <c r="XJ12" s="16"/>
      <c r="XK12" s="16"/>
      <c r="XL12" s="16"/>
      <c r="XM12" s="16"/>
      <c r="XN12" s="16"/>
      <c r="XO12" s="16"/>
      <c r="XP12" s="16"/>
      <c r="XQ12" s="16"/>
      <c r="XR12" s="16"/>
      <c r="XS12" s="16"/>
      <c r="XT12" s="16"/>
      <c r="XU12" s="16"/>
      <c r="XV12" s="16"/>
      <c r="XW12" s="16"/>
      <c r="XX12" s="16"/>
      <c r="XY12" s="16"/>
      <c r="XZ12" s="16"/>
      <c r="YA12" s="16"/>
      <c r="YB12" s="16"/>
      <c r="YC12" s="16"/>
      <c r="YD12" s="16"/>
      <c r="YE12" s="16"/>
      <c r="YF12" s="16"/>
      <c r="YG12" s="16"/>
      <c r="YH12" s="16"/>
      <c r="YI12" s="16"/>
      <c r="YJ12" s="16"/>
      <c r="YK12" s="16"/>
      <c r="YL12" s="16"/>
      <c r="YM12" s="16"/>
      <c r="YN12" s="16"/>
      <c r="YO12" s="16"/>
      <c r="YP12" s="16"/>
      <c r="YQ12" s="16"/>
      <c r="YR12" s="16"/>
      <c r="YS12" s="16"/>
      <c r="YT12" s="16"/>
      <c r="YU12" s="16"/>
      <c r="YV12" s="16"/>
      <c r="YW12" s="16"/>
      <c r="YX12" s="16"/>
      <c r="YY12" s="16"/>
      <c r="YZ12" s="16"/>
      <c r="ZA12" s="16"/>
      <c r="ZB12" s="16"/>
      <c r="ZC12" s="16"/>
      <c r="ZD12" s="16"/>
      <c r="ZE12" s="16"/>
      <c r="ZF12" s="16"/>
      <c r="ZG12" s="16"/>
      <c r="ZH12" s="16"/>
      <c r="ZI12" s="16"/>
      <c r="ZJ12" s="16"/>
      <c r="ZK12" s="16"/>
      <c r="ZL12" s="16"/>
      <c r="ZM12" s="16"/>
      <c r="ZN12" s="16"/>
      <c r="ZO12" s="16"/>
      <c r="ZP12" s="16"/>
      <c r="ZQ12" s="16"/>
      <c r="ZR12" s="16"/>
      <c r="ZS12" s="16"/>
      <c r="ZT12" s="16"/>
      <c r="ZU12" s="16"/>
      <c r="ZV12" s="16"/>
      <c r="ZW12" s="16"/>
      <c r="ZX12" s="16"/>
      <c r="ZY12" s="16"/>
      <c r="ZZ12" s="16"/>
      <c r="AAA12" s="16"/>
      <c r="AAB12" s="16"/>
      <c r="AAC12" s="16"/>
      <c r="AAD12" s="16"/>
      <c r="AAE12" s="16"/>
      <c r="AAF12" s="16"/>
      <c r="AAG12" s="16"/>
      <c r="AAH12" s="16"/>
      <c r="AAI12" s="16"/>
      <c r="AAJ12" s="16"/>
      <c r="AAK12" s="16"/>
      <c r="AAL12" s="16"/>
      <c r="AAM12" s="16"/>
      <c r="AAN12" s="16"/>
      <c r="AAO12" s="16"/>
      <c r="AAP12" s="16"/>
      <c r="AAQ12" s="16"/>
      <c r="AAR12" s="16"/>
      <c r="AAS12" s="16"/>
      <c r="AAT12" s="16"/>
      <c r="AAU12" s="16"/>
      <c r="AAV12" s="16"/>
      <c r="AAW12" s="16"/>
      <c r="AAX12" s="16"/>
      <c r="AAY12" s="16"/>
      <c r="AAZ12" s="16"/>
      <c r="ABA12" s="16"/>
      <c r="ABB12" s="16"/>
      <c r="ABC12" s="16"/>
      <c r="ABD12" s="16"/>
      <c r="ABE12" s="16"/>
      <c r="ABF12" s="16"/>
      <c r="ABG12" s="16"/>
      <c r="ABH12" s="16"/>
      <c r="ABI12" s="16"/>
      <c r="ABJ12" s="16"/>
      <c r="ABK12" s="16"/>
      <c r="ABL12" s="16"/>
      <c r="ABM12" s="16"/>
      <c r="ABN12" s="16"/>
      <c r="ABO12" s="16"/>
      <c r="ABP12" s="16"/>
      <c r="ABQ12" s="16"/>
      <c r="ABR12" s="16"/>
      <c r="ABS12" s="16"/>
      <c r="ABT12" s="16"/>
    </row>
    <row r="13" spans="1:748" s="231" customFormat="1" ht="15.6" customHeight="1" x14ac:dyDescent="0.2">
      <c r="A13" s="169" t="s">
        <v>214</v>
      </c>
      <c r="B13" s="66" t="s">
        <v>205</v>
      </c>
      <c r="C13" s="85" t="s">
        <v>133</v>
      </c>
      <c r="D13" s="252">
        <v>43101</v>
      </c>
      <c r="E13" s="40">
        <v>1.9529411792755129</v>
      </c>
      <c r="F13" s="29">
        <v>4.1999998092651367</v>
      </c>
      <c r="G13" s="29">
        <v>5.6071429252624512</v>
      </c>
      <c r="H13" s="29">
        <v>0.75</v>
      </c>
      <c r="I13" s="29">
        <v>1.325000047683716</v>
      </c>
      <c r="J13" s="29">
        <v>1.325000047683716</v>
      </c>
      <c r="K13" s="29">
        <v>0</v>
      </c>
      <c r="L13" s="40">
        <v>1.375</v>
      </c>
      <c r="M13" s="16"/>
      <c r="N13" s="16"/>
      <c r="O13" s="30"/>
      <c r="P13" s="16"/>
      <c r="Q13" s="16"/>
      <c r="R13" s="16"/>
      <c r="S13" s="16"/>
      <c r="T13" s="16"/>
      <c r="U13" s="16"/>
      <c r="V13" s="16"/>
      <c r="W13" s="16"/>
      <c r="X13" s="16"/>
      <c r="Y13" s="15"/>
      <c r="Z13" s="15"/>
      <c r="AA13" s="15"/>
      <c r="AB13" s="15"/>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c r="HU13" s="16"/>
      <c r="HV13" s="16"/>
      <c r="HW13" s="16"/>
      <c r="HX13" s="16"/>
      <c r="HY13" s="16"/>
      <c r="HZ13" s="16"/>
      <c r="IA13" s="16"/>
      <c r="IB13" s="16"/>
      <c r="IC13" s="16"/>
      <c r="ID13" s="16"/>
      <c r="IE13" s="16"/>
      <c r="IF13" s="16"/>
      <c r="IG13" s="16"/>
      <c r="IH13" s="16"/>
      <c r="II13" s="16"/>
      <c r="IJ13" s="16"/>
      <c r="IK13" s="16"/>
      <c r="IL13" s="16"/>
      <c r="IM13" s="16"/>
      <c r="IN13" s="16"/>
      <c r="IO13" s="16"/>
      <c r="IP13" s="16"/>
      <c r="IQ13" s="16"/>
      <c r="IR13" s="16"/>
      <c r="IS13" s="16"/>
      <c r="IT13" s="16"/>
      <c r="IU13" s="16"/>
      <c r="IV13" s="16"/>
      <c r="IW13" s="16"/>
      <c r="IX13" s="16"/>
      <c r="IY13" s="16"/>
      <c r="IZ13" s="16"/>
      <c r="JA13" s="16"/>
      <c r="JB13" s="16"/>
      <c r="JC13" s="16"/>
      <c r="JD13" s="16"/>
      <c r="JE13" s="16"/>
      <c r="JF13" s="16"/>
      <c r="JG13" s="16"/>
      <c r="JH13" s="16"/>
      <c r="JI13" s="16"/>
      <c r="JJ13" s="16"/>
      <c r="JK13" s="16"/>
      <c r="JL13" s="16"/>
      <c r="JM13" s="16"/>
      <c r="JN13" s="16"/>
      <c r="JO13" s="16"/>
      <c r="JP13" s="16"/>
      <c r="JQ13" s="16"/>
      <c r="JR13" s="16"/>
      <c r="JS13" s="16"/>
      <c r="JT13" s="16"/>
      <c r="JU13" s="16"/>
      <c r="JV13" s="16"/>
      <c r="JW13" s="16"/>
      <c r="JX13" s="16"/>
      <c r="JY13" s="16"/>
      <c r="JZ13" s="16"/>
      <c r="KA13" s="16"/>
      <c r="KB13" s="16"/>
      <c r="KC13" s="16"/>
      <c r="KD13" s="16"/>
      <c r="KE13" s="16"/>
      <c r="KF13" s="16"/>
      <c r="KG13" s="16"/>
      <c r="KH13" s="16"/>
      <c r="KI13" s="16"/>
      <c r="KJ13" s="16"/>
      <c r="KK13" s="16"/>
      <c r="KL13" s="16"/>
      <c r="KM13" s="16"/>
      <c r="KN13" s="16"/>
      <c r="KO13" s="16"/>
      <c r="KP13" s="16"/>
      <c r="KQ13" s="16"/>
      <c r="KR13" s="16"/>
      <c r="KS13" s="16"/>
      <c r="KT13" s="16"/>
      <c r="KU13" s="16"/>
      <c r="KV13" s="16"/>
      <c r="KW13" s="16"/>
      <c r="KX13" s="16"/>
      <c r="KY13" s="16"/>
      <c r="KZ13" s="16"/>
      <c r="LA13" s="16"/>
      <c r="LB13" s="16"/>
      <c r="LC13" s="16"/>
      <c r="LD13" s="16"/>
      <c r="LE13" s="16"/>
      <c r="LF13" s="16"/>
      <c r="LG13" s="16"/>
      <c r="LH13" s="16"/>
      <c r="LI13" s="16"/>
      <c r="LJ13" s="16"/>
      <c r="LK13" s="16"/>
      <c r="LL13" s="16"/>
      <c r="LM13" s="16"/>
      <c r="LN13" s="16"/>
      <c r="LO13" s="16"/>
      <c r="LP13" s="16"/>
      <c r="LQ13" s="16"/>
      <c r="LR13" s="16"/>
      <c r="LS13" s="16"/>
      <c r="LT13" s="16"/>
      <c r="LU13" s="16"/>
      <c r="LV13" s="16"/>
      <c r="LW13" s="16"/>
      <c r="LX13" s="16"/>
      <c r="LY13" s="16"/>
      <c r="LZ13" s="16"/>
      <c r="MA13" s="16"/>
      <c r="MB13" s="16"/>
      <c r="MC13" s="16"/>
      <c r="MD13" s="16"/>
      <c r="ME13" s="16"/>
      <c r="MF13" s="16"/>
      <c r="MG13" s="16"/>
      <c r="MH13" s="16"/>
      <c r="MI13" s="16"/>
      <c r="MJ13" s="16"/>
      <c r="MK13" s="16"/>
      <c r="ML13" s="16"/>
      <c r="MM13" s="16"/>
      <c r="MN13" s="16"/>
      <c r="MO13" s="16"/>
      <c r="MP13" s="16"/>
      <c r="MQ13" s="16"/>
      <c r="MR13" s="16"/>
      <c r="MS13" s="16"/>
      <c r="MT13" s="16"/>
      <c r="MU13" s="16"/>
      <c r="MV13" s="16"/>
      <c r="MW13" s="16"/>
      <c r="MX13" s="16"/>
      <c r="MY13" s="16"/>
      <c r="MZ13" s="16"/>
      <c r="NA13" s="16"/>
      <c r="NB13" s="16"/>
      <c r="NC13" s="16"/>
      <c r="ND13" s="16"/>
      <c r="NE13" s="16"/>
      <c r="NF13" s="16"/>
      <c r="NG13" s="16"/>
      <c r="NH13" s="16"/>
      <c r="NI13" s="16"/>
      <c r="NJ13" s="16"/>
      <c r="NK13" s="16"/>
      <c r="NL13" s="16"/>
      <c r="NM13" s="16"/>
      <c r="NN13" s="16"/>
      <c r="NO13" s="16"/>
      <c r="NP13" s="16"/>
      <c r="NQ13" s="16"/>
      <c r="NR13" s="16"/>
      <c r="NS13" s="16"/>
      <c r="NT13" s="16"/>
      <c r="NU13" s="16"/>
      <c r="NV13" s="16"/>
      <c r="NW13" s="16"/>
      <c r="NX13" s="16"/>
      <c r="NY13" s="16"/>
      <c r="NZ13" s="16"/>
      <c r="OA13" s="16"/>
      <c r="OB13" s="16"/>
      <c r="OC13" s="16"/>
      <c r="OD13" s="16"/>
      <c r="OE13" s="16"/>
      <c r="OF13" s="16"/>
      <c r="OG13" s="16"/>
      <c r="OH13" s="16"/>
      <c r="OI13" s="16"/>
      <c r="OJ13" s="16"/>
      <c r="OK13" s="16"/>
      <c r="OL13" s="16"/>
      <c r="OM13" s="16"/>
      <c r="ON13" s="16"/>
      <c r="OO13" s="16"/>
      <c r="OP13" s="16"/>
      <c r="OQ13" s="16"/>
      <c r="OR13" s="16"/>
      <c r="OS13" s="16"/>
      <c r="OT13" s="16"/>
      <c r="OU13" s="16"/>
      <c r="OV13" s="16"/>
      <c r="OW13" s="16"/>
      <c r="OX13" s="16"/>
      <c r="OY13" s="16"/>
      <c r="OZ13" s="16"/>
      <c r="PA13" s="16"/>
      <c r="PB13" s="16"/>
      <c r="PC13" s="16"/>
      <c r="PD13" s="16"/>
      <c r="PE13" s="16"/>
      <c r="PF13" s="16"/>
      <c r="PG13" s="16"/>
      <c r="PH13" s="16"/>
      <c r="PI13" s="16"/>
      <c r="PJ13" s="16"/>
      <c r="PK13" s="16"/>
      <c r="PL13" s="16"/>
      <c r="PM13" s="16"/>
      <c r="PN13" s="16"/>
      <c r="PO13" s="16"/>
      <c r="PP13" s="16"/>
      <c r="PQ13" s="16"/>
      <c r="PR13" s="16"/>
      <c r="PS13" s="16"/>
      <c r="PT13" s="16"/>
      <c r="PU13" s="16"/>
      <c r="PV13" s="16"/>
      <c r="PW13" s="16"/>
      <c r="PX13" s="16"/>
      <c r="PY13" s="16"/>
      <c r="PZ13" s="16"/>
      <c r="QA13" s="16"/>
      <c r="QB13" s="16"/>
      <c r="QC13" s="16"/>
      <c r="QD13" s="16"/>
      <c r="QE13" s="16"/>
      <c r="QF13" s="16"/>
      <c r="QG13" s="16"/>
      <c r="QH13" s="16"/>
      <c r="QI13" s="16"/>
      <c r="QJ13" s="16"/>
      <c r="QK13" s="16"/>
      <c r="QL13" s="16"/>
      <c r="QM13" s="16"/>
      <c r="QN13" s="16"/>
      <c r="QO13" s="16"/>
      <c r="QP13" s="16"/>
      <c r="QQ13" s="16"/>
      <c r="QR13" s="16"/>
      <c r="QS13" s="16"/>
      <c r="QT13" s="16"/>
      <c r="QU13" s="16"/>
      <c r="QV13" s="16"/>
      <c r="QW13" s="16"/>
      <c r="QX13" s="16"/>
      <c r="QY13" s="16"/>
      <c r="QZ13" s="16"/>
      <c r="RA13" s="16"/>
      <c r="RB13" s="16"/>
      <c r="RC13" s="16"/>
      <c r="RD13" s="16"/>
      <c r="RE13" s="16"/>
      <c r="RF13" s="16"/>
      <c r="RG13" s="16"/>
      <c r="RH13" s="16"/>
      <c r="RI13" s="16"/>
      <c r="RJ13" s="16"/>
      <c r="RK13" s="16"/>
      <c r="RL13" s="16"/>
      <c r="RM13" s="16"/>
      <c r="RN13" s="16"/>
      <c r="RO13" s="16"/>
      <c r="RP13" s="16"/>
      <c r="RQ13" s="16"/>
      <c r="RR13" s="16"/>
      <c r="RS13" s="16"/>
      <c r="RT13" s="16"/>
      <c r="RU13" s="16"/>
      <c r="RV13" s="16"/>
      <c r="RW13" s="16"/>
      <c r="RX13" s="16"/>
      <c r="RY13" s="16"/>
      <c r="RZ13" s="16"/>
      <c r="SA13" s="16"/>
      <c r="SB13" s="16"/>
      <c r="SC13" s="16"/>
      <c r="SD13" s="16"/>
      <c r="SE13" s="16"/>
      <c r="SF13" s="16"/>
      <c r="SG13" s="16"/>
      <c r="SH13" s="16"/>
      <c r="SI13" s="16"/>
      <c r="SJ13" s="16"/>
      <c r="SK13" s="16"/>
      <c r="SL13" s="16"/>
      <c r="SM13" s="16"/>
      <c r="SN13" s="16"/>
      <c r="SO13" s="16"/>
      <c r="SP13" s="16"/>
      <c r="SQ13" s="16"/>
      <c r="SR13" s="16"/>
      <c r="SS13" s="16"/>
      <c r="ST13" s="16"/>
      <c r="SU13" s="16"/>
      <c r="SV13" s="16"/>
      <c r="SW13" s="16"/>
      <c r="SX13" s="16"/>
      <c r="SY13" s="16"/>
      <c r="SZ13" s="16"/>
      <c r="TA13" s="16"/>
      <c r="TB13" s="16"/>
      <c r="TC13" s="16"/>
      <c r="TD13" s="16"/>
      <c r="TE13" s="16"/>
      <c r="TF13" s="16"/>
      <c r="TG13" s="16"/>
      <c r="TH13" s="16"/>
      <c r="TI13" s="16"/>
      <c r="TJ13" s="16"/>
      <c r="TK13" s="16"/>
      <c r="TL13" s="16"/>
      <c r="TM13" s="16"/>
      <c r="TN13" s="16"/>
      <c r="TO13" s="16"/>
      <c r="TP13" s="16"/>
      <c r="TQ13" s="16"/>
      <c r="TR13" s="16"/>
      <c r="TS13" s="16"/>
      <c r="TT13" s="16"/>
      <c r="TU13" s="16"/>
      <c r="TV13" s="16"/>
      <c r="TW13" s="16"/>
      <c r="TX13" s="16"/>
      <c r="TY13" s="16"/>
      <c r="TZ13" s="16"/>
      <c r="UA13" s="16"/>
      <c r="UB13" s="16"/>
      <c r="UC13" s="16"/>
      <c r="UD13" s="16"/>
      <c r="UE13" s="16"/>
      <c r="UF13" s="16"/>
      <c r="UG13" s="16"/>
      <c r="UH13" s="16"/>
      <c r="UI13" s="16"/>
      <c r="UJ13" s="16"/>
      <c r="UK13" s="16"/>
      <c r="UL13" s="16"/>
      <c r="UM13" s="16"/>
      <c r="UN13" s="16"/>
      <c r="UO13" s="16"/>
      <c r="UP13" s="16"/>
      <c r="UQ13" s="16"/>
      <c r="UR13" s="16"/>
      <c r="US13" s="16"/>
      <c r="UT13" s="16"/>
      <c r="UU13" s="16"/>
      <c r="UV13" s="16"/>
      <c r="UW13" s="16"/>
      <c r="UX13" s="16"/>
      <c r="UY13" s="16"/>
      <c r="UZ13" s="16"/>
      <c r="VA13" s="16"/>
      <c r="VB13" s="16"/>
      <c r="VC13" s="16"/>
      <c r="VD13" s="16"/>
      <c r="VE13" s="16"/>
      <c r="VF13" s="16"/>
      <c r="VG13" s="16"/>
      <c r="VH13" s="16"/>
      <c r="VI13" s="16"/>
      <c r="VJ13" s="16"/>
      <c r="VK13" s="16"/>
      <c r="VL13" s="16"/>
      <c r="VM13" s="16"/>
      <c r="VN13" s="16"/>
      <c r="VO13" s="16"/>
      <c r="VP13" s="16"/>
      <c r="VQ13" s="16"/>
      <c r="VR13" s="16"/>
      <c r="VS13" s="16"/>
      <c r="VT13" s="16"/>
      <c r="VU13" s="16"/>
      <c r="VV13" s="16"/>
      <c r="VW13" s="16"/>
      <c r="VX13" s="16"/>
      <c r="VY13" s="16"/>
      <c r="VZ13" s="16"/>
      <c r="WA13" s="16"/>
      <c r="WB13" s="16"/>
      <c r="WC13" s="16"/>
      <c r="WD13" s="16"/>
      <c r="WE13" s="16"/>
      <c r="WF13" s="16"/>
      <c r="WG13" s="16"/>
      <c r="WH13" s="16"/>
      <c r="WI13" s="16"/>
      <c r="WJ13" s="16"/>
      <c r="WK13" s="16"/>
      <c r="WL13" s="16"/>
      <c r="WM13" s="16"/>
      <c r="WN13" s="16"/>
      <c r="WO13" s="16"/>
      <c r="WP13" s="16"/>
      <c r="WQ13" s="16"/>
      <c r="WR13" s="16"/>
      <c r="WS13" s="16"/>
      <c r="WT13" s="16"/>
      <c r="WU13" s="16"/>
      <c r="WV13" s="16"/>
      <c r="WW13" s="16"/>
      <c r="WX13" s="16"/>
      <c r="WY13" s="16"/>
      <c r="WZ13" s="16"/>
      <c r="XA13" s="16"/>
      <c r="XB13" s="16"/>
      <c r="XC13" s="16"/>
      <c r="XD13" s="16"/>
      <c r="XE13" s="16"/>
      <c r="XF13" s="16"/>
      <c r="XG13" s="16"/>
      <c r="XH13" s="16"/>
      <c r="XI13" s="16"/>
      <c r="XJ13" s="16"/>
      <c r="XK13" s="16"/>
      <c r="XL13" s="16"/>
      <c r="XM13" s="16"/>
      <c r="XN13" s="16"/>
      <c r="XO13" s="16"/>
      <c r="XP13" s="16"/>
      <c r="XQ13" s="16"/>
      <c r="XR13" s="16"/>
      <c r="XS13" s="16"/>
      <c r="XT13" s="16"/>
      <c r="XU13" s="16"/>
      <c r="XV13" s="16"/>
      <c r="XW13" s="16"/>
      <c r="XX13" s="16"/>
      <c r="XY13" s="16"/>
      <c r="XZ13" s="16"/>
      <c r="YA13" s="16"/>
      <c r="YB13" s="16"/>
      <c r="YC13" s="16"/>
      <c r="YD13" s="16"/>
      <c r="YE13" s="16"/>
      <c r="YF13" s="16"/>
      <c r="YG13" s="16"/>
      <c r="YH13" s="16"/>
      <c r="YI13" s="16"/>
      <c r="YJ13" s="16"/>
      <c r="YK13" s="16"/>
      <c r="YL13" s="16"/>
      <c r="YM13" s="16"/>
      <c r="YN13" s="16"/>
      <c r="YO13" s="16"/>
      <c r="YP13" s="16"/>
      <c r="YQ13" s="16"/>
      <c r="YR13" s="16"/>
      <c r="YS13" s="16"/>
      <c r="YT13" s="16"/>
      <c r="YU13" s="16"/>
      <c r="YV13" s="16"/>
      <c r="YW13" s="16"/>
      <c r="YX13" s="16"/>
      <c r="YY13" s="16"/>
      <c r="YZ13" s="16"/>
      <c r="ZA13" s="16"/>
      <c r="ZB13" s="16"/>
      <c r="ZC13" s="16"/>
      <c r="ZD13" s="16"/>
      <c r="ZE13" s="16"/>
      <c r="ZF13" s="16"/>
      <c r="ZG13" s="16"/>
      <c r="ZH13" s="16"/>
      <c r="ZI13" s="16"/>
      <c r="ZJ13" s="16"/>
      <c r="ZK13" s="16"/>
      <c r="ZL13" s="16"/>
      <c r="ZM13" s="16"/>
      <c r="ZN13" s="16"/>
      <c r="ZO13" s="16"/>
      <c r="ZP13" s="16"/>
      <c r="ZQ13" s="16"/>
      <c r="ZR13" s="16"/>
      <c r="ZS13" s="16"/>
      <c r="ZT13" s="16"/>
      <c r="ZU13" s="16"/>
      <c r="ZV13" s="16"/>
      <c r="ZW13" s="16"/>
      <c r="ZX13" s="16"/>
      <c r="ZY13" s="16"/>
      <c r="ZZ13" s="16"/>
      <c r="AAA13" s="16"/>
      <c r="AAB13" s="16"/>
      <c r="AAC13" s="16"/>
      <c r="AAD13" s="16"/>
      <c r="AAE13" s="16"/>
      <c r="AAF13" s="16"/>
      <c r="AAG13" s="16"/>
      <c r="AAH13" s="16"/>
      <c r="AAI13" s="16"/>
      <c r="AAJ13" s="16"/>
      <c r="AAK13" s="16"/>
      <c r="AAL13" s="16"/>
      <c r="AAM13" s="16"/>
      <c r="AAN13" s="16"/>
      <c r="AAO13" s="16"/>
      <c r="AAP13" s="16"/>
      <c r="AAQ13" s="16"/>
      <c r="AAR13" s="16"/>
      <c r="AAS13" s="16"/>
      <c r="AAT13" s="16"/>
      <c r="AAU13" s="16"/>
      <c r="AAV13" s="16"/>
      <c r="AAW13" s="16"/>
      <c r="AAX13" s="16"/>
      <c r="AAY13" s="16"/>
      <c r="AAZ13" s="16"/>
      <c r="ABA13" s="16"/>
      <c r="ABB13" s="16"/>
      <c r="ABC13" s="16"/>
      <c r="ABD13" s="16"/>
      <c r="ABE13" s="16"/>
      <c r="ABF13" s="16"/>
      <c r="ABG13" s="16"/>
      <c r="ABH13" s="16"/>
      <c r="ABI13" s="16"/>
      <c r="ABJ13" s="16"/>
      <c r="ABK13" s="16"/>
      <c r="ABL13" s="16"/>
      <c r="ABM13" s="16"/>
      <c r="ABN13" s="16"/>
      <c r="ABO13" s="16"/>
      <c r="ABP13" s="16"/>
      <c r="ABQ13" s="16"/>
      <c r="ABR13" s="16"/>
      <c r="ABS13" s="16"/>
      <c r="ABT13" s="16"/>
    </row>
    <row r="14" spans="1:748" s="231" customFormat="1" ht="15.6" customHeight="1" x14ac:dyDescent="0.2">
      <c r="A14" s="169" t="s">
        <v>215</v>
      </c>
      <c r="B14" s="66" t="s">
        <v>178</v>
      </c>
      <c r="C14" s="85" t="s">
        <v>134</v>
      </c>
      <c r="D14" s="252">
        <v>43466</v>
      </c>
      <c r="E14" s="40">
        <v>0.82499998807907104</v>
      </c>
      <c r="F14" s="29">
        <v>4.6624999046325684</v>
      </c>
      <c r="G14" s="29">
        <v>5.4464282989501953</v>
      </c>
      <c r="H14" s="29">
        <v>0</v>
      </c>
      <c r="I14" s="29">
        <v>1.6000000238418579</v>
      </c>
      <c r="J14" s="29">
        <v>1.8500000238418579</v>
      </c>
      <c r="K14" s="29">
        <v>0.92857140302658081</v>
      </c>
      <c r="L14" s="40">
        <v>1.5</v>
      </c>
      <c r="M14" s="16"/>
      <c r="N14" s="16"/>
      <c r="O14" s="30"/>
      <c r="P14" s="16"/>
      <c r="Q14" s="16"/>
      <c r="R14" s="16"/>
      <c r="S14" s="16"/>
      <c r="T14" s="16"/>
      <c r="U14" s="16"/>
      <c r="V14" s="16"/>
      <c r="W14" s="16"/>
      <c r="X14" s="16"/>
      <c r="Y14" s="15"/>
      <c r="Z14" s="15"/>
      <c r="AA14" s="15"/>
      <c r="AB14" s="15"/>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c r="HU14" s="16"/>
      <c r="HV14" s="16"/>
      <c r="HW14" s="16"/>
      <c r="HX14" s="16"/>
      <c r="HY14" s="16"/>
      <c r="HZ14" s="16"/>
      <c r="IA14" s="16"/>
      <c r="IB14" s="16"/>
      <c r="IC14" s="16"/>
      <c r="ID14" s="16"/>
      <c r="IE14" s="16"/>
      <c r="IF14" s="16"/>
      <c r="IG14" s="16"/>
      <c r="IH14" s="16"/>
      <c r="II14" s="16"/>
      <c r="IJ14" s="16"/>
      <c r="IK14" s="16"/>
      <c r="IL14" s="16"/>
      <c r="IM14" s="16"/>
      <c r="IN14" s="16"/>
      <c r="IO14" s="16"/>
      <c r="IP14" s="16"/>
      <c r="IQ14" s="16"/>
      <c r="IR14" s="16"/>
      <c r="IS14" s="16"/>
      <c r="IT14" s="16"/>
      <c r="IU14" s="16"/>
      <c r="IV14" s="16"/>
      <c r="IW14" s="16"/>
      <c r="IX14" s="16"/>
      <c r="IY14" s="16"/>
      <c r="IZ14" s="16"/>
      <c r="JA14" s="16"/>
      <c r="JB14" s="16"/>
      <c r="JC14" s="16"/>
      <c r="JD14" s="16"/>
      <c r="JE14" s="16"/>
      <c r="JF14" s="16"/>
      <c r="JG14" s="16"/>
      <c r="JH14" s="16"/>
      <c r="JI14" s="16"/>
      <c r="JJ14" s="16"/>
      <c r="JK14" s="16"/>
      <c r="JL14" s="16"/>
      <c r="JM14" s="16"/>
      <c r="JN14" s="16"/>
      <c r="JO14" s="16"/>
      <c r="JP14" s="16"/>
      <c r="JQ14" s="16"/>
      <c r="JR14" s="16"/>
      <c r="JS14" s="16"/>
      <c r="JT14" s="16"/>
      <c r="JU14" s="16"/>
      <c r="JV14" s="16"/>
      <c r="JW14" s="16"/>
      <c r="JX14" s="16"/>
      <c r="JY14" s="16"/>
      <c r="JZ14" s="16"/>
      <c r="KA14" s="16"/>
      <c r="KB14" s="16"/>
      <c r="KC14" s="16"/>
      <c r="KD14" s="16"/>
      <c r="KE14" s="16"/>
      <c r="KF14" s="16"/>
      <c r="KG14" s="16"/>
      <c r="KH14" s="16"/>
      <c r="KI14" s="16"/>
      <c r="KJ14" s="16"/>
      <c r="KK14" s="16"/>
      <c r="KL14" s="16"/>
      <c r="KM14" s="16"/>
      <c r="KN14" s="16"/>
      <c r="KO14" s="16"/>
      <c r="KP14" s="16"/>
      <c r="KQ14" s="16"/>
      <c r="KR14" s="16"/>
      <c r="KS14" s="16"/>
      <c r="KT14" s="16"/>
      <c r="KU14" s="16"/>
      <c r="KV14" s="16"/>
      <c r="KW14" s="16"/>
      <c r="KX14" s="16"/>
      <c r="KY14" s="16"/>
      <c r="KZ14" s="16"/>
      <c r="LA14" s="16"/>
      <c r="LB14" s="16"/>
      <c r="LC14" s="16"/>
      <c r="LD14" s="16"/>
      <c r="LE14" s="16"/>
      <c r="LF14" s="16"/>
      <c r="LG14" s="16"/>
      <c r="LH14" s="16"/>
      <c r="LI14" s="16"/>
      <c r="LJ14" s="16"/>
      <c r="LK14" s="16"/>
      <c r="LL14" s="16"/>
      <c r="LM14" s="16"/>
      <c r="LN14" s="16"/>
      <c r="LO14" s="16"/>
      <c r="LP14" s="16"/>
      <c r="LQ14" s="16"/>
      <c r="LR14" s="16"/>
      <c r="LS14" s="16"/>
      <c r="LT14" s="16"/>
      <c r="LU14" s="16"/>
      <c r="LV14" s="16"/>
      <c r="LW14" s="16"/>
      <c r="LX14" s="16"/>
      <c r="LY14" s="16"/>
      <c r="LZ14" s="16"/>
      <c r="MA14" s="16"/>
      <c r="MB14" s="16"/>
      <c r="MC14" s="16"/>
      <c r="MD14" s="16"/>
      <c r="ME14" s="16"/>
      <c r="MF14" s="16"/>
      <c r="MG14" s="16"/>
      <c r="MH14" s="16"/>
      <c r="MI14" s="16"/>
      <c r="MJ14" s="16"/>
      <c r="MK14" s="16"/>
      <c r="ML14" s="16"/>
      <c r="MM14" s="16"/>
      <c r="MN14" s="16"/>
      <c r="MO14" s="16"/>
      <c r="MP14" s="16"/>
      <c r="MQ14" s="16"/>
      <c r="MR14" s="16"/>
      <c r="MS14" s="16"/>
      <c r="MT14" s="16"/>
      <c r="MU14" s="16"/>
      <c r="MV14" s="16"/>
      <c r="MW14" s="16"/>
      <c r="MX14" s="16"/>
      <c r="MY14" s="16"/>
      <c r="MZ14" s="16"/>
      <c r="NA14" s="16"/>
      <c r="NB14" s="16"/>
      <c r="NC14" s="16"/>
      <c r="ND14" s="16"/>
      <c r="NE14" s="16"/>
      <c r="NF14" s="16"/>
      <c r="NG14" s="16"/>
      <c r="NH14" s="16"/>
      <c r="NI14" s="16"/>
      <c r="NJ14" s="16"/>
      <c r="NK14" s="16"/>
      <c r="NL14" s="16"/>
      <c r="NM14" s="16"/>
      <c r="NN14" s="16"/>
      <c r="NO14" s="16"/>
      <c r="NP14" s="16"/>
      <c r="NQ14" s="16"/>
      <c r="NR14" s="16"/>
      <c r="NS14" s="16"/>
      <c r="NT14" s="16"/>
      <c r="NU14" s="16"/>
      <c r="NV14" s="16"/>
      <c r="NW14" s="16"/>
      <c r="NX14" s="16"/>
      <c r="NY14" s="16"/>
      <c r="NZ14" s="16"/>
      <c r="OA14" s="16"/>
      <c r="OB14" s="16"/>
      <c r="OC14" s="16"/>
      <c r="OD14" s="16"/>
      <c r="OE14" s="16"/>
      <c r="OF14" s="16"/>
      <c r="OG14" s="16"/>
      <c r="OH14" s="16"/>
      <c r="OI14" s="16"/>
      <c r="OJ14" s="16"/>
      <c r="OK14" s="16"/>
      <c r="OL14" s="16"/>
      <c r="OM14" s="16"/>
      <c r="ON14" s="16"/>
      <c r="OO14" s="16"/>
      <c r="OP14" s="16"/>
      <c r="OQ14" s="16"/>
      <c r="OR14" s="16"/>
      <c r="OS14" s="16"/>
      <c r="OT14" s="16"/>
      <c r="OU14" s="16"/>
      <c r="OV14" s="16"/>
      <c r="OW14" s="16"/>
      <c r="OX14" s="16"/>
      <c r="OY14" s="16"/>
      <c r="OZ14" s="16"/>
      <c r="PA14" s="16"/>
      <c r="PB14" s="16"/>
      <c r="PC14" s="16"/>
      <c r="PD14" s="16"/>
      <c r="PE14" s="16"/>
      <c r="PF14" s="16"/>
      <c r="PG14" s="16"/>
      <c r="PH14" s="16"/>
      <c r="PI14" s="16"/>
      <c r="PJ14" s="16"/>
      <c r="PK14" s="16"/>
      <c r="PL14" s="16"/>
      <c r="PM14" s="16"/>
      <c r="PN14" s="16"/>
      <c r="PO14" s="16"/>
      <c r="PP14" s="16"/>
      <c r="PQ14" s="16"/>
      <c r="PR14" s="16"/>
      <c r="PS14" s="16"/>
      <c r="PT14" s="16"/>
      <c r="PU14" s="16"/>
      <c r="PV14" s="16"/>
      <c r="PW14" s="16"/>
      <c r="PX14" s="16"/>
      <c r="PY14" s="16"/>
      <c r="PZ14" s="16"/>
      <c r="QA14" s="16"/>
      <c r="QB14" s="16"/>
      <c r="QC14" s="16"/>
      <c r="QD14" s="16"/>
      <c r="QE14" s="16"/>
      <c r="QF14" s="16"/>
      <c r="QG14" s="16"/>
      <c r="QH14" s="16"/>
      <c r="QI14" s="16"/>
      <c r="QJ14" s="16"/>
      <c r="QK14" s="16"/>
      <c r="QL14" s="16"/>
      <c r="QM14" s="16"/>
      <c r="QN14" s="16"/>
      <c r="QO14" s="16"/>
      <c r="QP14" s="16"/>
      <c r="QQ14" s="16"/>
      <c r="QR14" s="16"/>
      <c r="QS14" s="16"/>
      <c r="QT14" s="16"/>
      <c r="QU14" s="16"/>
      <c r="QV14" s="16"/>
      <c r="QW14" s="16"/>
      <c r="QX14" s="16"/>
      <c r="QY14" s="16"/>
      <c r="QZ14" s="16"/>
      <c r="RA14" s="16"/>
      <c r="RB14" s="16"/>
      <c r="RC14" s="16"/>
      <c r="RD14" s="16"/>
      <c r="RE14" s="16"/>
      <c r="RF14" s="16"/>
      <c r="RG14" s="16"/>
      <c r="RH14" s="16"/>
      <c r="RI14" s="16"/>
      <c r="RJ14" s="16"/>
      <c r="RK14" s="16"/>
      <c r="RL14" s="16"/>
      <c r="RM14" s="16"/>
      <c r="RN14" s="16"/>
      <c r="RO14" s="16"/>
      <c r="RP14" s="16"/>
      <c r="RQ14" s="16"/>
      <c r="RR14" s="16"/>
      <c r="RS14" s="16"/>
      <c r="RT14" s="16"/>
      <c r="RU14" s="16"/>
      <c r="RV14" s="16"/>
      <c r="RW14" s="16"/>
      <c r="RX14" s="16"/>
      <c r="RY14" s="16"/>
      <c r="RZ14" s="16"/>
      <c r="SA14" s="16"/>
      <c r="SB14" s="16"/>
      <c r="SC14" s="16"/>
      <c r="SD14" s="16"/>
      <c r="SE14" s="16"/>
      <c r="SF14" s="16"/>
      <c r="SG14" s="16"/>
      <c r="SH14" s="16"/>
      <c r="SI14" s="16"/>
      <c r="SJ14" s="16"/>
      <c r="SK14" s="16"/>
      <c r="SL14" s="16"/>
      <c r="SM14" s="16"/>
      <c r="SN14" s="16"/>
      <c r="SO14" s="16"/>
      <c r="SP14" s="16"/>
      <c r="SQ14" s="16"/>
      <c r="SR14" s="16"/>
      <c r="SS14" s="16"/>
      <c r="ST14" s="16"/>
      <c r="SU14" s="16"/>
      <c r="SV14" s="16"/>
      <c r="SW14" s="16"/>
      <c r="SX14" s="16"/>
      <c r="SY14" s="16"/>
      <c r="SZ14" s="16"/>
      <c r="TA14" s="16"/>
      <c r="TB14" s="16"/>
      <c r="TC14" s="16"/>
      <c r="TD14" s="16"/>
      <c r="TE14" s="16"/>
      <c r="TF14" s="16"/>
      <c r="TG14" s="16"/>
      <c r="TH14" s="16"/>
      <c r="TI14" s="16"/>
      <c r="TJ14" s="16"/>
      <c r="TK14" s="16"/>
      <c r="TL14" s="16"/>
      <c r="TM14" s="16"/>
      <c r="TN14" s="16"/>
      <c r="TO14" s="16"/>
      <c r="TP14" s="16"/>
      <c r="TQ14" s="16"/>
      <c r="TR14" s="16"/>
      <c r="TS14" s="16"/>
      <c r="TT14" s="16"/>
      <c r="TU14" s="16"/>
      <c r="TV14" s="16"/>
      <c r="TW14" s="16"/>
      <c r="TX14" s="16"/>
      <c r="TY14" s="16"/>
      <c r="TZ14" s="16"/>
      <c r="UA14" s="16"/>
      <c r="UB14" s="16"/>
      <c r="UC14" s="16"/>
      <c r="UD14" s="16"/>
      <c r="UE14" s="16"/>
      <c r="UF14" s="16"/>
      <c r="UG14" s="16"/>
      <c r="UH14" s="16"/>
      <c r="UI14" s="16"/>
      <c r="UJ14" s="16"/>
      <c r="UK14" s="16"/>
      <c r="UL14" s="16"/>
      <c r="UM14" s="16"/>
      <c r="UN14" s="16"/>
      <c r="UO14" s="16"/>
      <c r="UP14" s="16"/>
      <c r="UQ14" s="16"/>
      <c r="UR14" s="16"/>
      <c r="US14" s="16"/>
      <c r="UT14" s="16"/>
      <c r="UU14" s="16"/>
      <c r="UV14" s="16"/>
      <c r="UW14" s="16"/>
      <c r="UX14" s="16"/>
      <c r="UY14" s="16"/>
      <c r="UZ14" s="16"/>
      <c r="VA14" s="16"/>
      <c r="VB14" s="16"/>
      <c r="VC14" s="16"/>
      <c r="VD14" s="16"/>
      <c r="VE14" s="16"/>
      <c r="VF14" s="16"/>
      <c r="VG14" s="16"/>
      <c r="VH14" s="16"/>
      <c r="VI14" s="16"/>
      <c r="VJ14" s="16"/>
      <c r="VK14" s="16"/>
      <c r="VL14" s="16"/>
      <c r="VM14" s="16"/>
      <c r="VN14" s="16"/>
      <c r="VO14" s="16"/>
      <c r="VP14" s="16"/>
      <c r="VQ14" s="16"/>
      <c r="VR14" s="16"/>
      <c r="VS14" s="16"/>
      <c r="VT14" s="16"/>
      <c r="VU14" s="16"/>
      <c r="VV14" s="16"/>
      <c r="VW14" s="16"/>
      <c r="VX14" s="16"/>
      <c r="VY14" s="16"/>
      <c r="VZ14" s="16"/>
      <c r="WA14" s="16"/>
      <c r="WB14" s="16"/>
      <c r="WC14" s="16"/>
      <c r="WD14" s="16"/>
      <c r="WE14" s="16"/>
      <c r="WF14" s="16"/>
      <c r="WG14" s="16"/>
      <c r="WH14" s="16"/>
      <c r="WI14" s="16"/>
      <c r="WJ14" s="16"/>
      <c r="WK14" s="16"/>
      <c r="WL14" s="16"/>
      <c r="WM14" s="16"/>
      <c r="WN14" s="16"/>
      <c r="WO14" s="16"/>
      <c r="WP14" s="16"/>
      <c r="WQ14" s="16"/>
      <c r="WR14" s="16"/>
      <c r="WS14" s="16"/>
      <c r="WT14" s="16"/>
      <c r="WU14" s="16"/>
      <c r="WV14" s="16"/>
      <c r="WW14" s="16"/>
      <c r="WX14" s="16"/>
      <c r="WY14" s="16"/>
      <c r="WZ14" s="16"/>
      <c r="XA14" s="16"/>
      <c r="XB14" s="16"/>
      <c r="XC14" s="16"/>
      <c r="XD14" s="16"/>
      <c r="XE14" s="16"/>
      <c r="XF14" s="16"/>
      <c r="XG14" s="16"/>
      <c r="XH14" s="16"/>
      <c r="XI14" s="16"/>
      <c r="XJ14" s="16"/>
      <c r="XK14" s="16"/>
      <c r="XL14" s="16"/>
      <c r="XM14" s="16"/>
      <c r="XN14" s="16"/>
      <c r="XO14" s="16"/>
      <c r="XP14" s="16"/>
      <c r="XQ14" s="16"/>
      <c r="XR14" s="16"/>
      <c r="XS14" s="16"/>
      <c r="XT14" s="16"/>
      <c r="XU14" s="16"/>
      <c r="XV14" s="16"/>
      <c r="XW14" s="16"/>
      <c r="XX14" s="16"/>
      <c r="XY14" s="16"/>
      <c r="XZ14" s="16"/>
      <c r="YA14" s="16"/>
      <c r="YB14" s="16"/>
      <c r="YC14" s="16"/>
      <c r="YD14" s="16"/>
      <c r="YE14" s="16"/>
      <c r="YF14" s="16"/>
      <c r="YG14" s="16"/>
      <c r="YH14" s="16"/>
      <c r="YI14" s="16"/>
      <c r="YJ14" s="16"/>
      <c r="YK14" s="16"/>
      <c r="YL14" s="16"/>
      <c r="YM14" s="16"/>
      <c r="YN14" s="16"/>
      <c r="YO14" s="16"/>
      <c r="YP14" s="16"/>
      <c r="YQ14" s="16"/>
      <c r="YR14" s="16"/>
      <c r="YS14" s="16"/>
      <c r="YT14" s="16"/>
      <c r="YU14" s="16"/>
      <c r="YV14" s="16"/>
      <c r="YW14" s="16"/>
      <c r="YX14" s="16"/>
      <c r="YY14" s="16"/>
      <c r="YZ14" s="16"/>
      <c r="ZA14" s="16"/>
      <c r="ZB14" s="16"/>
      <c r="ZC14" s="16"/>
      <c r="ZD14" s="16"/>
      <c r="ZE14" s="16"/>
      <c r="ZF14" s="16"/>
      <c r="ZG14" s="16"/>
      <c r="ZH14" s="16"/>
      <c r="ZI14" s="16"/>
      <c r="ZJ14" s="16"/>
      <c r="ZK14" s="16"/>
      <c r="ZL14" s="16"/>
      <c r="ZM14" s="16"/>
      <c r="ZN14" s="16"/>
      <c r="ZO14" s="16"/>
      <c r="ZP14" s="16"/>
      <c r="ZQ14" s="16"/>
      <c r="ZR14" s="16"/>
      <c r="ZS14" s="16"/>
      <c r="ZT14" s="16"/>
      <c r="ZU14" s="16"/>
      <c r="ZV14" s="16"/>
      <c r="ZW14" s="16"/>
      <c r="ZX14" s="16"/>
      <c r="ZY14" s="16"/>
      <c r="ZZ14" s="16"/>
      <c r="AAA14" s="16"/>
      <c r="AAB14" s="16"/>
      <c r="AAC14" s="16"/>
      <c r="AAD14" s="16"/>
      <c r="AAE14" s="16"/>
      <c r="AAF14" s="16"/>
      <c r="AAG14" s="16"/>
      <c r="AAH14" s="16"/>
      <c r="AAI14" s="16"/>
      <c r="AAJ14" s="16"/>
      <c r="AAK14" s="16"/>
      <c r="AAL14" s="16"/>
      <c r="AAM14" s="16"/>
      <c r="AAN14" s="16"/>
      <c r="AAO14" s="16"/>
      <c r="AAP14" s="16"/>
      <c r="AAQ14" s="16"/>
      <c r="AAR14" s="16"/>
      <c r="AAS14" s="16"/>
      <c r="AAT14" s="16"/>
      <c r="AAU14" s="16"/>
      <c r="AAV14" s="16"/>
      <c r="AAW14" s="16"/>
      <c r="AAX14" s="16"/>
      <c r="AAY14" s="16"/>
      <c r="AAZ14" s="16"/>
      <c r="ABA14" s="16"/>
      <c r="ABB14" s="16"/>
      <c r="ABC14" s="16"/>
      <c r="ABD14" s="16"/>
      <c r="ABE14" s="16"/>
      <c r="ABF14" s="16"/>
      <c r="ABG14" s="16"/>
      <c r="ABH14" s="16"/>
      <c r="ABI14" s="16"/>
      <c r="ABJ14" s="16"/>
      <c r="ABK14" s="16"/>
      <c r="ABL14" s="16"/>
      <c r="ABM14" s="16"/>
      <c r="ABN14" s="16"/>
      <c r="ABO14" s="16"/>
      <c r="ABP14" s="16"/>
      <c r="ABQ14" s="16"/>
      <c r="ABR14" s="16"/>
      <c r="ABS14" s="16"/>
      <c r="ABT14" s="16"/>
    </row>
    <row r="15" spans="1:748" s="231" customFormat="1" ht="15.6" customHeight="1" x14ac:dyDescent="0.2">
      <c r="A15" s="169" t="s">
        <v>216</v>
      </c>
      <c r="B15" s="66" t="s">
        <v>179</v>
      </c>
      <c r="C15" s="85" t="s">
        <v>134</v>
      </c>
      <c r="D15" s="252">
        <v>44562</v>
      </c>
      <c r="E15" s="40">
        <v>1.235294103622437</v>
      </c>
      <c r="F15" s="29">
        <v>4.7214288711547852</v>
      </c>
      <c r="G15" s="29" t="s">
        <v>173</v>
      </c>
      <c r="H15" s="29">
        <v>3.5999999046325679</v>
      </c>
      <c r="I15" s="29">
        <v>2.9000000953674321</v>
      </c>
      <c r="J15" s="29">
        <v>2.8624999523162842</v>
      </c>
      <c r="K15" s="29">
        <v>1.785714268684387</v>
      </c>
      <c r="L15" s="40">
        <v>1</v>
      </c>
      <c r="M15" s="16"/>
      <c r="N15" s="16"/>
      <c r="O15" s="30"/>
      <c r="P15" s="16"/>
      <c r="Q15" s="16"/>
      <c r="R15" s="16"/>
      <c r="S15" s="16"/>
      <c r="T15" s="16"/>
      <c r="U15" s="16"/>
      <c r="V15" s="16"/>
      <c r="W15" s="16"/>
      <c r="X15" s="16"/>
      <c r="Y15" s="15"/>
      <c r="Z15" s="15"/>
      <c r="AA15" s="15"/>
      <c r="AB15" s="15"/>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c r="IW15" s="16"/>
      <c r="IX15" s="16"/>
      <c r="IY15" s="16"/>
      <c r="IZ15" s="16"/>
      <c r="JA15" s="16"/>
      <c r="JB15" s="16"/>
      <c r="JC15" s="16"/>
      <c r="JD15" s="16"/>
      <c r="JE15" s="16"/>
      <c r="JF15" s="16"/>
      <c r="JG15" s="16"/>
      <c r="JH15" s="16"/>
      <c r="JI15" s="16"/>
      <c r="JJ15" s="16"/>
      <c r="JK15" s="16"/>
      <c r="JL15" s="16"/>
      <c r="JM15" s="16"/>
      <c r="JN15" s="16"/>
      <c r="JO15" s="16"/>
      <c r="JP15" s="16"/>
      <c r="JQ15" s="16"/>
      <c r="JR15" s="16"/>
      <c r="JS15" s="16"/>
      <c r="JT15" s="16"/>
      <c r="JU15" s="16"/>
      <c r="JV15" s="16"/>
      <c r="JW15" s="16"/>
      <c r="JX15" s="16"/>
      <c r="JY15" s="16"/>
      <c r="JZ15" s="16"/>
      <c r="KA15" s="16"/>
      <c r="KB15" s="16"/>
      <c r="KC15" s="16"/>
      <c r="KD15" s="16"/>
      <c r="KE15" s="16"/>
      <c r="KF15" s="16"/>
      <c r="KG15" s="16"/>
      <c r="KH15" s="16"/>
      <c r="KI15" s="16"/>
      <c r="KJ15" s="16"/>
      <c r="KK15" s="16"/>
      <c r="KL15" s="16"/>
      <c r="KM15" s="16"/>
      <c r="KN15" s="16"/>
      <c r="KO15" s="16"/>
      <c r="KP15" s="16"/>
      <c r="KQ15" s="16"/>
      <c r="KR15" s="16"/>
      <c r="KS15" s="16"/>
      <c r="KT15" s="16"/>
      <c r="KU15" s="16"/>
      <c r="KV15" s="16"/>
      <c r="KW15" s="16"/>
      <c r="KX15" s="16"/>
      <c r="KY15" s="16"/>
      <c r="KZ15" s="16"/>
      <c r="LA15" s="16"/>
      <c r="LB15" s="16"/>
      <c r="LC15" s="16"/>
      <c r="LD15" s="16"/>
      <c r="LE15" s="16"/>
      <c r="LF15" s="16"/>
      <c r="LG15" s="16"/>
      <c r="LH15" s="16"/>
      <c r="LI15" s="16"/>
      <c r="LJ15" s="16"/>
      <c r="LK15" s="16"/>
      <c r="LL15" s="16"/>
      <c r="LM15" s="16"/>
      <c r="LN15" s="16"/>
      <c r="LO15" s="16"/>
      <c r="LP15" s="16"/>
      <c r="LQ15" s="16"/>
      <c r="LR15" s="16"/>
      <c r="LS15" s="16"/>
      <c r="LT15" s="16"/>
      <c r="LU15" s="16"/>
      <c r="LV15" s="16"/>
      <c r="LW15" s="16"/>
      <c r="LX15" s="16"/>
      <c r="LY15" s="16"/>
      <c r="LZ15" s="16"/>
      <c r="MA15" s="16"/>
      <c r="MB15" s="16"/>
      <c r="MC15" s="16"/>
      <c r="MD15" s="16"/>
      <c r="ME15" s="16"/>
      <c r="MF15" s="16"/>
      <c r="MG15" s="16"/>
      <c r="MH15" s="16"/>
      <c r="MI15" s="16"/>
      <c r="MJ15" s="16"/>
      <c r="MK15" s="16"/>
      <c r="ML15" s="16"/>
      <c r="MM15" s="16"/>
      <c r="MN15" s="16"/>
      <c r="MO15" s="16"/>
      <c r="MP15" s="16"/>
      <c r="MQ15" s="16"/>
      <c r="MR15" s="16"/>
      <c r="MS15" s="16"/>
      <c r="MT15" s="16"/>
      <c r="MU15" s="16"/>
      <c r="MV15" s="16"/>
      <c r="MW15" s="16"/>
      <c r="MX15" s="16"/>
      <c r="MY15" s="16"/>
      <c r="MZ15" s="16"/>
      <c r="NA15" s="16"/>
      <c r="NB15" s="16"/>
      <c r="NC15" s="16"/>
      <c r="ND15" s="16"/>
      <c r="NE15" s="16"/>
      <c r="NF15" s="16"/>
      <c r="NG15" s="16"/>
      <c r="NH15" s="16"/>
      <c r="NI15" s="16"/>
      <c r="NJ15" s="16"/>
      <c r="NK15" s="16"/>
      <c r="NL15" s="16"/>
      <c r="NM15" s="16"/>
      <c r="NN15" s="16"/>
      <c r="NO15" s="16"/>
      <c r="NP15" s="16"/>
      <c r="NQ15" s="16"/>
      <c r="NR15" s="16"/>
      <c r="NS15" s="16"/>
      <c r="NT15" s="16"/>
      <c r="NU15" s="16"/>
      <c r="NV15" s="16"/>
      <c r="NW15" s="16"/>
      <c r="NX15" s="16"/>
      <c r="NY15" s="16"/>
      <c r="NZ15" s="16"/>
      <c r="OA15" s="16"/>
      <c r="OB15" s="16"/>
      <c r="OC15" s="16"/>
      <c r="OD15" s="16"/>
      <c r="OE15" s="16"/>
      <c r="OF15" s="16"/>
      <c r="OG15" s="16"/>
      <c r="OH15" s="16"/>
      <c r="OI15" s="16"/>
      <c r="OJ15" s="16"/>
      <c r="OK15" s="16"/>
      <c r="OL15" s="16"/>
      <c r="OM15" s="16"/>
      <c r="ON15" s="16"/>
      <c r="OO15" s="16"/>
      <c r="OP15" s="16"/>
      <c r="OQ15" s="16"/>
      <c r="OR15" s="16"/>
      <c r="OS15" s="16"/>
      <c r="OT15" s="16"/>
      <c r="OU15" s="16"/>
      <c r="OV15" s="16"/>
      <c r="OW15" s="16"/>
      <c r="OX15" s="16"/>
      <c r="OY15" s="16"/>
      <c r="OZ15" s="16"/>
      <c r="PA15" s="16"/>
      <c r="PB15" s="16"/>
      <c r="PC15" s="16"/>
      <c r="PD15" s="16"/>
      <c r="PE15" s="16"/>
      <c r="PF15" s="16"/>
      <c r="PG15" s="16"/>
      <c r="PH15" s="16"/>
      <c r="PI15" s="16"/>
      <c r="PJ15" s="16"/>
      <c r="PK15" s="16"/>
      <c r="PL15" s="16"/>
      <c r="PM15" s="16"/>
      <c r="PN15" s="16"/>
      <c r="PO15" s="16"/>
      <c r="PP15" s="16"/>
      <c r="PQ15" s="16"/>
      <c r="PR15" s="16"/>
      <c r="PS15" s="16"/>
      <c r="PT15" s="16"/>
      <c r="PU15" s="16"/>
      <c r="PV15" s="16"/>
      <c r="PW15" s="16"/>
      <c r="PX15" s="16"/>
      <c r="PY15" s="16"/>
      <c r="PZ15" s="16"/>
      <c r="QA15" s="16"/>
      <c r="QB15" s="16"/>
      <c r="QC15" s="16"/>
      <c r="QD15" s="16"/>
      <c r="QE15" s="16"/>
      <c r="QF15" s="16"/>
      <c r="QG15" s="16"/>
      <c r="QH15" s="16"/>
      <c r="QI15" s="16"/>
      <c r="QJ15" s="16"/>
      <c r="QK15" s="16"/>
      <c r="QL15" s="16"/>
      <c r="QM15" s="16"/>
      <c r="QN15" s="16"/>
      <c r="QO15" s="16"/>
      <c r="QP15" s="16"/>
      <c r="QQ15" s="16"/>
      <c r="QR15" s="16"/>
      <c r="QS15" s="16"/>
      <c r="QT15" s="16"/>
      <c r="QU15" s="16"/>
      <c r="QV15" s="16"/>
      <c r="QW15" s="16"/>
      <c r="QX15" s="16"/>
      <c r="QY15" s="16"/>
      <c r="QZ15" s="16"/>
      <c r="RA15" s="16"/>
      <c r="RB15" s="16"/>
      <c r="RC15" s="16"/>
      <c r="RD15" s="16"/>
      <c r="RE15" s="16"/>
      <c r="RF15" s="16"/>
      <c r="RG15" s="16"/>
      <c r="RH15" s="16"/>
      <c r="RI15" s="16"/>
      <c r="RJ15" s="16"/>
      <c r="RK15" s="16"/>
      <c r="RL15" s="16"/>
      <c r="RM15" s="16"/>
      <c r="RN15" s="16"/>
      <c r="RO15" s="16"/>
      <c r="RP15" s="16"/>
      <c r="RQ15" s="16"/>
      <c r="RR15" s="16"/>
      <c r="RS15" s="16"/>
      <c r="RT15" s="16"/>
      <c r="RU15" s="16"/>
      <c r="RV15" s="16"/>
      <c r="RW15" s="16"/>
      <c r="RX15" s="16"/>
      <c r="RY15" s="16"/>
      <c r="RZ15" s="16"/>
      <c r="SA15" s="16"/>
      <c r="SB15" s="16"/>
      <c r="SC15" s="16"/>
      <c r="SD15" s="16"/>
      <c r="SE15" s="16"/>
      <c r="SF15" s="16"/>
      <c r="SG15" s="16"/>
      <c r="SH15" s="16"/>
      <c r="SI15" s="16"/>
      <c r="SJ15" s="16"/>
      <c r="SK15" s="16"/>
      <c r="SL15" s="16"/>
      <c r="SM15" s="16"/>
      <c r="SN15" s="16"/>
      <c r="SO15" s="16"/>
      <c r="SP15" s="16"/>
      <c r="SQ15" s="16"/>
      <c r="SR15" s="16"/>
      <c r="SS15" s="16"/>
      <c r="ST15" s="16"/>
      <c r="SU15" s="16"/>
      <c r="SV15" s="16"/>
      <c r="SW15" s="16"/>
      <c r="SX15" s="16"/>
      <c r="SY15" s="16"/>
      <c r="SZ15" s="16"/>
      <c r="TA15" s="16"/>
      <c r="TB15" s="16"/>
      <c r="TC15" s="16"/>
      <c r="TD15" s="16"/>
      <c r="TE15" s="16"/>
      <c r="TF15" s="16"/>
      <c r="TG15" s="16"/>
      <c r="TH15" s="16"/>
      <c r="TI15" s="16"/>
      <c r="TJ15" s="16"/>
      <c r="TK15" s="16"/>
      <c r="TL15" s="16"/>
      <c r="TM15" s="16"/>
      <c r="TN15" s="16"/>
      <c r="TO15" s="16"/>
      <c r="TP15" s="16"/>
      <c r="TQ15" s="16"/>
      <c r="TR15" s="16"/>
      <c r="TS15" s="16"/>
      <c r="TT15" s="16"/>
      <c r="TU15" s="16"/>
      <c r="TV15" s="16"/>
      <c r="TW15" s="16"/>
      <c r="TX15" s="16"/>
      <c r="TY15" s="16"/>
      <c r="TZ15" s="16"/>
      <c r="UA15" s="16"/>
      <c r="UB15" s="16"/>
      <c r="UC15" s="16"/>
      <c r="UD15" s="16"/>
      <c r="UE15" s="16"/>
      <c r="UF15" s="16"/>
      <c r="UG15" s="16"/>
      <c r="UH15" s="16"/>
      <c r="UI15" s="16"/>
      <c r="UJ15" s="16"/>
      <c r="UK15" s="16"/>
      <c r="UL15" s="16"/>
      <c r="UM15" s="16"/>
      <c r="UN15" s="16"/>
      <c r="UO15" s="16"/>
      <c r="UP15" s="16"/>
      <c r="UQ15" s="16"/>
      <c r="UR15" s="16"/>
      <c r="US15" s="16"/>
      <c r="UT15" s="16"/>
      <c r="UU15" s="16"/>
      <c r="UV15" s="16"/>
      <c r="UW15" s="16"/>
      <c r="UX15" s="16"/>
      <c r="UY15" s="16"/>
      <c r="UZ15" s="16"/>
      <c r="VA15" s="16"/>
      <c r="VB15" s="16"/>
      <c r="VC15" s="16"/>
      <c r="VD15" s="16"/>
      <c r="VE15" s="16"/>
      <c r="VF15" s="16"/>
      <c r="VG15" s="16"/>
      <c r="VH15" s="16"/>
      <c r="VI15" s="16"/>
      <c r="VJ15" s="16"/>
      <c r="VK15" s="16"/>
      <c r="VL15" s="16"/>
      <c r="VM15" s="16"/>
      <c r="VN15" s="16"/>
      <c r="VO15" s="16"/>
      <c r="VP15" s="16"/>
      <c r="VQ15" s="16"/>
      <c r="VR15" s="16"/>
      <c r="VS15" s="16"/>
      <c r="VT15" s="16"/>
      <c r="VU15" s="16"/>
      <c r="VV15" s="16"/>
      <c r="VW15" s="16"/>
      <c r="VX15" s="16"/>
      <c r="VY15" s="16"/>
      <c r="VZ15" s="16"/>
      <c r="WA15" s="16"/>
      <c r="WB15" s="16"/>
      <c r="WC15" s="16"/>
      <c r="WD15" s="16"/>
      <c r="WE15" s="16"/>
      <c r="WF15" s="16"/>
      <c r="WG15" s="16"/>
      <c r="WH15" s="16"/>
      <c r="WI15" s="16"/>
      <c r="WJ15" s="16"/>
      <c r="WK15" s="16"/>
      <c r="WL15" s="16"/>
      <c r="WM15" s="16"/>
      <c r="WN15" s="16"/>
      <c r="WO15" s="16"/>
      <c r="WP15" s="16"/>
      <c r="WQ15" s="16"/>
      <c r="WR15" s="16"/>
      <c r="WS15" s="16"/>
      <c r="WT15" s="16"/>
      <c r="WU15" s="16"/>
      <c r="WV15" s="16"/>
      <c r="WW15" s="16"/>
      <c r="WX15" s="16"/>
      <c r="WY15" s="16"/>
      <c r="WZ15" s="16"/>
      <c r="XA15" s="16"/>
      <c r="XB15" s="16"/>
      <c r="XC15" s="16"/>
      <c r="XD15" s="16"/>
      <c r="XE15" s="16"/>
      <c r="XF15" s="16"/>
      <c r="XG15" s="16"/>
      <c r="XH15" s="16"/>
      <c r="XI15" s="16"/>
      <c r="XJ15" s="16"/>
      <c r="XK15" s="16"/>
      <c r="XL15" s="16"/>
      <c r="XM15" s="16"/>
      <c r="XN15" s="16"/>
      <c r="XO15" s="16"/>
      <c r="XP15" s="16"/>
      <c r="XQ15" s="16"/>
      <c r="XR15" s="16"/>
      <c r="XS15" s="16"/>
      <c r="XT15" s="16"/>
      <c r="XU15" s="16"/>
      <c r="XV15" s="16"/>
      <c r="XW15" s="16"/>
      <c r="XX15" s="16"/>
      <c r="XY15" s="16"/>
      <c r="XZ15" s="16"/>
      <c r="YA15" s="16"/>
      <c r="YB15" s="16"/>
      <c r="YC15" s="16"/>
      <c r="YD15" s="16"/>
      <c r="YE15" s="16"/>
      <c r="YF15" s="16"/>
      <c r="YG15" s="16"/>
      <c r="YH15" s="16"/>
      <c r="YI15" s="16"/>
      <c r="YJ15" s="16"/>
      <c r="YK15" s="16"/>
      <c r="YL15" s="16"/>
      <c r="YM15" s="16"/>
      <c r="YN15" s="16"/>
      <c r="YO15" s="16"/>
      <c r="YP15" s="16"/>
      <c r="YQ15" s="16"/>
      <c r="YR15" s="16"/>
      <c r="YS15" s="16"/>
      <c r="YT15" s="16"/>
      <c r="YU15" s="16"/>
      <c r="YV15" s="16"/>
      <c r="YW15" s="16"/>
      <c r="YX15" s="16"/>
      <c r="YY15" s="16"/>
      <c r="YZ15" s="16"/>
      <c r="ZA15" s="16"/>
      <c r="ZB15" s="16"/>
      <c r="ZC15" s="16"/>
      <c r="ZD15" s="16"/>
      <c r="ZE15" s="16"/>
      <c r="ZF15" s="16"/>
      <c r="ZG15" s="16"/>
      <c r="ZH15" s="16"/>
      <c r="ZI15" s="16"/>
      <c r="ZJ15" s="16"/>
      <c r="ZK15" s="16"/>
      <c r="ZL15" s="16"/>
      <c r="ZM15" s="16"/>
      <c r="ZN15" s="16"/>
      <c r="ZO15" s="16"/>
      <c r="ZP15" s="16"/>
      <c r="ZQ15" s="16"/>
      <c r="ZR15" s="16"/>
      <c r="ZS15" s="16"/>
      <c r="ZT15" s="16"/>
      <c r="ZU15" s="16"/>
      <c r="ZV15" s="16"/>
      <c r="ZW15" s="16"/>
      <c r="ZX15" s="16"/>
      <c r="ZY15" s="16"/>
      <c r="ZZ15" s="16"/>
      <c r="AAA15" s="16"/>
      <c r="AAB15" s="16"/>
      <c r="AAC15" s="16"/>
      <c r="AAD15" s="16"/>
      <c r="AAE15" s="16"/>
      <c r="AAF15" s="16"/>
      <c r="AAG15" s="16"/>
      <c r="AAH15" s="16"/>
      <c r="AAI15" s="16"/>
      <c r="AAJ15" s="16"/>
      <c r="AAK15" s="16"/>
      <c r="AAL15" s="16"/>
      <c r="AAM15" s="16"/>
      <c r="AAN15" s="16"/>
      <c r="AAO15" s="16"/>
      <c r="AAP15" s="16"/>
      <c r="AAQ15" s="16"/>
      <c r="AAR15" s="16"/>
      <c r="AAS15" s="16"/>
      <c r="AAT15" s="16"/>
      <c r="AAU15" s="16"/>
      <c r="AAV15" s="16"/>
      <c r="AAW15" s="16"/>
      <c r="AAX15" s="16"/>
      <c r="AAY15" s="16"/>
      <c r="AAZ15" s="16"/>
      <c r="ABA15" s="16"/>
      <c r="ABB15" s="16"/>
      <c r="ABC15" s="16"/>
      <c r="ABD15" s="16"/>
      <c r="ABE15" s="16"/>
      <c r="ABF15" s="16"/>
      <c r="ABG15" s="16"/>
      <c r="ABH15" s="16"/>
      <c r="ABI15" s="16"/>
      <c r="ABJ15" s="16"/>
      <c r="ABK15" s="16"/>
      <c r="ABL15" s="16"/>
      <c r="ABM15" s="16"/>
      <c r="ABN15" s="16"/>
      <c r="ABO15" s="16"/>
      <c r="ABP15" s="16"/>
      <c r="ABQ15" s="16"/>
      <c r="ABR15" s="16"/>
      <c r="ABS15" s="16"/>
      <c r="ABT15" s="16"/>
    </row>
    <row r="16" spans="1:748" s="231" customFormat="1" ht="15.6" customHeight="1" x14ac:dyDescent="0.2">
      <c r="A16" s="251" t="s">
        <v>217</v>
      </c>
      <c r="B16" s="244" t="s">
        <v>180</v>
      </c>
      <c r="C16" s="86" t="s">
        <v>134</v>
      </c>
      <c r="D16" s="253">
        <v>44562</v>
      </c>
      <c r="E16" s="232">
        <v>0.89411765336990356</v>
      </c>
      <c r="F16" s="256">
        <v>3.3375000953674321</v>
      </c>
      <c r="G16" s="256">
        <v>4.8482141494750977</v>
      </c>
      <c r="H16" s="256">
        <v>1.5375000238418579</v>
      </c>
      <c r="I16" s="256">
        <v>0.89999997615814209</v>
      </c>
      <c r="J16" s="256">
        <v>1.2875000238418579</v>
      </c>
      <c r="K16" s="256">
        <v>1</v>
      </c>
      <c r="L16" s="232">
        <v>1</v>
      </c>
      <c r="M16" s="16"/>
      <c r="N16" s="16"/>
      <c r="O16" s="30"/>
      <c r="P16" s="16"/>
      <c r="Q16" s="16"/>
      <c r="R16" s="16"/>
      <c r="S16" s="16"/>
      <c r="T16" s="16"/>
      <c r="U16" s="16"/>
      <c r="V16" s="16"/>
      <c r="W16" s="16"/>
      <c r="X16" s="16"/>
      <c r="Y16" s="15"/>
      <c r="Z16" s="15"/>
      <c r="AA16" s="15"/>
      <c r="AB16" s="15"/>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c r="GP16" s="16"/>
      <c r="GQ16" s="16"/>
      <c r="GR16" s="16"/>
      <c r="GS16" s="16"/>
      <c r="GT16" s="16"/>
      <c r="GU16" s="16"/>
      <c r="GV16" s="16"/>
      <c r="GW16" s="16"/>
      <c r="GX16" s="16"/>
      <c r="GY16" s="16"/>
      <c r="GZ16" s="16"/>
      <c r="HA16" s="16"/>
      <c r="HB16" s="16"/>
      <c r="HC16" s="16"/>
      <c r="HD16" s="16"/>
      <c r="HE16" s="16"/>
      <c r="HF16" s="16"/>
      <c r="HG16" s="16"/>
      <c r="HH16" s="16"/>
      <c r="HI16" s="16"/>
      <c r="HJ16" s="16"/>
      <c r="HK16" s="16"/>
      <c r="HL16" s="16"/>
      <c r="HM16" s="16"/>
      <c r="HN16" s="16"/>
      <c r="HO16" s="16"/>
      <c r="HP16" s="16"/>
      <c r="HQ16" s="16"/>
      <c r="HR16" s="16"/>
      <c r="HS16" s="16"/>
      <c r="HT16" s="16"/>
      <c r="HU16" s="16"/>
      <c r="HV16" s="16"/>
      <c r="HW16" s="16"/>
      <c r="HX16" s="16"/>
      <c r="HY16" s="16"/>
      <c r="HZ16" s="16"/>
      <c r="IA16" s="16"/>
      <c r="IB16" s="16"/>
      <c r="IC16" s="16"/>
      <c r="ID16" s="16"/>
      <c r="IE16" s="16"/>
      <c r="IF16" s="16"/>
      <c r="IG16" s="16"/>
      <c r="IH16" s="16"/>
      <c r="II16" s="16"/>
      <c r="IJ16" s="16"/>
      <c r="IK16" s="16"/>
      <c r="IL16" s="16"/>
      <c r="IM16" s="16"/>
      <c r="IN16" s="16"/>
      <c r="IO16" s="16"/>
      <c r="IP16" s="16"/>
      <c r="IQ16" s="16"/>
      <c r="IR16" s="16"/>
      <c r="IS16" s="16"/>
      <c r="IT16" s="16"/>
      <c r="IU16" s="16"/>
      <c r="IV16" s="16"/>
      <c r="IW16" s="16"/>
      <c r="IX16" s="16"/>
      <c r="IY16" s="16"/>
      <c r="IZ16" s="16"/>
      <c r="JA16" s="16"/>
      <c r="JB16" s="16"/>
      <c r="JC16" s="16"/>
      <c r="JD16" s="16"/>
      <c r="JE16" s="16"/>
      <c r="JF16" s="16"/>
      <c r="JG16" s="16"/>
      <c r="JH16" s="16"/>
      <c r="JI16" s="16"/>
      <c r="JJ16" s="16"/>
      <c r="JK16" s="16"/>
      <c r="JL16" s="16"/>
      <c r="JM16" s="16"/>
      <c r="JN16" s="16"/>
      <c r="JO16" s="16"/>
      <c r="JP16" s="16"/>
      <c r="JQ16" s="16"/>
      <c r="JR16" s="16"/>
      <c r="JS16" s="16"/>
      <c r="JT16" s="16"/>
      <c r="JU16" s="16"/>
      <c r="JV16" s="16"/>
      <c r="JW16" s="16"/>
      <c r="JX16" s="16"/>
      <c r="JY16" s="16"/>
      <c r="JZ16" s="16"/>
      <c r="KA16" s="16"/>
      <c r="KB16" s="16"/>
      <c r="KC16" s="16"/>
      <c r="KD16" s="16"/>
      <c r="KE16" s="16"/>
      <c r="KF16" s="16"/>
      <c r="KG16" s="16"/>
      <c r="KH16" s="16"/>
      <c r="KI16" s="16"/>
      <c r="KJ16" s="16"/>
      <c r="KK16" s="16"/>
      <c r="KL16" s="16"/>
      <c r="KM16" s="16"/>
      <c r="KN16" s="16"/>
      <c r="KO16" s="16"/>
      <c r="KP16" s="16"/>
      <c r="KQ16" s="16"/>
      <c r="KR16" s="16"/>
      <c r="KS16" s="16"/>
      <c r="KT16" s="16"/>
      <c r="KU16" s="16"/>
      <c r="KV16" s="16"/>
      <c r="KW16" s="16"/>
      <c r="KX16" s="16"/>
      <c r="KY16" s="16"/>
      <c r="KZ16" s="16"/>
      <c r="LA16" s="16"/>
      <c r="LB16" s="16"/>
      <c r="LC16" s="16"/>
      <c r="LD16" s="16"/>
      <c r="LE16" s="16"/>
      <c r="LF16" s="16"/>
      <c r="LG16" s="16"/>
      <c r="LH16" s="16"/>
      <c r="LI16" s="16"/>
      <c r="LJ16" s="16"/>
      <c r="LK16" s="16"/>
      <c r="LL16" s="16"/>
      <c r="LM16" s="16"/>
      <c r="LN16" s="16"/>
      <c r="LO16" s="16"/>
      <c r="LP16" s="16"/>
      <c r="LQ16" s="16"/>
      <c r="LR16" s="16"/>
      <c r="LS16" s="16"/>
      <c r="LT16" s="16"/>
      <c r="LU16" s="16"/>
      <c r="LV16" s="16"/>
      <c r="LW16" s="16"/>
      <c r="LX16" s="16"/>
      <c r="LY16" s="16"/>
      <c r="LZ16" s="16"/>
      <c r="MA16" s="16"/>
      <c r="MB16" s="16"/>
      <c r="MC16" s="16"/>
      <c r="MD16" s="16"/>
      <c r="ME16" s="16"/>
      <c r="MF16" s="16"/>
      <c r="MG16" s="16"/>
      <c r="MH16" s="16"/>
      <c r="MI16" s="16"/>
      <c r="MJ16" s="16"/>
      <c r="MK16" s="16"/>
      <c r="ML16" s="16"/>
      <c r="MM16" s="16"/>
      <c r="MN16" s="16"/>
      <c r="MO16" s="16"/>
      <c r="MP16" s="16"/>
      <c r="MQ16" s="16"/>
      <c r="MR16" s="16"/>
      <c r="MS16" s="16"/>
      <c r="MT16" s="16"/>
      <c r="MU16" s="16"/>
      <c r="MV16" s="16"/>
      <c r="MW16" s="16"/>
      <c r="MX16" s="16"/>
      <c r="MY16" s="16"/>
      <c r="MZ16" s="16"/>
      <c r="NA16" s="16"/>
      <c r="NB16" s="16"/>
      <c r="NC16" s="16"/>
      <c r="ND16" s="16"/>
      <c r="NE16" s="16"/>
      <c r="NF16" s="16"/>
      <c r="NG16" s="16"/>
      <c r="NH16" s="16"/>
      <c r="NI16" s="16"/>
      <c r="NJ16" s="16"/>
      <c r="NK16" s="16"/>
      <c r="NL16" s="16"/>
      <c r="NM16" s="16"/>
      <c r="NN16" s="16"/>
      <c r="NO16" s="16"/>
      <c r="NP16" s="16"/>
      <c r="NQ16" s="16"/>
      <c r="NR16" s="16"/>
      <c r="NS16" s="16"/>
      <c r="NT16" s="16"/>
      <c r="NU16" s="16"/>
      <c r="NV16" s="16"/>
      <c r="NW16" s="16"/>
      <c r="NX16" s="16"/>
      <c r="NY16" s="16"/>
      <c r="NZ16" s="16"/>
      <c r="OA16" s="16"/>
      <c r="OB16" s="16"/>
      <c r="OC16" s="16"/>
      <c r="OD16" s="16"/>
      <c r="OE16" s="16"/>
      <c r="OF16" s="16"/>
      <c r="OG16" s="16"/>
      <c r="OH16" s="16"/>
      <c r="OI16" s="16"/>
      <c r="OJ16" s="16"/>
      <c r="OK16" s="16"/>
      <c r="OL16" s="16"/>
      <c r="OM16" s="16"/>
      <c r="ON16" s="16"/>
      <c r="OO16" s="16"/>
      <c r="OP16" s="16"/>
      <c r="OQ16" s="16"/>
      <c r="OR16" s="16"/>
      <c r="OS16" s="16"/>
      <c r="OT16" s="16"/>
      <c r="OU16" s="16"/>
      <c r="OV16" s="16"/>
      <c r="OW16" s="16"/>
      <c r="OX16" s="16"/>
      <c r="OY16" s="16"/>
      <c r="OZ16" s="16"/>
      <c r="PA16" s="16"/>
      <c r="PB16" s="16"/>
      <c r="PC16" s="16"/>
      <c r="PD16" s="16"/>
      <c r="PE16" s="16"/>
      <c r="PF16" s="16"/>
      <c r="PG16" s="16"/>
      <c r="PH16" s="16"/>
      <c r="PI16" s="16"/>
      <c r="PJ16" s="16"/>
      <c r="PK16" s="16"/>
      <c r="PL16" s="16"/>
      <c r="PM16" s="16"/>
      <c r="PN16" s="16"/>
      <c r="PO16" s="16"/>
      <c r="PP16" s="16"/>
      <c r="PQ16" s="16"/>
      <c r="PR16" s="16"/>
      <c r="PS16" s="16"/>
      <c r="PT16" s="16"/>
      <c r="PU16" s="16"/>
      <c r="PV16" s="16"/>
      <c r="PW16" s="16"/>
      <c r="PX16" s="16"/>
      <c r="PY16" s="16"/>
      <c r="PZ16" s="16"/>
      <c r="QA16" s="16"/>
      <c r="QB16" s="16"/>
      <c r="QC16" s="16"/>
      <c r="QD16" s="16"/>
      <c r="QE16" s="16"/>
      <c r="QF16" s="16"/>
      <c r="QG16" s="16"/>
      <c r="QH16" s="16"/>
      <c r="QI16" s="16"/>
      <c r="QJ16" s="16"/>
      <c r="QK16" s="16"/>
      <c r="QL16" s="16"/>
      <c r="QM16" s="16"/>
      <c r="QN16" s="16"/>
      <c r="QO16" s="16"/>
      <c r="QP16" s="16"/>
      <c r="QQ16" s="16"/>
      <c r="QR16" s="16"/>
      <c r="QS16" s="16"/>
      <c r="QT16" s="16"/>
      <c r="QU16" s="16"/>
      <c r="QV16" s="16"/>
      <c r="QW16" s="16"/>
      <c r="QX16" s="16"/>
      <c r="QY16" s="16"/>
      <c r="QZ16" s="16"/>
      <c r="RA16" s="16"/>
      <c r="RB16" s="16"/>
      <c r="RC16" s="16"/>
      <c r="RD16" s="16"/>
      <c r="RE16" s="16"/>
      <c r="RF16" s="16"/>
      <c r="RG16" s="16"/>
      <c r="RH16" s="16"/>
      <c r="RI16" s="16"/>
      <c r="RJ16" s="16"/>
      <c r="RK16" s="16"/>
      <c r="RL16" s="16"/>
      <c r="RM16" s="16"/>
      <c r="RN16" s="16"/>
      <c r="RO16" s="16"/>
      <c r="RP16" s="16"/>
      <c r="RQ16" s="16"/>
      <c r="RR16" s="16"/>
      <c r="RS16" s="16"/>
      <c r="RT16" s="16"/>
      <c r="RU16" s="16"/>
      <c r="RV16" s="16"/>
      <c r="RW16" s="16"/>
      <c r="RX16" s="16"/>
      <c r="RY16" s="16"/>
      <c r="RZ16" s="16"/>
      <c r="SA16" s="16"/>
      <c r="SB16" s="16"/>
      <c r="SC16" s="16"/>
      <c r="SD16" s="16"/>
      <c r="SE16" s="16"/>
      <c r="SF16" s="16"/>
      <c r="SG16" s="16"/>
      <c r="SH16" s="16"/>
      <c r="SI16" s="16"/>
      <c r="SJ16" s="16"/>
      <c r="SK16" s="16"/>
      <c r="SL16" s="16"/>
      <c r="SM16" s="16"/>
      <c r="SN16" s="16"/>
      <c r="SO16" s="16"/>
      <c r="SP16" s="16"/>
      <c r="SQ16" s="16"/>
      <c r="SR16" s="16"/>
      <c r="SS16" s="16"/>
      <c r="ST16" s="16"/>
      <c r="SU16" s="16"/>
      <c r="SV16" s="16"/>
      <c r="SW16" s="16"/>
      <c r="SX16" s="16"/>
      <c r="SY16" s="16"/>
      <c r="SZ16" s="16"/>
      <c r="TA16" s="16"/>
      <c r="TB16" s="16"/>
      <c r="TC16" s="16"/>
      <c r="TD16" s="16"/>
      <c r="TE16" s="16"/>
      <c r="TF16" s="16"/>
      <c r="TG16" s="16"/>
      <c r="TH16" s="16"/>
      <c r="TI16" s="16"/>
      <c r="TJ16" s="16"/>
      <c r="TK16" s="16"/>
      <c r="TL16" s="16"/>
      <c r="TM16" s="16"/>
      <c r="TN16" s="16"/>
      <c r="TO16" s="16"/>
      <c r="TP16" s="16"/>
      <c r="TQ16" s="16"/>
      <c r="TR16" s="16"/>
      <c r="TS16" s="16"/>
      <c r="TT16" s="16"/>
      <c r="TU16" s="16"/>
      <c r="TV16" s="16"/>
      <c r="TW16" s="16"/>
      <c r="TX16" s="16"/>
      <c r="TY16" s="16"/>
      <c r="TZ16" s="16"/>
      <c r="UA16" s="16"/>
      <c r="UB16" s="16"/>
      <c r="UC16" s="16"/>
      <c r="UD16" s="16"/>
      <c r="UE16" s="16"/>
      <c r="UF16" s="16"/>
      <c r="UG16" s="16"/>
      <c r="UH16" s="16"/>
      <c r="UI16" s="16"/>
      <c r="UJ16" s="16"/>
      <c r="UK16" s="16"/>
      <c r="UL16" s="16"/>
      <c r="UM16" s="16"/>
      <c r="UN16" s="16"/>
      <c r="UO16" s="16"/>
      <c r="UP16" s="16"/>
      <c r="UQ16" s="16"/>
      <c r="UR16" s="16"/>
      <c r="US16" s="16"/>
      <c r="UT16" s="16"/>
      <c r="UU16" s="16"/>
      <c r="UV16" s="16"/>
      <c r="UW16" s="16"/>
      <c r="UX16" s="16"/>
      <c r="UY16" s="16"/>
      <c r="UZ16" s="16"/>
      <c r="VA16" s="16"/>
      <c r="VB16" s="16"/>
      <c r="VC16" s="16"/>
      <c r="VD16" s="16"/>
      <c r="VE16" s="16"/>
      <c r="VF16" s="16"/>
      <c r="VG16" s="16"/>
      <c r="VH16" s="16"/>
      <c r="VI16" s="16"/>
      <c r="VJ16" s="16"/>
      <c r="VK16" s="16"/>
      <c r="VL16" s="16"/>
      <c r="VM16" s="16"/>
      <c r="VN16" s="16"/>
      <c r="VO16" s="16"/>
      <c r="VP16" s="16"/>
      <c r="VQ16" s="16"/>
      <c r="VR16" s="16"/>
      <c r="VS16" s="16"/>
      <c r="VT16" s="16"/>
      <c r="VU16" s="16"/>
      <c r="VV16" s="16"/>
      <c r="VW16" s="16"/>
      <c r="VX16" s="16"/>
      <c r="VY16" s="16"/>
      <c r="VZ16" s="16"/>
      <c r="WA16" s="16"/>
      <c r="WB16" s="16"/>
      <c r="WC16" s="16"/>
      <c r="WD16" s="16"/>
      <c r="WE16" s="16"/>
      <c r="WF16" s="16"/>
      <c r="WG16" s="16"/>
      <c r="WH16" s="16"/>
      <c r="WI16" s="16"/>
      <c r="WJ16" s="16"/>
      <c r="WK16" s="16"/>
      <c r="WL16" s="16"/>
      <c r="WM16" s="16"/>
      <c r="WN16" s="16"/>
      <c r="WO16" s="16"/>
      <c r="WP16" s="16"/>
      <c r="WQ16" s="16"/>
      <c r="WR16" s="16"/>
      <c r="WS16" s="16"/>
      <c r="WT16" s="16"/>
      <c r="WU16" s="16"/>
      <c r="WV16" s="16"/>
      <c r="WW16" s="16"/>
      <c r="WX16" s="16"/>
      <c r="WY16" s="16"/>
      <c r="WZ16" s="16"/>
      <c r="XA16" s="16"/>
      <c r="XB16" s="16"/>
      <c r="XC16" s="16"/>
      <c r="XD16" s="16"/>
      <c r="XE16" s="16"/>
      <c r="XF16" s="16"/>
      <c r="XG16" s="16"/>
      <c r="XH16" s="16"/>
      <c r="XI16" s="16"/>
      <c r="XJ16" s="16"/>
      <c r="XK16" s="16"/>
      <c r="XL16" s="16"/>
      <c r="XM16" s="16"/>
      <c r="XN16" s="16"/>
      <c r="XO16" s="16"/>
      <c r="XP16" s="16"/>
      <c r="XQ16" s="16"/>
      <c r="XR16" s="16"/>
      <c r="XS16" s="16"/>
      <c r="XT16" s="16"/>
      <c r="XU16" s="16"/>
      <c r="XV16" s="16"/>
      <c r="XW16" s="16"/>
      <c r="XX16" s="16"/>
      <c r="XY16" s="16"/>
      <c r="XZ16" s="16"/>
      <c r="YA16" s="16"/>
      <c r="YB16" s="16"/>
      <c r="YC16" s="16"/>
      <c r="YD16" s="16"/>
      <c r="YE16" s="16"/>
      <c r="YF16" s="16"/>
      <c r="YG16" s="16"/>
      <c r="YH16" s="16"/>
      <c r="YI16" s="16"/>
      <c r="YJ16" s="16"/>
      <c r="YK16" s="16"/>
      <c r="YL16" s="16"/>
      <c r="YM16" s="16"/>
      <c r="YN16" s="16"/>
      <c r="YO16" s="16"/>
      <c r="YP16" s="16"/>
      <c r="YQ16" s="16"/>
      <c r="YR16" s="16"/>
      <c r="YS16" s="16"/>
      <c r="YT16" s="16"/>
      <c r="YU16" s="16"/>
      <c r="YV16" s="16"/>
      <c r="YW16" s="16"/>
      <c r="YX16" s="16"/>
      <c r="YY16" s="16"/>
      <c r="YZ16" s="16"/>
      <c r="ZA16" s="16"/>
      <c r="ZB16" s="16"/>
      <c r="ZC16" s="16"/>
      <c r="ZD16" s="16"/>
      <c r="ZE16" s="16"/>
      <c r="ZF16" s="16"/>
      <c r="ZG16" s="16"/>
      <c r="ZH16" s="16"/>
      <c r="ZI16" s="16"/>
      <c r="ZJ16" s="16"/>
      <c r="ZK16" s="16"/>
      <c r="ZL16" s="16"/>
      <c r="ZM16" s="16"/>
      <c r="ZN16" s="16"/>
      <c r="ZO16" s="16"/>
      <c r="ZP16" s="16"/>
      <c r="ZQ16" s="16"/>
      <c r="ZR16" s="16"/>
      <c r="ZS16" s="16"/>
      <c r="ZT16" s="16"/>
      <c r="ZU16" s="16"/>
      <c r="ZV16" s="16"/>
      <c r="ZW16" s="16"/>
      <c r="ZX16" s="16"/>
      <c r="ZY16" s="16"/>
      <c r="ZZ16" s="16"/>
      <c r="AAA16" s="16"/>
      <c r="AAB16" s="16"/>
      <c r="AAC16" s="16"/>
      <c r="AAD16" s="16"/>
      <c r="AAE16" s="16"/>
      <c r="AAF16" s="16"/>
      <c r="AAG16" s="16"/>
      <c r="AAH16" s="16"/>
      <c r="AAI16" s="16"/>
      <c r="AAJ16" s="16"/>
      <c r="AAK16" s="16"/>
      <c r="AAL16" s="16"/>
      <c r="AAM16" s="16"/>
      <c r="AAN16" s="16"/>
      <c r="AAO16" s="16"/>
      <c r="AAP16" s="16"/>
      <c r="AAQ16" s="16"/>
      <c r="AAR16" s="16"/>
      <c r="AAS16" s="16"/>
      <c r="AAT16" s="16"/>
      <c r="AAU16" s="16"/>
      <c r="AAV16" s="16"/>
      <c r="AAW16" s="16"/>
      <c r="AAX16" s="16"/>
      <c r="AAY16" s="16"/>
      <c r="AAZ16" s="16"/>
      <c r="ABA16" s="16"/>
      <c r="ABB16" s="16"/>
      <c r="ABC16" s="16"/>
      <c r="ABD16" s="16"/>
      <c r="ABE16" s="16"/>
      <c r="ABF16" s="16"/>
      <c r="ABG16" s="16"/>
      <c r="ABH16" s="16"/>
      <c r="ABI16" s="16"/>
      <c r="ABJ16" s="16"/>
      <c r="ABK16" s="16"/>
      <c r="ABL16" s="16"/>
      <c r="ABM16" s="16"/>
      <c r="ABN16" s="16"/>
      <c r="ABO16" s="16"/>
      <c r="ABP16" s="16"/>
      <c r="ABQ16" s="16"/>
      <c r="ABR16" s="16"/>
      <c r="ABS16" s="16"/>
      <c r="ABT16" s="16"/>
    </row>
    <row r="17" spans="1:748" s="231" customFormat="1" ht="15.6" customHeight="1" x14ac:dyDescent="0.2">
      <c r="A17" s="144"/>
      <c r="B17" s="14"/>
      <c r="C17" s="77"/>
      <c r="D17" s="278"/>
      <c r="E17" s="295"/>
      <c r="F17" s="172"/>
      <c r="G17" s="172"/>
      <c r="H17" s="172"/>
      <c r="I17" s="172"/>
      <c r="J17" s="172"/>
      <c r="K17" s="172"/>
      <c r="L17" s="295"/>
      <c r="M17" s="16"/>
      <c r="N17" s="16"/>
      <c r="O17" s="30"/>
      <c r="P17" s="16"/>
      <c r="Q17" s="16"/>
      <c r="R17" s="16"/>
      <c r="S17" s="16"/>
      <c r="T17" s="16"/>
      <c r="U17" s="16"/>
      <c r="V17" s="16"/>
      <c r="W17" s="16"/>
      <c r="X17" s="16"/>
      <c r="Y17" s="15"/>
      <c r="Z17" s="15"/>
      <c r="AA17" s="15"/>
      <c r="AB17" s="15"/>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c r="HM17" s="16"/>
      <c r="HN17" s="16"/>
      <c r="HO17" s="16"/>
      <c r="HP17" s="16"/>
      <c r="HQ17" s="16"/>
      <c r="HR17" s="16"/>
      <c r="HS17" s="16"/>
      <c r="HT17" s="16"/>
      <c r="HU17" s="16"/>
      <c r="HV17" s="16"/>
      <c r="HW17" s="16"/>
      <c r="HX17" s="16"/>
      <c r="HY17" s="16"/>
      <c r="HZ17" s="16"/>
      <c r="IA17" s="16"/>
      <c r="IB17" s="16"/>
      <c r="IC17" s="16"/>
      <c r="ID17" s="16"/>
      <c r="IE17" s="16"/>
      <c r="IF17" s="16"/>
      <c r="IG17" s="16"/>
      <c r="IH17" s="16"/>
      <c r="II17" s="16"/>
      <c r="IJ17" s="16"/>
      <c r="IK17" s="16"/>
      <c r="IL17" s="16"/>
      <c r="IM17" s="16"/>
      <c r="IN17" s="16"/>
      <c r="IO17" s="16"/>
      <c r="IP17" s="16"/>
      <c r="IQ17" s="16"/>
      <c r="IR17" s="16"/>
      <c r="IS17" s="16"/>
      <c r="IT17" s="16"/>
      <c r="IU17" s="16"/>
      <c r="IV17" s="16"/>
      <c r="IW17" s="16"/>
      <c r="IX17" s="16"/>
      <c r="IY17" s="16"/>
      <c r="IZ17" s="16"/>
      <c r="JA17" s="16"/>
      <c r="JB17" s="16"/>
      <c r="JC17" s="16"/>
      <c r="JD17" s="16"/>
      <c r="JE17" s="16"/>
      <c r="JF17" s="16"/>
      <c r="JG17" s="16"/>
      <c r="JH17" s="16"/>
      <c r="JI17" s="16"/>
      <c r="JJ17" s="16"/>
      <c r="JK17" s="16"/>
      <c r="JL17" s="16"/>
      <c r="JM17" s="16"/>
      <c r="JN17" s="16"/>
      <c r="JO17" s="16"/>
      <c r="JP17" s="16"/>
      <c r="JQ17" s="16"/>
      <c r="JR17" s="16"/>
      <c r="JS17" s="16"/>
      <c r="JT17" s="16"/>
      <c r="JU17" s="16"/>
      <c r="JV17" s="16"/>
      <c r="JW17" s="16"/>
      <c r="JX17" s="16"/>
      <c r="JY17" s="16"/>
      <c r="JZ17" s="16"/>
      <c r="KA17" s="16"/>
      <c r="KB17" s="16"/>
      <c r="KC17" s="16"/>
      <c r="KD17" s="16"/>
      <c r="KE17" s="16"/>
      <c r="KF17" s="16"/>
      <c r="KG17" s="16"/>
      <c r="KH17" s="16"/>
      <c r="KI17" s="16"/>
      <c r="KJ17" s="16"/>
      <c r="KK17" s="16"/>
      <c r="KL17" s="16"/>
      <c r="KM17" s="16"/>
      <c r="KN17" s="16"/>
      <c r="KO17" s="16"/>
      <c r="KP17" s="16"/>
      <c r="KQ17" s="16"/>
      <c r="KR17" s="16"/>
      <c r="KS17" s="16"/>
      <c r="KT17" s="16"/>
      <c r="KU17" s="16"/>
      <c r="KV17" s="16"/>
      <c r="KW17" s="16"/>
      <c r="KX17" s="16"/>
      <c r="KY17" s="16"/>
      <c r="KZ17" s="16"/>
      <c r="LA17" s="16"/>
      <c r="LB17" s="16"/>
      <c r="LC17" s="16"/>
      <c r="LD17" s="16"/>
      <c r="LE17" s="16"/>
      <c r="LF17" s="16"/>
      <c r="LG17" s="16"/>
      <c r="LH17" s="16"/>
      <c r="LI17" s="16"/>
      <c r="LJ17" s="16"/>
      <c r="LK17" s="16"/>
      <c r="LL17" s="16"/>
      <c r="LM17" s="16"/>
      <c r="LN17" s="16"/>
      <c r="LO17" s="16"/>
      <c r="LP17" s="16"/>
      <c r="LQ17" s="16"/>
      <c r="LR17" s="16"/>
      <c r="LS17" s="16"/>
      <c r="LT17" s="16"/>
      <c r="LU17" s="16"/>
      <c r="LV17" s="16"/>
      <c r="LW17" s="16"/>
      <c r="LX17" s="16"/>
      <c r="LY17" s="16"/>
      <c r="LZ17" s="16"/>
      <c r="MA17" s="16"/>
      <c r="MB17" s="16"/>
      <c r="MC17" s="16"/>
      <c r="MD17" s="16"/>
      <c r="ME17" s="16"/>
      <c r="MF17" s="16"/>
      <c r="MG17" s="16"/>
      <c r="MH17" s="16"/>
      <c r="MI17" s="16"/>
      <c r="MJ17" s="16"/>
      <c r="MK17" s="16"/>
      <c r="ML17" s="16"/>
      <c r="MM17" s="16"/>
      <c r="MN17" s="16"/>
      <c r="MO17" s="16"/>
      <c r="MP17" s="16"/>
      <c r="MQ17" s="16"/>
      <c r="MR17" s="16"/>
      <c r="MS17" s="16"/>
      <c r="MT17" s="16"/>
      <c r="MU17" s="16"/>
      <c r="MV17" s="16"/>
      <c r="MW17" s="16"/>
      <c r="MX17" s="16"/>
      <c r="MY17" s="16"/>
      <c r="MZ17" s="16"/>
      <c r="NA17" s="16"/>
      <c r="NB17" s="16"/>
      <c r="NC17" s="16"/>
      <c r="ND17" s="16"/>
      <c r="NE17" s="16"/>
      <c r="NF17" s="16"/>
      <c r="NG17" s="16"/>
      <c r="NH17" s="16"/>
      <c r="NI17" s="16"/>
      <c r="NJ17" s="16"/>
      <c r="NK17" s="16"/>
      <c r="NL17" s="16"/>
      <c r="NM17" s="16"/>
      <c r="NN17" s="16"/>
      <c r="NO17" s="16"/>
      <c r="NP17" s="16"/>
      <c r="NQ17" s="16"/>
      <c r="NR17" s="16"/>
      <c r="NS17" s="16"/>
      <c r="NT17" s="16"/>
      <c r="NU17" s="16"/>
      <c r="NV17" s="16"/>
      <c r="NW17" s="16"/>
      <c r="NX17" s="16"/>
      <c r="NY17" s="16"/>
      <c r="NZ17" s="16"/>
      <c r="OA17" s="16"/>
      <c r="OB17" s="16"/>
      <c r="OC17" s="16"/>
      <c r="OD17" s="16"/>
      <c r="OE17" s="16"/>
      <c r="OF17" s="16"/>
      <c r="OG17" s="16"/>
      <c r="OH17" s="16"/>
      <c r="OI17" s="16"/>
      <c r="OJ17" s="16"/>
      <c r="OK17" s="16"/>
      <c r="OL17" s="16"/>
      <c r="OM17" s="16"/>
      <c r="ON17" s="16"/>
      <c r="OO17" s="16"/>
      <c r="OP17" s="16"/>
      <c r="OQ17" s="16"/>
      <c r="OR17" s="16"/>
      <c r="OS17" s="16"/>
      <c r="OT17" s="16"/>
      <c r="OU17" s="16"/>
      <c r="OV17" s="16"/>
      <c r="OW17" s="16"/>
      <c r="OX17" s="16"/>
      <c r="OY17" s="16"/>
      <c r="OZ17" s="16"/>
      <c r="PA17" s="16"/>
      <c r="PB17" s="16"/>
      <c r="PC17" s="16"/>
      <c r="PD17" s="16"/>
      <c r="PE17" s="16"/>
      <c r="PF17" s="16"/>
      <c r="PG17" s="16"/>
      <c r="PH17" s="16"/>
      <c r="PI17" s="16"/>
      <c r="PJ17" s="16"/>
      <c r="PK17" s="16"/>
      <c r="PL17" s="16"/>
      <c r="PM17" s="16"/>
      <c r="PN17" s="16"/>
      <c r="PO17" s="16"/>
      <c r="PP17" s="16"/>
      <c r="PQ17" s="16"/>
      <c r="PR17" s="16"/>
      <c r="PS17" s="16"/>
      <c r="PT17" s="16"/>
      <c r="PU17" s="16"/>
      <c r="PV17" s="16"/>
      <c r="PW17" s="16"/>
      <c r="PX17" s="16"/>
      <c r="PY17" s="16"/>
      <c r="PZ17" s="16"/>
      <c r="QA17" s="16"/>
      <c r="QB17" s="16"/>
      <c r="QC17" s="16"/>
      <c r="QD17" s="16"/>
      <c r="QE17" s="16"/>
      <c r="QF17" s="16"/>
      <c r="QG17" s="16"/>
      <c r="QH17" s="16"/>
      <c r="QI17" s="16"/>
      <c r="QJ17" s="16"/>
      <c r="QK17" s="16"/>
      <c r="QL17" s="16"/>
      <c r="QM17" s="16"/>
      <c r="QN17" s="16"/>
      <c r="QO17" s="16"/>
      <c r="QP17" s="16"/>
      <c r="QQ17" s="16"/>
      <c r="QR17" s="16"/>
      <c r="QS17" s="16"/>
      <c r="QT17" s="16"/>
      <c r="QU17" s="16"/>
      <c r="QV17" s="16"/>
      <c r="QW17" s="16"/>
      <c r="QX17" s="16"/>
      <c r="QY17" s="16"/>
      <c r="QZ17" s="16"/>
      <c r="RA17" s="16"/>
      <c r="RB17" s="16"/>
      <c r="RC17" s="16"/>
      <c r="RD17" s="16"/>
      <c r="RE17" s="16"/>
      <c r="RF17" s="16"/>
      <c r="RG17" s="16"/>
      <c r="RH17" s="16"/>
      <c r="RI17" s="16"/>
      <c r="RJ17" s="16"/>
      <c r="RK17" s="16"/>
      <c r="RL17" s="16"/>
      <c r="RM17" s="16"/>
      <c r="RN17" s="16"/>
      <c r="RO17" s="16"/>
      <c r="RP17" s="16"/>
      <c r="RQ17" s="16"/>
      <c r="RR17" s="16"/>
      <c r="RS17" s="16"/>
      <c r="RT17" s="16"/>
      <c r="RU17" s="16"/>
      <c r="RV17" s="16"/>
      <c r="RW17" s="16"/>
      <c r="RX17" s="16"/>
      <c r="RY17" s="16"/>
      <c r="RZ17" s="16"/>
      <c r="SA17" s="16"/>
      <c r="SB17" s="16"/>
      <c r="SC17" s="16"/>
      <c r="SD17" s="16"/>
      <c r="SE17" s="16"/>
      <c r="SF17" s="16"/>
      <c r="SG17" s="16"/>
      <c r="SH17" s="16"/>
      <c r="SI17" s="16"/>
      <c r="SJ17" s="16"/>
      <c r="SK17" s="16"/>
      <c r="SL17" s="16"/>
      <c r="SM17" s="16"/>
      <c r="SN17" s="16"/>
      <c r="SO17" s="16"/>
      <c r="SP17" s="16"/>
      <c r="SQ17" s="16"/>
      <c r="SR17" s="16"/>
      <c r="SS17" s="16"/>
      <c r="ST17" s="16"/>
      <c r="SU17" s="16"/>
      <c r="SV17" s="16"/>
      <c r="SW17" s="16"/>
      <c r="SX17" s="16"/>
      <c r="SY17" s="16"/>
      <c r="SZ17" s="16"/>
      <c r="TA17" s="16"/>
      <c r="TB17" s="16"/>
      <c r="TC17" s="16"/>
      <c r="TD17" s="16"/>
      <c r="TE17" s="16"/>
      <c r="TF17" s="16"/>
      <c r="TG17" s="16"/>
      <c r="TH17" s="16"/>
      <c r="TI17" s="16"/>
      <c r="TJ17" s="16"/>
      <c r="TK17" s="16"/>
      <c r="TL17" s="16"/>
      <c r="TM17" s="16"/>
      <c r="TN17" s="16"/>
      <c r="TO17" s="16"/>
      <c r="TP17" s="16"/>
      <c r="TQ17" s="16"/>
      <c r="TR17" s="16"/>
      <c r="TS17" s="16"/>
      <c r="TT17" s="16"/>
      <c r="TU17" s="16"/>
      <c r="TV17" s="16"/>
      <c r="TW17" s="16"/>
      <c r="TX17" s="16"/>
      <c r="TY17" s="16"/>
      <c r="TZ17" s="16"/>
      <c r="UA17" s="16"/>
      <c r="UB17" s="16"/>
      <c r="UC17" s="16"/>
      <c r="UD17" s="16"/>
      <c r="UE17" s="16"/>
      <c r="UF17" s="16"/>
      <c r="UG17" s="16"/>
      <c r="UH17" s="16"/>
      <c r="UI17" s="16"/>
      <c r="UJ17" s="16"/>
      <c r="UK17" s="16"/>
      <c r="UL17" s="16"/>
      <c r="UM17" s="16"/>
      <c r="UN17" s="16"/>
      <c r="UO17" s="16"/>
      <c r="UP17" s="16"/>
      <c r="UQ17" s="16"/>
      <c r="UR17" s="16"/>
      <c r="US17" s="16"/>
      <c r="UT17" s="16"/>
      <c r="UU17" s="16"/>
      <c r="UV17" s="16"/>
      <c r="UW17" s="16"/>
      <c r="UX17" s="16"/>
      <c r="UY17" s="16"/>
      <c r="UZ17" s="16"/>
      <c r="VA17" s="16"/>
      <c r="VB17" s="16"/>
      <c r="VC17" s="16"/>
      <c r="VD17" s="16"/>
      <c r="VE17" s="16"/>
      <c r="VF17" s="16"/>
      <c r="VG17" s="16"/>
      <c r="VH17" s="16"/>
      <c r="VI17" s="16"/>
      <c r="VJ17" s="16"/>
      <c r="VK17" s="16"/>
      <c r="VL17" s="16"/>
      <c r="VM17" s="16"/>
      <c r="VN17" s="16"/>
      <c r="VO17" s="16"/>
      <c r="VP17" s="16"/>
      <c r="VQ17" s="16"/>
      <c r="VR17" s="16"/>
      <c r="VS17" s="16"/>
      <c r="VT17" s="16"/>
      <c r="VU17" s="16"/>
      <c r="VV17" s="16"/>
      <c r="VW17" s="16"/>
      <c r="VX17" s="16"/>
      <c r="VY17" s="16"/>
      <c r="VZ17" s="16"/>
      <c r="WA17" s="16"/>
      <c r="WB17" s="16"/>
      <c r="WC17" s="16"/>
      <c r="WD17" s="16"/>
      <c r="WE17" s="16"/>
      <c r="WF17" s="16"/>
      <c r="WG17" s="16"/>
      <c r="WH17" s="16"/>
      <c r="WI17" s="16"/>
      <c r="WJ17" s="16"/>
      <c r="WK17" s="16"/>
      <c r="WL17" s="16"/>
      <c r="WM17" s="16"/>
      <c r="WN17" s="16"/>
      <c r="WO17" s="16"/>
      <c r="WP17" s="16"/>
      <c r="WQ17" s="16"/>
      <c r="WR17" s="16"/>
      <c r="WS17" s="16"/>
      <c r="WT17" s="16"/>
      <c r="WU17" s="16"/>
      <c r="WV17" s="16"/>
      <c r="WW17" s="16"/>
      <c r="WX17" s="16"/>
      <c r="WY17" s="16"/>
      <c r="WZ17" s="16"/>
      <c r="XA17" s="16"/>
      <c r="XB17" s="16"/>
      <c r="XC17" s="16"/>
      <c r="XD17" s="16"/>
      <c r="XE17" s="16"/>
      <c r="XF17" s="16"/>
      <c r="XG17" s="16"/>
      <c r="XH17" s="16"/>
      <c r="XI17" s="16"/>
      <c r="XJ17" s="16"/>
      <c r="XK17" s="16"/>
      <c r="XL17" s="16"/>
      <c r="XM17" s="16"/>
      <c r="XN17" s="16"/>
      <c r="XO17" s="16"/>
      <c r="XP17" s="16"/>
      <c r="XQ17" s="16"/>
      <c r="XR17" s="16"/>
      <c r="XS17" s="16"/>
      <c r="XT17" s="16"/>
      <c r="XU17" s="16"/>
      <c r="XV17" s="16"/>
      <c r="XW17" s="16"/>
      <c r="XX17" s="16"/>
      <c r="XY17" s="16"/>
      <c r="XZ17" s="16"/>
      <c r="YA17" s="16"/>
      <c r="YB17" s="16"/>
      <c r="YC17" s="16"/>
      <c r="YD17" s="16"/>
      <c r="YE17" s="16"/>
      <c r="YF17" s="16"/>
      <c r="YG17" s="16"/>
      <c r="YH17" s="16"/>
      <c r="YI17" s="16"/>
      <c r="YJ17" s="16"/>
      <c r="YK17" s="16"/>
      <c r="YL17" s="16"/>
      <c r="YM17" s="16"/>
      <c r="YN17" s="16"/>
      <c r="YO17" s="16"/>
      <c r="YP17" s="16"/>
      <c r="YQ17" s="16"/>
      <c r="YR17" s="16"/>
      <c r="YS17" s="16"/>
      <c r="YT17" s="16"/>
      <c r="YU17" s="16"/>
      <c r="YV17" s="16"/>
      <c r="YW17" s="16"/>
      <c r="YX17" s="16"/>
      <c r="YY17" s="16"/>
      <c r="YZ17" s="16"/>
      <c r="ZA17" s="16"/>
      <c r="ZB17" s="16"/>
      <c r="ZC17" s="16"/>
      <c r="ZD17" s="16"/>
      <c r="ZE17" s="16"/>
      <c r="ZF17" s="16"/>
      <c r="ZG17" s="16"/>
      <c r="ZH17" s="16"/>
      <c r="ZI17" s="16"/>
      <c r="ZJ17" s="16"/>
      <c r="ZK17" s="16"/>
      <c r="ZL17" s="16"/>
      <c r="ZM17" s="16"/>
      <c r="ZN17" s="16"/>
      <c r="ZO17" s="16"/>
      <c r="ZP17" s="16"/>
      <c r="ZQ17" s="16"/>
      <c r="ZR17" s="16"/>
      <c r="ZS17" s="16"/>
      <c r="ZT17" s="16"/>
      <c r="ZU17" s="16"/>
      <c r="ZV17" s="16"/>
      <c r="ZW17" s="16"/>
      <c r="ZX17" s="16"/>
      <c r="ZY17" s="16"/>
      <c r="ZZ17" s="16"/>
      <c r="AAA17" s="16"/>
      <c r="AAB17" s="16"/>
      <c r="AAC17" s="16"/>
      <c r="AAD17" s="16"/>
      <c r="AAE17" s="16"/>
      <c r="AAF17" s="16"/>
      <c r="AAG17" s="16"/>
      <c r="AAH17" s="16"/>
      <c r="AAI17" s="16"/>
      <c r="AAJ17" s="16"/>
      <c r="AAK17" s="16"/>
      <c r="AAL17" s="16"/>
      <c r="AAM17" s="16"/>
      <c r="AAN17" s="16"/>
      <c r="AAO17" s="16"/>
      <c r="AAP17" s="16"/>
      <c r="AAQ17" s="16"/>
      <c r="AAR17" s="16"/>
      <c r="AAS17" s="16"/>
      <c r="AAT17" s="16"/>
      <c r="AAU17" s="16"/>
      <c r="AAV17" s="16"/>
      <c r="AAW17" s="16"/>
      <c r="AAX17" s="16"/>
      <c r="AAY17" s="16"/>
      <c r="AAZ17" s="16"/>
      <c r="ABA17" s="16"/>
      <c r="ABB17" s="16"/>
      <c r="ABC17" s="16"/>
      <c r="ABD17" s="16"/>
      <c r="ABE17" s="16"/>
      <c r="ABF17" s="16"/>
      <c r="ABG17" s="16"/>
      <c r="ABH17" s="16"/>
      <c r="ABI17" s="16"/>
      <c r="ABJ17" s="16"/>
      <c r="ABK17" s="16"/>
      <c r="ABL17" s="16"/>
      <c r="ABM17" s="16"/>
      <c r="ABN17" s="16"/>
      <c r="ABO17" s="16"/>
      <c r="ABP17" s="16"/>
      <c r="ABQ17" s="16"/>
      <c r="ABR17" s="16"/>
      <c r="ABS17" s="16"/>
      <c r="ABT17" s="16"/>
    </row>
    <row r="18" spans="1:748" s="304" customFormat="1" ht="15.6" customHeight="1" x14ac:dyDescent="0.2">
      <c r="A18" s="298"/>
      <c r="B18" s="284" t="s">
        <v>156</v>
      </c>
      <c r="C18" s="299"/>
      <c r="D18" s="300"/>
      <c r="E18" s="297">
        <v>1.2674853639481098</v>
      </c>
      <c r="F18" s="288">
        <v>3.1569627554793107</v>
      </c>
      <c r="G18" s="288">
        <v>4.4879358424139877</v>
      </c>
      <c r="H18" s="288">
        <v>1.1465465587538641</v>
      </c>
      <c r="I18" s="288">
        <v>1.4962901917139166</v>
      </c>
      <c r="J18" s="288">
        <v>1.2865575337292332</v>
      </c>
      <c r="K18" s="288">
        <v>0.79393797073709338</v>
      </c>
      <c r="L18" s="297">
        <v>2.2532894674100374</v>
      </c>
      <c r="M18" s="301"/>
      <c r="N18" s="301"/>
      <c r="O18" s="302"/>
      <c r="P18" s="301"/>
      <c r="Q18" s="301"/>
      <c r="R18" s="301"/>
      <c r="S18" s="301"/>
      <c r="T18" s="301"/>
      <c r="U18" s="301"/>
      <c r="V18" s="301"/>
      <c r="W18" s="301"/>
      <c r="X18" s="301"/>
      <c r="Y18" s="303"/>
      <c r="Z18" s="303"/>
      <c r="AA18" s="303"/>
      <c r="AB18" s="303"/>
      <c r="AC18" s="301"/>
      <c r="AD18" s="301"/>
      <c r="AE18" s="301"/>
      <c r="AF18" s="301"/>
      <c r="AG18" s="301"/>
      <c r="AH18" s="301"/>
      <c r="AI18" s="301"/>
      <c r="AJ18" s="301"/>
      <c r="AK18" s="301"/>
      <c r="AL18" s="301"/>
      <c r="AM18" s="301"/>
      <c r="AN18" s="301"/>
      <c r="AO18" s="301"/>
      <c r="AP18" s="301"/>
      <c r="AQ18" s="301"/>
      <c r="AR18" s="301"/>
      <c r="AS18" s="301"/>
      <c r="AT18" s="301"/>
      <c r="AU18" s="301"/>
      <c r="AV18" s="301"/>
      <c r="AW18" s="301"/>
      <c r="AX18" s="301"/>
      <c r="AY18" s="301"/>
      <c r="AZ18" s="301"/>
      <c r="BA18" s="301"/>
      <c r="BB18" s="301"/>
      <c r="BC18" s="301"/>
      <c r="BD18" s="301"/>
      <c r="BE18" s="301"/>
      <c r="BF18" s="301"/>
      <c r="BG18" s="301"/>
      <c r="BH18" s="301"/>
      <c r="BI18" s="301"/>
      <c r="BJ18" s="301"/>
      <c r="BK18" s="301"/>
      <c r="BL18" s="301"/>
      <c r="BM18" s="301"/>
      <c r="BN18" s="301"/>
      <c r="BO18" s="301"/>
      <c r="BP18" s="301"/>
      <c r="BQ18" s="301"/>
      <c r="BR18" s="301"/>
      <c r="BS18" s="301"/>
      <c r="BT18" s="301"/>
      <c r="BU18" s="301"/>
      <c r="BV18" s="301"/>
      <c r="BW18" s="301"/>
      <c r="BX18" s="301"/>
      <c r="BY18" s="301"/>
      <c r="BZ18" s="301"/>
      <c r="CA18" s="301"/>
      <c r="CB18" s="301"/>
      <c r="CC18" s="301"/>
      <c r="CD18" s="301"/>
      <c r="CE18" s="301"/>
      <c r="CF18" s="301"/>
      <c r="CG18" s="301"/>
      <c r="CH18" s="301"/>
      <c r="CI18" s="301"/>
      <c r="CJ18" s="301"/>
      <c r="CK18" s="301"/>
      <c r="CL18" s="301"/>
      <c r="CM18" s="301"/>
      <c r="CN18" s="301"/>
      <c r="CO18" s="301"/>
      <c r="CP18" s="301"/>
      <c r="CQ18" s="301"/>
      <c r="CR18" s="301"/>
      <c r="CS18" s="301"/>
      <c r="CT18" s="301"/>
      <c r="CU18" s="301"/>
      <c r="CV18" s="301"/>
      <c r="CW18" s="301"/>
      <c r="CX18" s="301"/>
      <c r="CY18" s="301"/>
      <c r="CZ18" s="301"/>
      <c r="DA18" s="301"/>
      <c r="DB18" s="301"/>
      <c r="DC18" s="301"/>
      <c r="DD18" s="301"/>
      <c r="DE18" s="301"/>
      <c r="DF18" s="301"/>
      <c r="DG18" s="301"/>
      <c r="DH18" s="301"/>
      <c r="DI18" s="301"/>
      <c r="DJ18" s="301"/>
      <c r="DK18" s="301"/>
      <c r="DL18" s="301"/>
      <c r="DM18" s="301"/>
      <c r="DN18" s="301"/>
      <c r="DO18" s="301"/>
      <c r="DP18" s="301"/>
      <c r="DQ18" s="301"/>
      <c r="DR18" s="301"/>
      <c r="DS18" s="301"/>
      <c r="DT18" s="301"/>
      <c r="DU18" s="301"/>
      <c r="DV18" s="301"/>
      <c r="DW18" s="301"/>
      <c r="DX18" s="301"/>
      <c r="DY18" s="301"/>
      <c r="DZ18" s="301"/>
      <c r="EA18" s="301"/>
      <c r="EB18" s="301"/>
      <c r="EC18" s="301"/>
      <c r="ED18" s="301"/>
      <c r="EE18" s="301"/>
      <c r="EF18" s="301"/>
      <c r="EG18" s="301"/>
      <c r="EH18" s="301"/>
      <c r="EI18" s="301"/>
      <c r="EJ18" s="301"/>
      <c r="EK18" s="301"/>
      <c r="EL18" s="301"/>
      <c r="EM18" s="301"/>
      <c r="EN18" s="301"/>
      <c r="EO18" s="301"/>
      <c r="EP18" s="301"/>
      <c r="EQ18" s="301"/>
      <c r="ER18" s="301"/>
      <c r="ES18" s="301"/>
      <c r="ET18" s="301"/>
      <c r="EU18" s="301"/>
      <c r="EV18" s="301"/>
      <c r="EW18" s="301"/>
      <c r="EX18" s="301"/>
      <c r="EY18" s="301"/>
      <c r="EZ18" s="301"/>
      <c r="FA18" s="301"/>
      <c r="FB18" s="301"/>
      <c r="FC18" s="301"/>
      <c r="FD18" s="301"/>
      <c r="FE18" s="301"/>
      <c r="FF18" s="301"/>
      <c r="FG18" s="301"/>
      <c r="FH18" s="301"/>
      <c r="FI18" s="301"/>
      <c r="FJ18" s="301"/>
      <c r="FK18" s="301"/>
      <c r="FL18" s="301"/>
      <c r="FM18" s="301"/>
      <c r="FN18" s="301"/>
      <c r="FO18" s="301"/>
      <c r="FP18" s="301"/>
      <c r="FQ18" s="301"/>
      <c r="FR18" s="301"/>
      <c r="FS18" s="301"/>
      <c r="FT18" s="301"/>
      <c r="FU18" s="301"/>
      <c r="FV18" s="301"/>
      <c r="FW18" s="301"/>
      <c r="FX18" s="301"/>
      <c r="FY18" s="301"/>
      <c r="FZ18" s="301"/>
      <c r="GA18" s="301"/>
      <c r="GB18" s="301"/>
      <c r="GC18" s="301"/>
      <c r="GD18" s="301"/>
      <c r="GE18" s="301"/>
      <c r="GF18" s="301"/>
      <c r="GG18" s="301"/>
      <c r="GH18" s="301"/>
      <c r="GI18" s="301"/>
      <c r="GJ18" s="301"/>
      <c r="GK18" s="301"/>
      <c r="GL18" s="301"/>
      <c r="GM18" s="301"/>
      <c r="GN18" s="301"/>
      <c r="GO18" s="301"/>
      <c r="GP18" s="301"/>
      <c r="GQ18" s="301"/>
      <c r="GR18" s="301"/>
      <c r="GS18" s="301"/>
      <c r="GT18" s="301"/>
      <c r="GU18" s="301"/>
      <c r="GV18" s="301"/>
      <c r="GW18" s="301"/>
      <c r="GX18" s="301"/>
      <c r="GY18" s="301"/>
      <c r="GZ18" s="301"/>
      <c r="HA18" s="301"/>
      <c r="HB18" s="301"/>
      <c r="HC18" s="301"/>
      <c r="HD18" s="301"/>
      <c r="HE18" s="301"/>
      <c r="HF18" s="301"/>
      <c r="HG18" s="301"/>
      <c r="HH18" s="301"/>
      <c r="HI18" s="301"/>
      <c r="HJ18" s="301"/>
      <c r="HK18" s="301"/>
      <c r="HL18" s="301"/>
      <c r="HM18" s="301"/>
      <c r="HN18" s="301"/>
      <c r="HO18" s="301"/>
      <c r="HP18" s="301"/>
      <c r="HQ18" s="301"/>
      <c r="HR18" s="301"/>
      <c r="HS18" s="301"/>
      <c r="HT18" s="301"/>
      <c r="HU18" s="301"/>
      <c r="HV18" s="301"/>
      <c r="HW18" s="301"/>
      <c r="HX18" s="301"/>
      <c r="HY18" s="301"/>
      <c r="HZ18" s="301"/>
      <c r="IA18" s="301"/>
      <c r="IB18" s="301"/>
      <c r="IC18" s="301"/>
      <c r="ID18" s="301"/>
      <c r="IE18" s="301"/>
      <c r="IF18" s="301"/>
      <c r="IG18" s="301"/>
      <c r="IH18" s="301"/>
      <c r="II18" s="301"/>
      <c r="IJ18" s="301"/>
      <c r="IK18" s="301"/>
      <c r="IL18" s="301"/>
      <c r="IM18" s="301"/>
      <c r="IN18" s="301"/>
      <c r="IO18" s="301"/>
      <c r="IP18" s="301"/>
      <c r="IQ18" s="301"/>
      <c r="IR18" s="301"/>
      <c r="IS18" s="301"/>
      <c r="IT18" s="301"/>
      <c r="IU18" s="301"/>
      <c r="IV18" s="301"/>
      <c r="IW18" s="301"/>
      <c r="IX18" s="301"/>
      <c r="IY18" s="301"/>
      <c r="IZ18" s="301"/>
      <c r="JA18" s="301"/>
      <c r="JB18" s="301"/>
      <c r="JC18" s="301"/>
      <c r="JD18" s="301"/>
      <c r="JE18" s="301"/>
      <c r="JF18" s="301"/>
      <c r="JG18" s="301"/>
      <c r="JH18" s="301"/>
      <c r="JI18" s="301"/>
      <c r="JJ18" s="301"/>
      <c r="JK18" s="301"/>
      <c r="JL18" s="301"/>
      <c r="JM18" s="301"/>
      <c r="JN18" s="301"/>
      <c r="JO18" s="301"/>
      <c r="JP18" s="301"/>
      <c r="JQ18" s="301"/>
      <c r="JR18" s="301"/>
      <c r="JS18" s="301"/>
      <c r="JT18" s="301"/>
      <c r="JU18" s="301"/>
      <c r="JV18" s="301"/>
      <c r="JW18" s="301"/>
      <c r="JX18" s="301"/>
      <c r="JY18" s="301"/>
      <c r="JZ18" s="301"/>
      <c r="KA18" s="301"/>
      <c r="KB18" s="301"/>
      <c r="KC18" s="301"/>
      <c r="KD18" s="301"/>
      <c r="KE18" s="301"/>
      <c r="KF18" s="301"/>
      <c r="KG18" s="301"/>
      <c r="KH18" s="301"/>
      <c r="KI18" s="301"/>
      <c r="KJ18" s="301"/>
      <c r="KK18" s="301"/>
      <c r="KL18" s="301"/>
      <c r="KM18" s="301"/>
      <c r="KN18" s="301"/>
      <c r="KO18" s="301"/>
      <c r="KP18" s="301"/>
      <c r="KQ18" s="301"/>
      <c r="KR18" s="301"/>
      <c r="KS18" s="301"/>
      <c r="KT18" s="301"/>
      <c r="KU18" s="301"/>
      <c r="KV18" s="301"/>
      <c r="KW18" s="301"/>
      <c r="KX18" s="301"/>
      <c r="KY18" s="301"/>
      <c r="KZ18" s="301"/>
      <c r="LA18" s="301"/>
      <c r="LB18" s="301"/>
      <c r="LC18" s="301"/>
      <c r="LD18" s="301"/>
      <c r="LE18" s="301"/>
      <c r="LF18" s="301"/>
      <c r="LG18" s="301"/>
      <c r="LH18" s="301"/>
      <c r="LI18" s="301"/>
      <c r="LJ18" s="301"/>
      <c r="LK18" s="301"/>
      <c r="LL18" s="301"/>
      <c r="LM18" s="301"/>
      <c r="LN18" s="301"/>
      <c r="LO18" s="301"/>
      <c r="LP18" s="301"/>
      <c r="LQ18" s="301"/>
      <c r="LR18" s="301"/>
      <c r="LS18" s="301"/>
      <c r="LT18" s="301"/>
      <c r="LU18" s="301"/>
      <c r="LV18" s="301"/>
      <c r="LW18" s="301"/>
      <c r="LX18" s="301"/>
      <c r="LY18" s="301"/>
      <c r="LZ18" s="301"/>
      <c r="MA18" s="301"/>
      <c r="MB18" s="301"/>
      <c r="MC18" s="301"/>
      <c r="MD18" s="301"/>
      <c r="ME18" s="301"/>
      <c r="MF18" s="301"/>
      <c r="MG18" s="301"/>
      <c r="MH18" s="301"/>
      <c r="MI18" s="301"/>
      <c r="MJ18" s="301"/>
      <c r="MK18" s="301"/>
      <c r="ML18" s="301"/>
      <c r="MM18" s="301"/>
      <c r="MN18" s="301"/>
      <c r="MO18" s="301"/>
      <c r="MP18" s="301"/>
      <c r="MQ18" s="301"/>
      <c r="MR18" s="301"/>
      <c r="MS18" s="301"/>
      <c r="MT18" s="301"/>
      <c r="MU18" s="301"/>
      <c r="MV18" s="301"/>
      <c r="MW18" s="301"/>
      <c r="MX18" s="301"/>
      <c r="MY18" s="301"/>
      <c r="MZ18" s="301"/>
      <c r="NA18" s="301"/>
      <c r="NB18" s="301"/>
      <c r="NC18" s="301"/>
      <c r="ND18" s="301"/>
      <c r="NE18" s="301"/>
      <c r="NF18" s="301"/>
      <c r="NG18" s="301"/>
      <c r="NH18" s="301"/>
      <c r="NI18" s="301"/>
      <c r="NJ18" s="301"/>
      <c r="NK18" s="301"/>
      <c r="NL18" s="301"/>
      <c r="NM18" s="301"/>
      <c r="NN18" s="301"/>
      <c r="NO18" s="301"/>
      <c r="NP18" s="301"/>
      <c r="NQ18" s="301"/>
      <c r="NR18" s="301"/>
      <c r="NS18" s="301"/>
      <c r="NT18" s="301"/>
      <c r="NU18" s="301"/>
      <c r="NV18" s="301"/>
      <c r="NW18" s="301"/>
      <c r="NX18" s="301"/>
      <c r="NY18" s="301"/>
      <c r="NZ18" s="301"/>
      <c r="OA18" s="301"/>
      <c r="OB18" s="301"/>
      <c r="OC18" s="301"/>
      <c r="OD18" s="301"/>
      <c r="OE18" s="301"/>
      <c r="OF18" s="301"/>
      <c r="OG18" s="301"/>
      <c r="OH18" s="301"/>
      <c r="OI18" s="301"/>
      <c r="OJ18" s="301"/>
      <c r="OK18" s="301"/>
      <c r="OL18" s="301"/>
      <c r="OM18" s="301"/>
      <c r="ON18" s="301"/>
      <c r="OO18" s="301"/>
      <c r="OP18" s="301"/>
      <c r="OQ18" s="301"/>
      <c r="OR18" s="301"/>
      <c r="OS18" s="301"/>
      <c r="OT18" s="301"/>
      <c r="OU18" s="301"/>
      <c r="OV18" s="301"/>
      <c r="OW18" s="301"/>
      <c r="OX18" s="301"/>
      <c r="OY18" s="301"/>
      <c r="OZ18" s="301"/>
      <c r="PA18" s="301"/>
      <c r="PB18" s="301"/>
      <c r="PC18" s="301"/>
      <c r="PD18" s="301"/>
      <c r="PE18" s="301"/>
      <c r="PF18" s="301"/>
      <c r="PG18" s="301"/>
      <c r="PH18" s="301"/>
      <c r="PI18" s="301"/>
      <c r="PJ18" s="301"/>
      <c r="PK18" s="301"/>
      <c r="PL18" s="301"/>
      <c r="PM18" s="301"/>
      <c r="PN18" s="301"/>
      <c r="PO18" s="301"/>
      <c r="PP18" s="301"/>
      <c r="PQ18" s="301"/>
      <c r="PR18" s="301"/>
      <c r="PS18" s="301"/>
      <c r="PT18" s="301"/>
      <c r="PU18" s="301"/>
      <c r="PV18" s="301"/>
      <c r="PW18" s="301"/>
      <c r="PX18" s="301"/>
      <c r="PY18" s="301"/>
      <c r="PZ18" s="301"/>
      <c r="QA18" s="301"/>
      <c r="QB18" s="301"/>
      <c r="QC18" s="301"/>
      <c r="QD18" s="301"/>
      <c r="QE18" s="301"/>
      <c r="QF18" s="301"/>
      <c r="QG18" s="301"/>
      <c r="QH18" s="301"/>
      <c r="QI18" s="301"/>
      <c r="QJ18" s="301"/>
      <c r="QK18" s="301"/>
      <c r="QL18" s="301"/>
      <c r="QM18" s="301"/>
      <c r="QN18" s="301"/>
      <c r="QO18" s="301"/>
      <c r="QP18" s="301"/>
      <c r="QQ18" s="301"/>
      <c r="QR18" s="301"/>
      <c r="QS18" s="301"/>
      <c r="QT18" s="301"/>
      <c r="QU18" s="301"/>
      <c r="QV18" s="301"/>
      <c r="QW18" s="301"/>
      <c r="QX18" s="301"/>
      <c r="QY18" s="301"/>
      <c r="QZ18" s="301"/>
      <c r="RA18" s="301"/>
      <c r="RB18" s="301"/>
      <c r="RC18" s="301"/>
      <c r="RD18" s="301"/>
      <c r="RE18" s="301"/>
      <c r="RF18" s="301"/>
      <c r="RG18" s="301"/>
      <c r="RH18" s="301"/>
      <c r="RI18" s="301"/>
      <c r="RJ18" s="301"/>
      <c r="RK18" s="301"/>
      <c r="RL18" s="301"/>
      <c r="RM18" s="301"/>
      <c r="RN18" s="301"/>
      <c r="RO18" s="301"/>
      <c r="RP18" s="301"/>
      <c r="RQ18" s="301"/>
      <c r="RR18" s="301"/>
      <c r="RS18" s="301"/>
      <c r="RT18" s="301"/>
      <c r="RU18" s="301"/>
      <c r="RV18" s="301"/>
      <c r="RW18" s="301"/>
      <c r="RX18" s="301"/>
      <c r="RY18" s="301"/>
      <c r="RZ18" s="301"/>
      <c r="SA18" s="301"/>
      <c r="SB18" s="301"/>
      <c r="SC18" s="301"/>
      <c r="SD18" s="301"/>
      <c r="SE18" s="301"/>
      <c r="SF18" s="301"/>
      <c r="SG18" s="301"/>
      <c r="SH18" s="301"/>
      <c r="SI18" s="301"/>
      <c r="SJ18" s="301"/>
      <c r="SK18" s="301"/>
      <c r="SL18" s="301"/>
      <c r="SM18" s="301"/>
      <c r="SN18" s="301"/>
      <c r="SO18" s="301"/>
      <c r="SP18" s="301"/>
      <c r="SQ18" s="301"/>
      <c r="SR18" s="301"/>
      <c r="SS18" s="301"/>
      <c r="ST18" s="301"/>
      <c r="SU18" s="301"/>
      <c r="SV18" s="301"/>
      <c r="SW18" s="301"/>
      <c r="SX18" s="301"/>
      <c r="SY18" s="301"/>
      <c r="SZ18" s="301"/>
      <c r="TA18" s="301"/>
      <c r="TB18" s="301"/>
      <c r="TC18" s="301"/>
      <c r="TD18" s="301"/>
      <c r="TE18" s="301"/>
      <c r="TF18" s="301"/>
      <c r="TG18" s="301"/>
      <c r="TH18" s="301"/>
      <c r="TI18" s="301"/>
      <c r="TJ18" s="301"/>
      <c r="TK18" s="301"/>
      <c r="TL18" s="301"/>
      <c r="TM18" s="301"/>
      <c r="TN18" s="301"/>
      <c r="TO18" s="301"/>
      <c r="TP18" s="301"/>
      <c r="TQ18" s="301"/>
      <c r="TR18" s="301"/>
      <c r="TS18" s="301"/>
      <c r="TT18" s="301"/>
      <c r="TU18" s="301"/>
      <c r="TV18" s="301"/>
      <c r="TW18" s="301"/>
      <c r="TX18" s="301"/>
      <c r="TY18" s="301"/>
      <c r="TZ18" s="301"/>
      <c r="UA18" s="301"/>
      <c r="UB18" s="301"/>
      <c r="UC18" s="301"/>
      <c r="UD18" s="301"/>
      <c r="UE18" s="301"/>
      <c r="UF18" s="301"/>
      <c r="UG18" s="301"/>
      <c r="UH18" s="301"/>
      <c r="UI18" s="301"/>
      <c r="UJ18" s="301"/>
      <c r="UK18" s="301"/>
      <c r="UL18" s="301"/>
      <c r="UM18" s="301"/>
      <c r="UN18" s="301"/>
      <c r="UO18" s="301"/>
      <c r="UP18" s="301"/>
      <c r="UQ18" s="301"/>
      <c r="UR18" s="301"/>
      <c r="US18" s="301"/>
      <c r="UT18" s="301"/>
      <c r="UU18" s="301"/>
      <c r="UV18" s="301"/>
      <c r="UW18" s="301"/>
      <c r="UX18" s="301"/>
      <c r="UY18" s="301"/>
      <c r="UZ18" s="301"/>
      <c r="VA18" s="301"/>
      <c r="VB18" s="301"/>
      <c r="VC18" s="301"/>
      <c r="VD18" s="301"/>
      <c r="VE18" s="301"/>
      <c r="VF18" s="301"/>
      <c r="VG18" s="301"/>
      <c r="VH18" s="301"/>
      <c r="VI18" s="301"/>
      <c r="VJ18" s="301"/>
      <c r="VK18" s="301"/>
      <c r="VL18" s="301"/>
      <c r="VM18" s="301"/>
      <c r="VN18" s="301"/>
      <c r="VO18" s="301"/>
      <c r="VP18" s="301"/>
      <c r="VQ18" s="301"/>
      <c r="VR18" s="301"/>
      <c r="VS18" s="301"/>
      <c r="VT18" s="301"/>
      <c r="VU18" s="301"/>
      <c r="VV18" s="301"/>
      <c r="VW18" s="301"/>
      <c r="VX18" s="301"/>
      <c r="VY18" s="301"/>
      <c r="VZ18" s="301"/>
      <c r="WA18" s="301"/>
      <c r="WB18" s="301"/>
      <c r="WC18" s="301"/>
      <c r="WD18" s="301"/>
      <c r="WE18" s="301"/>
      <c r="WF18" s="301"/>
      <c r="WG18" s="301"/>
      <c r="WH18" s="301"/>
      <c r="WI18" s="301"/>
      <c r="WJ18" s="301"/>
      <c r="WK18" s="301"/>
      <c r="WL18" s="301"/>
      <c r="WM18" s="301"/>
      <c r="WN18" s="301"/>
      <c r="WO18" s="301"/>
      <c r="WP18" s="301"/>
      <c r="WQ18" s="301"/>
      <c r="WR18" s="301"/>
      <c r="WS18" s="301"/>
      <c r="WT18" s="301"/>
      <c r="WU18" s="301"/>
      <c r="WV18" s="301"/>
      <c r="WW18" s="301"/>
      <c r="WX18" s="301"/>
      <c r="WY18" s="301"/>
      <c r="WZ18" s="301"/>
      <c r="XA18" s="301"/>
      <c r="XB18" s="301"/>
      <c r="XC18" s="301"/>
      <c r="XD18" s="301"/>
      <c r="XE18" s="301"/>
      <c r="XF18" s="301"/>
      <c r="XG18" s="301"/>
      <c r="XH18" s="301"/>
      <c r="XI18" s="301"/>
      <c r="XJ18" s="301"/>
      <c r="XK18" s="301"/>
      <c r="XL18" s="301"/>
      <c r="XM18" s="301"/>
      <c r="XN18" s="301"/>
      <c r="XO18" s="301"/>
      <c r="XP18" s="301"/>
      <c r="XQ18" s="301"/>
      <c r="XR18" s="301"/>
      <c r="XS18" s="301"/>
      <c r="XT18" s="301"/>
      <c r="XU18" s="301"/>
      <c r="XV18" s="301"/>
      <c r="XW18" s="301"/>
      <c r="XX18" s="301"/>
      <c r="XY18" s="301"/>
      <c r="XZ18" s="301"/>
      <c r="YA18" s="301"/>
      <c r="YB18" s="301"/>
      <c r="YC18" s="301"/>
      <c r="YD18" s="301"/>
      <c r="YE18" s="301"/>
      <c r="YF18" s="301"/>
      <c r="YG18" s="301"/>
      <c r="YH18" s="301"/>
      <c r="YI18" s="301"/>
      <c r="YJ18" s="301"/>
      <c r="YK18" s="301"/>
      <c r="YL18" s="301"/>
      <c r="YM18" s="301"/>
      <c r="YN18" s="301"/>
      <c r="YO18" s="301"/>
      <c r="YP18" s="301"/>
      <c r="YQ18" s="301"/>
      <c r="YR18" s="301"/>
      <c r="YS18" s="301"/>
      <c r="YT18" s="301"/>
      <c r="YU18" s="301"/>
      <c r="YV18" s="301"/>
      <c r="YW18" s="301"/>
      <c r="YX18" s="301"/>
      <c r="YY18" s="301"/>
      <c r="YZ18" s="301"/>
      <c r="ZA18" s="301"/>
      <c r="ZB18" s="301"/>
      <c r="ZC18" s="301"/>
      <c r="ZD18" s="301"/>
      <c r="ZE18" s="301"/>
      <c r="ZF18" s="301"/>
      <c r="ZG18" s="301"/>
      <c r="ZH18" s="301"/>
      <c r="ZI18" s="301"/>
      <c r="ZJ18" s="301"/>
      <c r="ZK18" s="301"/>
      <c r="ZL18" s="301"/>
      <c r="ZM18" s="301"/>
      <c r="ZN18" s="301"/>
      <c r="ZO18" s="301"/>
      <c r="ZP18" s="301"/>
      <c r="ZQ18" s="301"/>
      <c r="ZR18" s="301"/>
      <c r="ZS18" s="301"/>
      <c r="ZT18" s="301"/>
      <c r="ZU18" s="301"/>
      <c r="ZV18" s="301"/>
      <c r="ZW18" s="301"/>
      <c r="ZX18" s="301"/>
      <c r="ZY18" s="301"/>
      <c r="ZZ18" s="301"/>
      <c r="AAA18" s="301"/>
      <c r="AAB18" s="301"/>
      <c r="AAC18" s="301"/>
      <c r="AAD18" s="301"/>
      <c r="AAE18" s="301"/>
      <c r="AAF18" s="301"/>
      <c r="AAG18" s="301"/>
      <c r="AAH18" s="301"/>
      <c r="AAI18" s="301"/>
      <c r="AAJ18" s="301"/>
      <c r="AAK18" s="301"/>
      <c r="AAL18" s="301"/>
      <c r="AAM18" s="301"/>
      <c r="AAN18" s="301"/>
      <c r="AAO18" s="301"/>
      <c r="AAP18" s="301"/>
      <c r="AAQ18" s="301"/>
      <c r="AAR18" s="301"/>
      <c r="AAS18" s="301"/>
      <c r="AAT18" s="301"/>
      <c r="AAU18" s="301"/>
      <c r="AAV18" s="301"/>
      <c r="AAW18" s="301"/>
      <c r="AAX18" s="301"/>
      <c r="AAY18" s="301"/>
      <c r="AAZ18" s="301"/>
      <c r="ABA18" s="301"/>
      <c r="ABB18" s="301"/>
      <c r="ABC18" s="301"/>
      <c r="ABD18" s="301"/>
      <c r="ABE18" s="301"/>
      <c r="ABF18" s="301"/>
      <c r="ABG18" s="301"/>
      <c r="ABH18" s="301"/>
      <c r="ABI18" s="301"/>
      <c r="ABJ18" s="301"/>
      <c r="ABK18" s="301"/>
      <c r="ABL18" s="301"/>
      <c r="ABM18" s="301"/>
      <c r="ABN18" s="301"/>
      <c r="ABO18" s="301"/>
      <c r="ABP18" s="301"/>
      <c r="ABQ18" s="301"/>
      <c r="ABR18" s="301"/>
      <c r="ABS18" s="301"/>
      <c r="ABT18" s="301"/>
    </row>
    <row r="19" spans="1:748" s="231" customFormat="1" ht="15.6" customHeight="1" x14ac:dyDescent="0.2">
      <c r="A19" s="144"/>
      <c r="B19" s="280" t="s">
        <v>150</v>
      </c>
      <c r="C19" s="77"/>
      <c r="D19" s="278"/>
      <c r="E19" s="296">
        <v>0.22268907614052297</v>
      </c>
      <c r="F19" s="174">
        <v>1.345555567741394</v>
      </c>
      <c r="G19" s="174">
        <v>2.2633929327130318</v>
      </c>
      <c r="H19" s="174">
        <v>0</v>
      </c>
      <c r="I19" s="174">
        <v>4.0000001341104513E-2</v>
      </c>
      <c r="J19" s="174">
        <v>0</v>
      </c>
      <c r="K19" s="174">
        <v>0</v>
      </c>
      <c r="L19" s="296">
        <v>0.15</v>
      </c>
      <c r="M19" s="16"/>
      <c r="N19" s="16"/>
      <c r="O19" s="30"/>
      <c r="P19" s="16"/>
      <c r="Q19" s="16"/>
      <c r="R19" s="16"/>
      <c r="S19" s="16"/>
      <c r="T19" s="16"/>
      <c r="U19" s="16"/>
      <c r="V19" s="16"/>
      <c r="W19" s="16"/>
      <c r="X19" s="16"/>
      <c r="Y19" s="15"/>
      <c r="Z19" s="15"/>
      <c r="AA19" s="15"/>
      <c r="AB19" s="15"/>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c r="GP19" s="16"/>
      <c r="GQ19" s="16"/>
      <c r="GR19" s="16"/>
      <c r="GS19" s="16"/>
      <c r="GT19" s="16"/>
      <c r="GU19" s="16"/>
      <c r="GV19" s="16"/>
      <c r="GW19" s="16"/>
      <c r="GX19" s="16"/>
      <c r="GY19" s="16"/>
      <c r="GZ19" s="16"/>
      <c r="HA19" s="16"/>
      <c r="HB19" s="16"/>
      <c r="HC19" s="16"/>
      <c r="HD19" s="16"/>
      <c r="HE19" s="16"/>
      <c r="HF19" s="16"/>
      <c r="HG19" s="16"/>
      <c r="HH19" s="16"/>
      <c r="HI19" s="16"/>
      <c r="HJ19" s="16"/>
      <c r="HK19" s="16"/>
      <c r="HL19" s="16"/>
      <c r="HM19" s="16"/>
      <c r="HN19" s="16"/>
      <c r="HO19" s="16"/>
      <c r="HP19" s="16"/>
      <c r="HQ19" s="16"/>
      <c r="HR19" s="16"/>
      <c r="HS19" s="16"/>
      <c r="HT19" s="16"/>
      <c r="HU19" s="16"/>
      <c r="HV19" s="16"/>
      <c r="HW19" s="16"/>
      <c r="HX19" s="16"/>
      <c r="HY19" s="16"/>
      <c r="HZ19" s="16"/>
      <c r="IA19" s="16"/>
      <c r="IB19" s="16"/>
      <c r="IC19" s="16"/>
      <c r="ID19" s="16"/>
      <c r="IE19" s="16"/>
      <c r="IF19" s="16"/>
      <c r="IG19" s="16"/>
      <c r="IH19" s="16"/>
      <c r="II19" s="16"/>
      <c r="IJ19" s="16"/>
      <c r="IK19" s="16"/>
      <c r="IL19" s="16"/>
      <c r="IM19" s="16"/>
      <c r="IN19" s="16"/>
      <c r="IO19" s="16"/>
      <c r="IP19" s="16"/>
      <c r="IQ19" s="16"/>
      <c r="IR19" s="16"/>
      <c r="IS19" s="16"/>
      <c r="IT19" s="16"/>
      <c r="IU19" s="16"/>
      <c r="IV19" s="16"/>
      <c r="IW19" s="16"/>
      <c r="IX19" s="16"/>
      <c r="IY19" s="16"/>
      <c r="IZ19" s="16"/>
      <c r="JA19" s="16"/>
      <c r="JB19" s="16"/>
      <c r="JC19" s="16"/>
      <c r="JD19" s="16"/>
      <c r="JE19" s="16"/>
      <c r="JF19" s="16"/>
      <c r="JG19" s="16"/>
      <c r="JH19" s="16"/>
      <c r="JI19" s="16"/>
      <c r="JJ19" s="16"/>
      <c r="JK19" s="16"/>
      <c r="JL19" s="16"/>
      <c r="JM19" s="16"/>
      <c r="JN19" s="16"/>
      <c r="JO19" s="16"/>
      <c r="JP19" s="16"/>
      <c r="JQ19" s="16"/>
      <c r="JR19" s="16"/>
      <c r="JS19" s="16"/>
      <c r="JT19" s="16"/>
      <c r="JU19" s="16"/>
      <c r="JV19" s="16"/>
      <c r="JW19" s="16"/>
      <c r="JX19" s="16"/>
      <c r="JY19" s="16"/>
      <c r="JZ19" s="16"/>
      <c r="KA19" s="16"/>
      <c r="KB19" s="16"/>
      <c r="KC19" s="16"/>
      <c r="KD19" s="16"/>
      <c r="KE19" s="16"/>
      <c r="KF19" s="16"/>
      <c r="KG19" s="16"/>
      <c r="KH19" s="16"/>
      <c r="KI19" s="16"/>
      <c r="KJ19" s="16"/>
      <c r="KK19" s="16"/>
      <c r="KL19" s="16"/>
      <c r="KM19" s="16"/>
      <c r="KN19" s="16"/>
      <c r="KO19" s="16"/>
      <c r="KP19" s="16"/>
      <c r="KQ19" s="16"/>
      <c r="KR19" s="16"/>
      <c r="KS19" s="16"/>
      <c r="KT19" s="16"/>
      <c r="KU19" s="16"/>
      <c r="KV19" s="16"/>
      <c r="KW19" s="16"/>
      <c r="KX19" s="16"/>
      <c r="KY19" s="16"/>
      <c r="KZ19" s="16"/>
      <c r="LA19" s="16"/>
      <c r="LB19" s="16"/>
      <c r="LC19" s="16"/>
      <c r="LD19" s="16"/>
      <c r="LE19" s="16"/>
      <c r="LF19" s="16"/>
      <c r="LG19" s="16"/>
      <c r="LH19" s="16"/>
      <c r="LI19" s="16"/>
      <c r="LJ19" s="16"/>
      <c r="LK19" s="16"/>
      <c r="LL19" s="16"/>
      <c r="LM19" s="16"/>
      <c r="LN19" s="16"/>
      <c r="LO19" s="16"/>
      <c r="LP19" s="16"/>
      <c r="LQ19" s="16"/>
      <c r="LR19" s="16"/>
      <c r="LS19" s="16"/>
      <c r="LT19" s="16"/>
      <c r="LU19" s="16"/>
      <c r="LV19" s="16"/>
      <c r="LW19" s="16"/>
      <c r="LX19" s="16"/>
      <c r="LY19" s="16"/>
      <c r="LZ19" s="16"/>
      <c r="MA19" s="16"/>
      <c r="MB19" s="16"/>
      <c r="MC19" s="16"/>
      <c r="MD19" s="16"/>
      <c r="ME19" s="16"/>
      <c r="MF19" s="16"/>
      <c r="MG19" s="16"/>
      <c r="MH19" s="16"/>
      <c r="MI19" s="16"/>
      <c r="MJ19" s="16"/>
      <c r="MK19" s="16"/>
      <c r="ML19" s="16"/>
      <c r="MM19" s="16"/>
      <c r="MN19" s="16"/>
      <c r="MO19" s="16"/>
      <c r="MP19" s="16"/>
      <c r="MQ19" s="16"/>
      <c r="MR19" s="16"/>
      <c r="MS19" s="16"/>
      <c r="MT19" s="16"/>
      <c r="MU19" s="16"/>
      <c r="MV19" s="16"/>
      <c r="MW19" s="16"/>
      <c r="MX19" s="16"/>
      <c r="MY19" s="16"/>
      <c r="MZ19" s="16"/>
      <c r="NA19" s="16"/>
      <c r="NB19" s="16"/>
      <c r="NC19" s="16"/>
      <c r="ND19" s="16"/>
      <c r="NE19" s="16"/>
      <c r="NF19" s="16"/>
      <c r="NG19" s="16"/>
      <c r="NH19" s="16"/>
      <c r="NI19" s="16"/>
      <c r="NJ19" s="16"/>
      <c r="NK19" s="16"/>
      <c r="NL19" s="16"/>
      <c r="NM19" s="16"/>
      <c r="NN19" s="16"/>
      <c r="NO19" s="16"/>
      <c r="NP19" s="16"/>
      <c r="NQ19" s="16"/>
      <c r="NR19" s="16"/>
      <c r="NS19" s="16"/>
      <c r="NT19" s="16"/>
      <c r="NU19" s="16"/>
      <c r="NV19" s="16"/>
      <c r="NW19" s="16"/>
      <c r="NX19" s="16"/>
      <c r="NY19" s="16"/>
      <c r="NZ19" s="16"/>
      <c r="OA19" s="16"/>
      <c r="OB19" s="16"/>
      <c r="OC19" s="16"/>
      <c r="OD19" s="16"/>
      <c r="OE19" s="16"/>
      <c r="OF19" s="16"/>
      <c r="OG19" s="16"/>
      <c r="OH19" s="16"/>
      <c r="OI19" s="16"/>
      <c r="OJ19" s="16"/>
      <c r="OK19" s="16"/>
      <c r="OL19" s="16"/>
      <c r="OM19" s="16"/>
      <c r="ON19" s="16"/>
      <c r="OO19" s="16"/>
      <c r="OP19" s="16"/>
      <c r="OQ19" s="16"/>
      <c r="OR19" s="16"/>
      <c r="OS19" s="16"/>
      <c r="OT19" s="16"/>
      <c r="OU19" s="16"/>
      <c r="OV19" s="16"/>
      <c r="OW19" s="16"/>
      <c r="OX19" s="16"/>
      <c r="OY19" s="16"/>
      <c r="OZ19" s="16"/>
      <c r="PA19" s="16"/>
      <c r="PB19" s="16"/>
      <c r="PC19" s="16"/>
      <c r="PD19" s="16"/>
      <c r="PE19" s="16"/>
      <c r="PF19" s="16"/>
      <c r="PG19" s="16"/>
      <c r="PH19" s="16"/>
      <c r="PI19" s="16"/>
      <c r="PJ19" s="16"/>
      <c r="PK19" s="16"/>
      <c r="PL19" s="16"/>
      <c r="PM19" s="16"/>
      <c r="PN19" s="16"/>
      <c r="PO19" s="16"/>
      <c r="PP19" s="16"/>
      <c r="PQ19" s="16"/>
      <c r="PR19" s="16"/>
      <c r="PS19" s="16"/>
      <c r="PT19" s="16"/>
      <c r="PU19" s="16"/>
      <c r="PV19" s="16"/>
      <c r="PW19" s="16"/>
      <c r="PX19" s="16"/>
      <c r="PY19" s="16"/>
      <c r="PZ19" s="16"/>
      <c r="QA19" s="16"/>
      <c r="QB19" s="16"/>
      <c r="QC19" s="16"/>
      <c r="QD19" s="16"/>
      <c r="QE19" s="16"/>
      <c r="QF19" s="16"/>
      <c r="QG19" s="16"/>
      <c r="QH19" s="16"/>
      <c r="QI19" s="16"/>
      <c r="QJ19" s="16"/>
      <c r="QK19" s="16"/>
      <c r="QL19" s="16"/>
      <c r="QM19" s="16"/>
      <c r="QN19" s="16"/>
      <c r="QO19" s="16"/>
      <c r="QP19" s="16"/>
      <c r="QQ19" s="16"/>
      <c r="QR19" s="16"/>
      <c r="QS19" s="16"/>
      <c r="QT19" s="16"/>
      <c r="QU19" s="16"/>
      <c r="QV19" s="16"/>
      <c r="QW19" s="16"/>
      <c r="QX19" s="16"/>
      <c r="QY19" s="16"/>
      <c r="QZ19" s="16"/>
      <c r="RA19" s="16"/>
      <c r="RB19" s="16"/>
      <c r="RC19" s="16"/>
      <c r="RD19" s="16"/>
      <c r="RE19" s="16"/>
      <c r="RF19" s="16"/>
      <c r="RG19" s="16"/>
      <c r="RH19" s="16"/>
      <c r="RI19" s="16"/>
      <c r="RJ19" s="16"/>
      <c r="RK19" s="16"/>
      <c r="RL19" s="16"/>
      <c r="RM19" s="16"/>
      <c r="RN19" s="16"/>
      <c r="RO19" s="16"/>
      <c r="RP19" s="16"/>
      <c r="RQ19" s="16"/>
      <c r="RR19" s="16"/>
      <c r="RS19" s="16"/>
      <c r="RT19" s="16"/>
      <c r="RU19" s="16"/>
      <c r="RV19" s="16"/>
      <c r="RW19" s="16"/>
      <c r="RX19" s="16"/>
      <c r="RY19" s="16"/>
      <c r="RZ19" s="16"/>
      <c r="SA19" s="16"/>
      <c r="SB19" s="16"/>
      <c r="SC19" s="16"/>
      <c r="SD19" s="16"/>
      <c r="SE19" s="16"/>
      <c r="SF19" s="16"/>
      <c r="SG19" s="16"/>
      <c r="SH19" s="16"/>
      <c r="SI19" s="16"/>
      <c r="SJ19" s="16"/>
      <c r="SK19" s="16"/>
      <c r="SL19" s="16"/>
      <c r="SM19" s="16"/>
      <c r="SN19" s="16"/>
      <c r="SO19" s="16"/>
      <c r="SP19" s="16"/>
      <c r="SQ19" s="16"/>
      <c r="SR19" s="16"/>
      <c r="SS19" s="16"/>
      <c r="ST19" s="16"/>
      <c r="SU19" s="16"/>
      <c r="SV19" s="16"/>
      <c r="SW19" s="16"/>
      <c r="SX19" s="16"/>
      <c r="SY19" s="16"/>
      <c r="SZ19" s="16"/>
      <c r="TA19" s="16"/>
      <c r="TB19" s="16"/>
      <c r="TC19" s="16"/>
      <c r="TD19" s="16"/>
      <c r="TE19" s="16"/>
      <c r="TF19" s="16"/>
      <c r="TG19" s="16"/>
      <c r="TH19" s="16"/>
      <c r="TI19" s="16"/>
      <c r="TJ19" s="16"/>
      <c r="TK19" s="16"/>
      <c r="TL19" s="16"/>
      <c r="TM19" s="16"/>
      <c r="TN19" s="16"/>
      <c r="TO19" s="16"/>
      <c r="TP19" s="16"/>
      <c r="TQ19" s="16"/>
      <c r="TR19" s="16"/>
      <c r="TS19" s="16"/>
      <c r="TT19" s="16"/>
      <c r="TU19" s="16"/>
      <c r="TV19" s="16"/>
      <c r="TW19" s="16"/>
      <c r="TX19" s="16"/>
      <c r="TY19" s="16"/>
      <c r="TZ19" s="16"/>
      <c r="UA19" s="16"/>
      <c r="UB19" s="16"/>
      <c r="UC19" s="16"/>
      <c r="UD19" s="16"/>
      <c r="UE19" s="16"/>
      <c r="UF19" s="16"/>
      <c r="UG19" s="16"/>
      <c r="UH19" s="16"/>
      <c r="UI19" s="16"/>
      <c r="UJ19" s="16"/>
      <c r="UK19" s="16"/>
      <c r="UL19" s="16"/>
      <c r="UM19" s="16"/>
      <c r="UN19" s="16"/>
      <c r="UO19" s="16"/>
      <c r="UP19" s="16"/>
      <c r="UQ19" s="16"/>
      <c r="UR19" s="16"/>
      <c r="US19" s="16"/>
      <c r="UT19" s="16"/>
      <c r="UU19" s="16"/>
      <c r="UV19" s="16"/>
      <c r="UW19" s="16"/>
      <c r="UX19" s="16"/>
      <c r="UY19" s="16"/>
      <c r="UZ19" s="16"/>
      <c r="VA19" s="16"/>
      <c r="VB19" s="16"/>
      <c r="VC19" s="16"/>
      <c r="VD19" s="16"/>
      <c r="VE19" s="16"/>
      <c r="VF19" s="16"/>
      <c r="VG19" s="16"/>
      <c r="VH19" s="16"/>
      <c r="VI19" s="16"/>
      <c r="VJ19" s="16"/>
      <c r="VK19" s="16"/>
      <c r="VL19" s="16"/>
      <c r="VM19" s="16"/>
      <c r="VN19" s="16"/>
      <c r="VO19" s="16"/>
      <c r="VP19" s="16"/>
      <c r="VQ19" s="16"/>
      <c r="VR19" s="16"/>
      <c r="VS19" s="16"/>
      <c r="VT19" s="16"/>
      <c r="VU19" s="16"/>
      <c r="VV19" s="16"/>
      <c r="VW19" s="16"/>
      <c r="VX19" s="16"/>
      <c r="VY19" s="16"/>
      <c r="VZ19" s="16"/>
      <c r="WA19" s="16"/>
      <c r="WB19" s="16"/>
      <c r="WC19" s="16"/>
      <c r="WD19" s="16"/>
      <c r="WE19" s="16"/>
      <c r="WF19" s="16"/>
      <c r="WG19" s="16"/>
      <c r="WH19" s="16"/>
      <c r="WI19" s="16"/>
      <c r="WJ19" s="16"/>
      <c r="WK19" s="16"/>
      <c r="WL19" s="16"/>
      <c r="WM19" s="16"/>
      <c r="WN19" s="16"/>
      <c r="WO19" s="16"/>
      <c r="WP19" s="16"/>
      <c r="WQ19" s="16"/>
      <c r="WR19" s="16"/>
      <c r="WS19" s="16"/>
      <c r="WT19" s="16"/>
      <c r="WU19" s="16"/>
      <c r="WV19" s="16"/>
      <c r="WW19" s="16"/>
      <c r="WX19" s="16"/>
      <c r="WY19" s="16"/>
      <c r="WZ19" s="16"/>
      <c r="XA19" s="16"/>
      <c r="XB19" s="16"/>
      <c r="XC19" s="16"/>
      <c r="XD19" s="16"/>
      <c r="XE19" s="16"/>
      <c r="XF19" s="16"/>
      <c r="XG19" s="16"/>
      <c r="XH19" s="16"/>
      <c r="XI19" s="16"/>
      <c r="XJ19" s="16"/>
      <c r="XK19" s="16"/>
      <c r="XL19" s="16"/>
      <c r="XM19" s="16"/>
      <c r="XN19" s="16"/>
      <c r="XO19" s="16"/>
      <c r="XP19" s="16"/>
      <c r="XQ19" s="16"/>
      <c r="XR19" s="16"/>
      <c r="XS19" s="16"/>
      <c r="XT19" s="16"/>
      <c r="XU19" s="16"/>
      <c r="XV19" s="16"/>
      <c r="XW19" s="16"/>
      <c r="XX19" s="16"/>
      <c r="XY19" s="16"/>
      <c r="XZ19" s="16"/>
      <c r="YA19" s="16"/>
      <c r="YB19" s="16"/>
      <c r="YC19" s="16"/>
      <c r="YD19" s="16"/>
      <c r="YE19" s="16"/>
      <c r="YF19" s="16"/>
      <c r="YG19" s="16"/>
      <c r="YH19" s="16"/>
      <c r="YI19" s="16"/>
      <c r="YJ19" s="16"/>
      <c r="YK19" s="16"/>
      <c r="YL19" s="16"/>
      <c r="YM19" s="16"/>
      <c r="YN19" s="16"/>
      <c r="YO19" s="16"/>
      <c r="YP19" s="16"/>
      <c r="YQ19" s="16"/>
      <c r="YR19" s="16"/>
      <c r="YS19" s="16"/>
      <c r="YT19" s="16"/>
      <c r="YU19" s="16"/>
      <c r="YV19" s="16"/>
      <c r="YW19" s="16"/>
      <c r="YX19" s="16"/>
      <c r="YY19" s="16"/>
      <c r="YZ19" s="16"/>
      <c r="ZA19" s="16"/>
      <c r="ZB19" s="16"/>
      <c r="ZC19" s="16"/>
      <c r="ZD19" s="16"/>
      <c r="ZE19" s="16"/>
      <c r="ZF19" s="16"/>
      <c r="ZG19" s="16"/>
      <c r="ZH19" s="16"/>
      <c r="ZI19" s="16"/>
      <c r="ZJ19" s="16"/>
      <c r="ZK19" s="16"/>
      <c r="ZL19" s="16"/>
      <c r="ZM19" s="16"/>
      <c r="ZN19" s="16"/>
      <c r="ZO19" s="16"/>
      <c r="ZP19" s="16"/>
      <c r="ZQ19" s="16"/>
      <c r="ZR19" s="16"/>
      <c r="ZS19" s="16"/>
      <c r="ZT19" s="16"/>
      <c r="ZU19" s="16"/>
      <c r="ZV19" s="16"/>
      <c r="ZW19" s="16"/>
      <c r="ZX19" s="16"/>
      <c r="ZY19" s="16"/>
      <c r="ZZ19" s="16"/>
      <c r="AAA19" s="16"/>
      <c r="AAB19" s="16"/>
      <c r="AAC19" s="16"/>
      <c r="AAD19" s="16"/>
      <c r="AAE19" s="16"/>
      <c r="AAF19" s="16"/>
      <c r="AAG19" s="16"/>
      <c r="AAH19" s="16"/>
      <c r="AAI19" s="16"/>
      <c r="AAJ19" s="16"/>
      <c r="AAK19" s="16"/>
      <c r="AAL19" s="16"/>
      <c r="AAM19" s="16"/>
      <c r="AAN19" s="16"/>
      <c r="AAO19" s="16"/>
      <c r="AAP19" s="16"/>
      <c r="AAQ19" s="16"/>
      <c r="AAR19" s="16"/>
      <c r="AAS19" s="16"/>
      <c r="AAT19" s="16"/>
      <c r="AAU19" s="16"/>
      <c r="AAV19" s="16"/>
      <c r="AAW19" s="16"/>
      <c r="AAX19" s="16"/>
      <c r="AAY19" s="16"/>
      <c r="AAZ19" s="16"/>
      <c r="ABA19" s="16"/>
      <c r="ABB19" s="16"/>
      <c r="ABC19" s="16"/>
      <c r="ABD19" s="16"/>
      <c r="ABE19" s="16"/>
      <c r="ABF19" s="16"/>
      <c r="ABG19" s="16"/>
      <c r="ABH19" s="16"/>
      <c r="ABI19" s="16"/>
      <c r="ABJ19" s="16"/>
      <c r="ABK19" s="16"/>
      <c r="ABL19" s="16"/>
      <c r="ABM19" s="16"/>
      <c r="ABN19" s="16"/>
      <c r="ABO19" s="16"/>
      <c r="ABP19" s="16"/>
      <c r="ABQ19" s="16"/>
      <c r="ABR19" s="16"/>
      <c r="ABS19" s="16"/>
      <c r="ABT19" s="16"/>
    </row>
    <row r="20" spans="1:748" s="231" customFormat="1" ht="15.6" customHeight="1" x14ac:dyDescent="0.2">
      <c r="A20" s="144"/>
      <c r="B20" s="280" t="s">
        <v>147</v>
      </c>
      <c r="C20" s="77"/>
      <c r="D20" s="278"/>
      <c r="E20" s="296">
        <v>2.4818487644195555</v>
      </c>
      <c r="F20" s="174">
        <v>4.3937499999999998</v>
      </c>
      <c r="G20" s="174">
        <v>5.415476226806641</v>
      </c>
      <c r="H20" s="174">
        <v>3.5538889408111571</v>
      </c>
      <c r="I20" s="174">
        <v>3.1924999713897706</v>
      </c>
      <c r="J20" s="174">
        <v>3.0105555057525635</v>
      </c>
      <c r="K20" s="174">
        <v>2.3714285612106325</v>
      </c>
      <c r="L20" s="296">
        <v>4.8857142448425295</v>
      </c>
      <c r="M20" s="16"/>
      <c r="N20" s="16"/>
      <c r="O20" s="30"/>
      <c r="P20" s="16"/>
      <c r="Q20" s="16"/>
      <c r="R20" s="16"/>
      <c r="S20" s="16"/>
      <c r="T20" s="16"/>
      <c r="U20" s="16"/>
      <c r="V20" s="16"/>
      <c r="W20" s="16"/>
      <c r="X20" s="16"/>
      <c r="Y20" s="15"/>
      <c r="Z20" s="15"/>
      <c r="AA20" s="15"/>
      <c r="AB20" s="15"/>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c r="GP20" s="16"/>
      <c r="GQ20" s="16"/>
      <c r="GR20" s="16"/>
      <c r="GS20" s="16"/>
      <c r="GT20" s="16"/>
      <c r="GU20" s="16"/>
      <c r="GV20" s="16"/>
      <c r="GW20" s="16"/>
      <c r="GX20" s="16"/>
      <c r="GY20" s="16"/>
      <c r="GZ20" s="16"/>
      <c r="HA20" s="16"/>
      <c r="HB20" s="16"/>
      <c r="HC20" s="16"/>
      <c r="HD20" s="16"/>
      <c r="HE20" s="16"/>
      <c r="HF20" s="16"/>
      <c r="HG20" s="16"/>
      <c r="HH20" s="16"/>
      <c r="HI20" s="16"/>
      <c r="HJ20" s="16"/>
      <c r="HK20" s="16"/>
      <c r="HL20" s="16"/>
      <c r="HM20" s="16"/>
      <c r="HN20" s="16"/>
      <c r="HO20" s="16"/>
      <c r="HP20" s="16"/>
      <c r="HQ20" s="16"/>
      <c r="HR20" s="16"/>
      <c r="HS20" s="16"/>
      <c r="HT20" s="16"/>
      <c r="HU20" s="16"/>
      <c r="HV20" s="16"/>
      <c r="HW20" s="16"/>
      <c r="HX20" s="16"/>
      <c r="HY20" s="16"/>
      <c r="HZ20" s="16"/>
      <c r="IA20" s="16"/>
      <c r="IB20" s="16"/>
      <c r="IC20" s="16"/>
      <c r="ID20" s="16"/>
      <c r="IE20" s="16"/>
      <c r="IF20" s="16"/>
      <c r="IG20" s="16"/>
      <c r="IH20" s="16"/>
      <c r="II20" s="16"/>
      <c r="IJ20" s="16"/>
      <c r="IK20" s="16"/>
      <c r="IL20" s="16"/>
      <c r="IM20" s="16"/>
      <c r="IN20" s="16"/>
      <c r="IO20" s="16"/>
      <c r="IP20" s="16"/>
      <c r="IQ20" s="16"/>
      <c r="IR20" s="16"/>
      <c r="IS20" s="16"/>
      <c r="IT20" s="16"/>
      <c r="IU20" s="16"/>
      <c r="IV20" s="16"/>
      <c r="IW20" s="16"/>
      <c r="IX20" s="16"/>
      <c r="IY20" s="16"/>
      <c r="IZ20" s="16"/>
      <c r="JA20" s="16"/>
      <c r="JB20" s="16"/>
      <c r="JC20" s="16"/>
      <c r="JD20" s="16"/>
      <c r="JE20" s="16"/>
      <c r="JF20" s="16"/>
      <c r="JG20" s="16"/>
      <c r="JH20" s="16"/>
      <c r="JI20" s="16"/>
      <c r="JJ20" s="16"/>
      <c r="JK20" s="16"/>
      <c r="JL20" s="16"/>
      <c r="JM20" s="16"/>
      <c r="JN20" s="16"/>
      <c r="JO20" s="16"/>
      <c r="JP20" s="16"/>
      <c r="JQ20" s="16"/>
      <c r="JR20" s="16"/>
      <c r="JS20" s="16"/>
      <c r="JT20" s="16"/>
      <c r="JU20" s="16"/>
      <c r="JV20" s="16"/>
      <c r="JW20" s="16"/>
      <c r="JX20" s="16"/>
      <c r="JY20" s="16"/>
      <c r="JZ20" s="16"/>
      <c r="KA20" s="16"/>
      <c r="KB20" s="16"/>
      <c r="KC20" s="16"/>
      <c r="KD20" s="16"/>
      <c r="KE20" s="16"/>
      <c r="KF20" s="16"/>
      <c r="KG20" s="16"/>
      <c r="KH20" s="16"/>
      <c r="KI20" s="16"/>
      <c r="KJ20" s="16"/>
      <c r="KK20" s="16"/>
      <c r="KL20" s="16"/>
      <c r="KM20" s="16"/>
      <c r="KN20" s="16"/>
      <c r="KO20" s="16"/>
      <c r="KP20" s="16"/>
      <c r="KQ20" s="16"/>
      <c r="KR20" s="16"/>
      <c r="KS20" s="16"/>
      <c r="KT20" s="16"/>
      <c r="KU20" s="16"/>
      <c r="KV20" s="16"/>
      <c r="KW20" s="16"/>
      <c r="KX20" s="16"/>
      <c r="KY20" s="16"/>
      <c r="KZ20" s="16"/>
      <c r="LA20" s="16"/>
      <c r="LB20" s="16"/>
      <c r="LC20" s="16"/>
      <c r="LD20" s="16"/>
      <c r="LE20" s="16"/>
      <c r="LF20" s="16"/>
      <c r="LG20" s="16"/>
      <c r="LH20" s="16"/>
      <c r="LI20" s="16"/>
      <c r="LJ20" s="16"/>
      <c r="LK20" s="16"/>
      <c r="LL20" s="16"/>
      <c r="LM20" s="16"/>
      <c r="LN20" s="16"/>
      <c r="LO20" s="16"/>
      <c r="LP20" s="16"/>
      <c r="LQ20" s="16"/>
      <c r="LR20" s="16"/>
      <c r="LS20" s="16"/>
      <c r="LT20" s="16"/>
      <c r="LU20" s="16"/>
      <c r="LV20" s="16"/>
      <c r="LW20" s="16"/>
      <c r="LX20" s="16"/>
      <c r="LY20" s="16"/>
      <c r="LZ20" s="16"/>
      <c r="MA20" s="16"/>
      <c r="MB20" s="16"/>
      <c r="MC20" s="16"/>
      <c r="MD20" s="16"/>
      <c r="ME20" s="16"/>
      <c r="MF20" s="16"/>
      <c r="MG20" s="16"/>
      <c r="MH20" s="16"/>
      <c r="MI20" s="16"/>
      <c r="MJ20" s="16"/>
      <c r="MK20" s="16"/>
      <c r="ML20" s="16"/>
      <c r="MM20" s="16"/>
      <c r="MN20" s="16"/>
      <c r="MO20" s="16"/>
      <c r="MP20" s="16"/>
      <c r="MQ20" s="16"/>
      <c r="MR20" s="16"/>
      <c r="MS20" s="16"/>
      <c r="MT20" s="16"/>
      <c r="MU20" s="16"/>
      <c r="MV20" s="16"/>
      <c r="MW20" s="16"/>
      <c r="MX20" s="16"/>
      <c r="MY20" s="16"/>
      <c r="MZ20" s="16"/>
      <c r="NA20" s="16"/>
      <c r="NB20" s="16"/>
      <c r="NC20" s="16"/>
      <c r="ND20" s="16"/>
      <c r="NE20" s="16"/>
      <c r="NF20" s="16"/>
      <c r="NG20" s="16"/>
      <c r="NH20" s="16"/>
      <c r="NI20" s="16"/>
      <c r="NJ20" s="16"/>
      <c r="NK20" s="16"/>
      <c r="NL20" s="16"/>
      <c r="NM20" s="16"/>
      <c r="NN20" s="16"/>
      <c r="NO20" s="16"/>
      <c r="NP20" s="16"/>
      <c r="NQ20" s="16"/>
      <c r="NR20" s="16"/>
      <c r="NS20" s="16"/>
      <c r="NT20" s="16"/>
      <c r="NU20" s="16"/>
      <c r="NV20" s="16"/>
      <c r="NW20" s="16"/>
      <c r="NX20" s="16"/>
      <c r="NY20" s="16"/>
      <c r="NZ20" s="16"/>
      <c r="OA20" s="16"/>
      <c r="OB20" s="16"/>
      <c r="OC20" s="16"/>
      <c r="OD20" s="16"/>
      <c r="OE20" s="16"/>
      <c r="OF20" s="16"/>
      <c r="OG20" s="16"/>
      <c r="OH20" s="16"/>
      <c r="OI20" s="16"/>
      <c r="OJ20" s="16"/>
      <c r="OK20" s="16"/>
      <c r="OL20" s="16"/>
      <c r="OM20" s="16"/>
      <c r="ON20" s="16"/>
      <c r="OO20" s="16"/>
      <c r="OP20" s="16"/>
      <c r="OQ20" s="16"/>
      <c r="OR20" s="16"/>
      <c r="OS20" s="16"/>
      <c r="OT20" s="16"/>
      <c r="OU20" s="16"/>
      <c r="OV20" s="16"/>
      <c r="OW20" s="16"/>
      <c r="OX20" s="16"/>
      <c r="OY20" s="16"/>
      <c r="OZ20" s="16"/>
      <c r="PA20" s="16"/>
      <c r="PB20" s="16"/>
      <c r="PC20" s="16"/>
      <c r="PD20" s="16"/>
      <c r="PE20" s="16"/>
      <c r="PF20" s="16"/>
      <c r="PG20" s="16"/>
      <c r="PH20" s="16"/>
      <c r="PI20" s="16"/>
      <c r="PJ20" s="16"/>
      <c r="PK20" s="16"/>
      <c r="PL20" s="16"/>
      <c r="PM20" s="16"/>
      <c r="PN20" s="16"/>
      <c r="PO20" s="16"/>
      <c r="PP20" s="16"/>
      <c r="PQ20" s="16"/>
      <c r="PR20" s="16"/>
      <c r="PS20" s="16"/>
      <c r="PT20" s="16"/>
      <c r="PU20" s="16"/>
      <c r="PV20" s="16"/>
      <c r="PW20" s="16"/>
      <c r="PX20" s="16"/>
      <c r="PY20" s="16"/>
      <c r="PZ20" s="16"/>
      <c r="QA20" s="16"/>
      <c r="QB20" s="16"/>
      <c r="QC20" s="16"/>
      <c r="QD20" s="16"/>
      <c r="QE20" s="16"/>
      <c r="QF20" s="16"/>
      <c r="QG20" s="16"/>
      <c r="QH20" s="16"/>
      <c r="QI20" s="16"/>
      <c r="QJ20" s="16"/>
      <c r="QK20" s="16"/>
      <c r="QL20" s="16"/>
      <c r="QM20" s="16"/>
      <c r="QN20" s="16"/>
      <c r="QO20" s="16"/>
      <c r="QP20" s="16"/>
      <c r="QQ20" s="16"/>
      <c r="QR20" s="16"/>
      <c r="QS20" s="16"/>
      <c r="QT20" s="16"/>
      <c r="QU20" s="16"/>
      <c r="QV20" s="16"/>
      <c r="QW20" s="16"/>
      <c r="QX20" s="16"/>
      <c r="QY20" s="16"/>
      <c r="QZ20" s="16"/>
      <c r="RA20" s="16"/>
      <c r="RB20" s="16"/>
      <c r="RC20" s="16"/>
      <c r="RD20" s="16"/>
      <c r="RE20" s="16"/>
      <c r="RF20" s="16"/>
      <c r="RG20" s="16"/>
      <c r="RH20" s="16"/>
      <c r="RI20" s="16"/>
      <c r="RJ20" s="16"/>
      <c r="RK20" s="16"/>
      <c r="RL20" s="16"/>
      <c r="RM20" s="16"/>
      <c r="RN20" s="16"/>
      <c r="RO20" s="16"/>
      <c r="RP20" s="16"/>
      <c r="RQ20" s="16"/>
      <c r="RR20" s="16"/>
      <c r="RS20" s="16"/>
      <c r="RT20" s="16"/>
      <c r="RU20" s="16"/>
      <c r="RV20" s="16"/>
      <c r="RW20" s="16"/>
      <c r="RX20" s="16"/>
      <c r="RY20" s="16"/>
      <c r="RZ20" s="16"/>
      <c r="SA20" s="16"/>
      <c r="SB20" s="16"/>
      <c r="SC20" s="16"/>
      <c r="SD20" s="16"/>
      <c r="SE20" s="16"/>
      <c r="SF20" s="16"/>
      <c r="SG20" s="16"/>
      <c r="SH20" s="16"/>
      <c r="SI20" s="16"/>
      <c r="SJ20" s="16"/>
      <c r="SK20" s="16"/>
      <c r="SL20" s="16"/>
      <c r="SM20" s="16"/>
      <c r="SN20" s="16"/>
      <c r="SO20" s="16"/>
      <c r="SP20" s="16"/>
      <c r="SQ20" s="16"/>
      <c r="SR20" s="16"/>
      <c r="SS20" s="16"/>
      <c r="ST20" s="16"/>
      <c r="SU20" s="16"/>
      <c r="SV20" s="16"/>
      <c r="SW20" s="16"/>
      <c r="SX20" s="16"/>
      <c r="SY20" s="16"/>
      <c r="SZ20" s="16"/>
      <c r="TA20" s="16"/>
      <c r="TB20" s="16"/>
      <c r="TC20" s="16"/>
      <c r="TD20" s="16"/>
      <c r="TE20" s="16"/>
      <c r="TF20" s="16"/>
      <c r="TG20" s="16"/>
      <c r="TH20" s="16"/>
      <c r="TI20" s="16"/>
      <c r="TJ20" s="16"/>
      <c r="TK20" s="16"/>
      <c r="TL20" s="16"/>
      <c r="TM20" s="16"/>
      <c r="TN20" s="16"/>
      <c r="TO20" s="16"/>
      <c r="TP20" s="16"/>
      <c r="TQ20" s="16"/>
      <c r="TR20" s="16"/>
      <c r="TS20" s="16"/>
      <c r="TT20" s="16"/>
      <c r="TU20" s="16"/>
      <c r="TV20" s="16"/>
      <c r="TW20" s="16"/>
      <c r="TX20" s="16"/>
      <c r="TY20" s="16"/>
      <c r="TZ20" s="16"/>
      <c r="UA20" s="16"/>
      <c r="UB20" s="16"/>
      <c r="UC20" s="16"/>
      <c r="UD20" s="16"/>
      <c r="UE20" s="16"/>
      <c r="UF20" s="16"/>
      <c r="UG20" s="16"/>
      <c r="UH20" s="16"/>
      <c r="UI20" s="16"/>
      <c r="UJ20" s="16"/>
      <c r="UK20" s="16"/>
      <c r="UL20" s="16"/>
      <c r="UM20" s="16"/>
      <c r="UN20" s="16"/>
      <c r="UO20" s="16"/>
      <c r="UP20" s="16"/>
      <c r="UQ20" s="16"/>
      <c r="UR20" s="16"/>
      <c r="US20" s="16"/>
      <c r="UT20" s="16"/>
      <c r="UU20" s="16"/>
      <c r="UV20" s="16"/>
      <c r="UW20" s="16"/>
      <c r="UX20" s="16"/>
      <c r="UY20" s="16"/>
      <c r="UZ20" s="16"/>
      <c r="VA20" s="16"/>
      <c r="VB20" s="16"/>
      <c r="VC20" s="16"/>
      <c r="VD20" s="16"/>
      <c r="VE20" s="16"/>
      <c r="VF20" s="16"/>
      <c r="VG20" s="16"/>
      <c r="VH20" s="16"/>
      <c r="VI20" s="16"/>
      <c r="VJ20" s="16"/>
      <c r="VK20" s="16"/>
      <c r="VL20" s="16"/>
      <c r="VM20" s="16"/>
      <c r="VN20" s="16"/>
      <c r="VO20" s="16"/>
      <c r="VP20" s="16"/>
      <c r="VQ20" s="16"/>
      <c r="VR20" s="16"/>
      <c r="VS20" s="16"/>
      <c r="VT20" s="16"/>
      <c r="VU20" s="16"/>
      <c r="VV20" s="16"/>
      <c r="VW20" s="16"/>
      <c r="VX20" s="16"/>
      <c r="VY20" s="16"/>
      <c r="VZ20" s="16"/>
      <c r="WA20" s="16"/>
      <c r="WB20" s="16"/>
      <c r="WC20" s="16"/>
      <c r="WD20" s="16"/>
      <c r="WE20" s="16"/>
      <c r="WF20" s="16"/>
      <c r="WG20" s="16"/>
      <c r="WH20" s="16"/>
      <c r="WI20" s="16"/>
      <c r="WJ20" s="16"/>
      <c r="WK20" s="16"/>
      <c r="WL20" s="16"/>
      <c r="WM20" s="16"/>
      <c r="WN20" s="16"/>
      <c r="WO20" s="16"/>
      <c r="WP20" s="16"/>
      <c r="WQ20" s="16"/>
      <c r="WR20" s="16"/>
      <c r="WS20" s="16"/>
      <c r="WT20" s="16"/>
      <c r="WU20" s="16"/>
      <c r="WV20" s="16"/>
      <c r="WW20" s="16"/>
      <c r="WX20" s="16"/>
      <c r="WY20" s="16"/>
      <c r="WZ20" s="16"/>
      <c r="XA20" s="16"/>
      <c r="XB20" s="16"/>
      <c r="XC20" s="16"/>
      <c r="XD20" s="16"/>
      <c r="XE20" s="16"/>
      <c r="XF20" s="16"/>
      <c r="XG20" s="16"/>
      <c r="XH20" s="16"/>
      <c r="XI20" s="16"/>
      <c r="XJ20" s="16"/>
      <c r="XK20" s="16"/>
      <c r="XL20" s="16"/>
      <c r="XM20" s="16"/>
      <c r="XN20" s="16"/>
      <c r="XO20" s="16"/>
      <c r="XP20" s="16"/>
      <c r="XQ20" s="16"/>
      <c r="XR20" s="16"/>
      <c r="XS20" s="16"/>
      <c r="XT20" s="16"/>
      <c r="XU20" s="16"/>
      <c r="XV20" s="16"/>
      <c r="XW20" s="16"/>
      <c r="XX20" s="16"/>
      <c r="XY20" s="16"/>
      <c r="XZ20" s="16"/>
      <c r="YA20" s="16"/>
      <c r="YB20" s="16"/>
      <c r="YC20" s="16"/>
      <c r="YD20" s="16"/>
      <c r="YE20" s="16"/>
      <c r="YF20" s="16"/>
      <c r="YG20" s="16"/>
      <c r="YH20" s="16"/>
      <c r="YI20" s="16"/>
      <c r="YJ20" s="16"/>
      <c r="YK20" s="16"/>
      <c r="YL20" s="16"/>
      <c r="YM20" s="16"/>
      <c r="YN20" s="16"/>
      <c r="YO20" s="16"/>
      <c r="YP20" s="16"/>
      <c r="YQ20" s="16"/>
      <c r="YR20" s="16"/>
      <c r="YS20" s="16"/>
      <c r="YT20" s="16"/>
      <c r="YU20" s="16"/>
      <c r="YV20" s="16"/>
      <c r="YW20" s="16"/>
      <c r="YX20" s="16"/>
      <c r="YY20" s="16"/>
      <c r="YZ20" s="16"/>
      <c r="ZA20" s="16"/>
      <c r="ZB20" s="16"/>
      <c r="ZC20" s="16"/>
      <c r="ZD20" s="16"/>
      <c r="ZE20" s="16"/>
      <c r="ZF20" s="16"/>
      <c r="ZG20" s="16"/>
      <c r="ZH20" s="16"/>
      <c r="ZI20" s="16"/>
      <c r="ZJ20" s="16"/>
      <c r="ZK20" s="16"/>
      <c r="ZL20" s="16"/>
      <c r="ZM20" s="16"/>
      <c r="ZN20" s="16"/>
      <c r="ZO20" s="16"/>
      <c r="ZP20" s="16"/>
      <c r="ZQ20" s="16"/>
      <c r="ZR20" s="16"/>
      <c r="ZS20" s="16"/>
      <c r="ZT20" s="16"/>
      <c r="ZU20" s="16"/>
      <c r="ZV20" s="16"/>
      <c r="ZW20" s="16"/>
      <c r="ZX20" s="16"/>
      <c r="ZY20" s="16"/>
      <c r="ZZ20" s="16"/>
      <c r="AAA20" s="16"/>
      <c r="AAB20" s="16"/>
      <c r="AAC20" s="16"/>
      <c r="AAD20" s="16"/>
      <c r="AAE20" s="16"/>
      <c r="AAF20" s="16"/>
      <c r="AAG20" s="16"/>
      <c r="AAH20" s="16"/>
      <c r="AAI20" s="16"/>
      <c r="AAJ20" s="16"/>
      <c r="AAK20" s="16"/>
      <c r="AAL20" s="16"/>
      <c r="AAM20" s="16"/>
      <c r="AAN20" s="16"/>
      <c r="AAO20" s="16"/>
      <c r="AAP20" s="16"/>
      <c r="AAQ20" s="16"/>
      <c r="AAR20" s="16"/>
      <c r="AAS20" s="16"/>
      <c r="AAT20" s="16"/>
      <c r="AAU20" s="16"/>
      <c r="AAV20" s="16"/>
      <c r="AAW20" s="16"/>
      <c r="AAX20" s="16"/>
      <c r="AAY20" s="16"/>
      <c r="AAZ20" s="16"/>
      <c r="ABA20" s="16"/>
      <c r="ABB20" s="16"/>
      <c r="ABC20" s="16"/>
      <c r="ABD20" s="16"/>
      <c r="ABE20" s="16"/>
      <c r="ABF20" s="16"/>
      <c r="ABG20" s="16"/>
      <c r="ABH20" s="16"/>
      <c r="ABI20" s="16"/>
      <c r="ABJ20" s="16"/>
      <c r="ABK20" s="16"/>
      <c r="ABL20" s="16"/>
      <c r="ABM20" s="16"/>
      <c r="ABN20" s="16"/>
      <c r="ABO20" s="16"/>
      <c r="ABP20" s="16"/>
      <c r="ABQ20" s="16"/>
      <c r="ABR20" s="16"/>
      <c r="ABS20" s="16"/>
      <c r="ABT20" s="16"/>
    </row>
    <row r="21" spans="1:748" s="231" customFormat="1" ht="15.6" customHeight="1" x14ac:dyDescent="0.2">
      <c r="A21" s="13" t="s">
        <v>207</v>
      </c>
      <c r="B21" s="280"/>
      <c r="C21" s="77"/>
      <c r="D21" s="278"/>
      <c r="E21" s="296"/>
      <c r="F21" s="174"/>
      <c r="G21" s="174"/>
      <c r="H21" s="174"/>
      <c r="I21" s="174"/>
      <c r="J21" s="174"/>
      <c r="K21" s="174"/>
      <c r="L21" s="296"/>
      <c r="M21" s="16"/>
      <c r="N21" s="16"/>
      <c r="O21" s="30"/>
      <c r="P21" s="16"/>
      <c r="Q21" s="16"/>
      <c r="R21" s="16"/>
      <c r="S21" s="16"/>
      <c r="T21" s="16"/>
      <c r="U21" s="16"/>
      <c r="V21" s="16"/>
      <c r="W21" s="16"/>
      <c r="X21" s="16"/>
      <c r="Y21" s="15"/>
      <c r="Z21" s="15"/>
      <c r="AA21" s="15"/>
      <c r="AB21" s="15"/>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c r="IX21" s="16"/>
      <c r="IY21" s="16"/>
      <c r="IZ21" s="16"/>
      <c r="JA21" s="16"/>
      <c r="JB21" s="16"/>
      <c r="JC21" s="16"/>
      <c r="JD21" s="16"/>
      <c r="JE21" s="16"/>
      <c r="JF21" s="16"/>
      <c r="JG21" s="16"/>
      <c r="JH21" s="16"/>
      <c r="JI21" s="16"/>
      <c r="JJ21" s="16"/>
      <c r="JK21" s="16"/>
      <c r="JL21" s="16"/>
      <c r="JM21" s="16"/>
      <c r="JN21" s="16"/>
      <c r="JO21" s="16"/>
      <c r="JP21" s="16"/>
      <c r="JQ21" s="16"/>
      <c r="JR21" s="16"/>
      <c r="JS21" s="16"/>
      <c r="JT21" s="16"/>
      <c r="JU21" s="16"/>
      <c r="JV21" s="16"/>
      <c r="JW21" s="16"/>
      <c r="JX21" s="16"/>
      <c r="JY21" s="16"/>
      <c r="JZ21" s="16"/>
      <c r="KA21" s="16"/>
      <c r="KB21" s="16"/>
      <c r="KC21" s="16"/>
      <c r="KD21" s="16"/>
      <c r="KE21" s="16"/>
      <c r="KF21" s="16"/>
      <c r="KG21" s="16"/>
      <c r="KH21" s="16"/>
      <c r="KI21" s="16"/>
      <c r="KJ21" s="16"/>
      <c r="KK21" s="16"/>
      <c r="KL21" s="16"/>
      <c r="KM21" s="16"/>
      <c r="KN21" s="16"/>
      <c r="KO21" s="16"/>
      <c r="KP21" s="16"/>
      <c r="KQ21" s="16"/>
      <c r="KR21" s="16"/>
      <c r="KS21" s="16"/>
      <c r="KT21" s="16"/>
      <c r="KU21" s="16"/>
      <c r="KV21" s="16"/>
      <c r="KW21" s="16"/>
      <c r="KX21" s="16"/>
      <c r="KY21" s="16"/>
      <c r="KZ21" s="16"/>
      <c r="LA21" s="16"/>
      <c r="LB21" s="16"/>
      <c r="LC21" s="16"/>
      <c r="LD21" s="16"/>
      <c r="LE21" s="16"/>
      <c r="LF21" s="16"/>
      <c r="LG21" s="16"/>
      <c r="LH21" s="16"/>
      <c r="LI21" s="16"/>
      <c r="LJ21" s="16"/>
      <c r="LK21" s="16"/>
      <c r="LL21" s="16"/>
      <c r="LM21" s="16"/>
      <c r="LN21" s="16"/>
      <c r="LO21" s="16"/>
      <c r="LP21" s="16"/>
      <c r="LQ21" s="16"/>
      <c r="LR21" s="16"/>
      <c r="LS21" s="16"/>
      <c r="LT21" s="16"/>
      <c r="LU21" s="16"/>
      <c r="LV21" s="16"/>
      <c r="LW21" s="16"/>
      <c r="LX21" s="16"/>
      <c r="LY21" s="16"/>
      <c r="LZ21" s="16"/>
      <c r="MA21" s="16"/>
      <c r="MB21" s="16"/>
      <c r="MC21" s="16"/>
      <c r="MD21" s="16"/>
      <c r="ME21" s="16"/>
      <c r="MF21" s="16"/>
      <c r="MG21" s="16"/>
      <c r="MH21" s="16"/>
      <c r="MI21" s="16"/>
      <c r="MJ21" s="16"/>
      <c r="MK21" s="16"/>
      <c r="ML21" s="16"/>
      <c r="MM21" s="16"/>
      <c r="MN21" s="16"/>
      <c r="MO21" s="16"/>
      <c r="MP21" s="16"/>
      <c r="MQ21" s="16"/>
      <c r="MR21" s="16"/>
      <c r="MS21" s="16"/>
      <c r="MT21" s="16"/>
      <c r="MU21" s="16"/>
      <c r="MV21" s="16"/>
      <c r="MW21" s="16"/>
      <c r="MX21" s="16"/>
      <c r="MY21" s="16"/>
      <c r="MZ21" s="16"/>
      <c r="NA21" s="16"/>
      <c r="NB21" s="16"/>
      <c r="NC21" s="16"/>
      <c r="ND21" s="16"/>
      <c r="NE21" s="16"/>
      <c r="NF21" s="16"/>
      <c r="NG21" s="16"/>
      <c r="NH21" s="16"/>
      <c r="NI21" s="16"/>
      <c r="NJ21" s="16"/>
      <c r="NK21" s="16"/>
      <c r="NL21" s="16"/>
      <c r="NM21" s="16"/>
      <c r="NN21" s="16"/>
      <c r="NO21" s="16"/>
      <c r="NP21" s="16"/>
      <c r="NQ21" s="16"/>
      <c r="NR21" s="16"/>
      <c r="NS21" s="16"/>
      <c r="NT21" s="16"/>
      <c r="NU21" s="16"/>
      <c r="NV21" s="16"/>
      <c r="NW21" s="16"/>
      <c r="NX21" s="16"/>
      <c r="NY21" s="16"/>
      <c r="NZ21" s="16"/>
      <c r="OA21" s="16"/>
      <c r="OB21" s="16"/>
      <c r="OC21" s="16"/>
      <c r="OD21" s="16"/>
      <c r="OE21" s="16"/>
      <c r="OF21" s="16"/>
      <c r="OG21" s="16"/>
      <c r="OH21" s="16"/>
      <c r="OI21" s="16"/>
      <c r="OJ21" s="16"/>
      <c r="OK21" s="16"/>
      <c r="OL21" s="16"/>
      <c r="OM21" s="16"/>
      <c r="ON21" s="16"/>
      <c r="OO21" s="16"/>
      <c r="OP21" s="16"/>
      <c r="OQ21" s="16"/>
      <c r="OR21" s="16"/>
      <c r="OS21" s="16"/>
      <c r="OT21" s="16"/>
      <c r="OU21" s="16"/>
      <c r="OV21" s="16"/>
      <c r="OW21" s="16"/>
      <c r="OX21" s="16"/>
      <c r="OY21" s="16"/>
      <c r="OZ21" s="16"/>
      <c r="PA21" s="16"/>
      <c r="PB21" s="16"/>
      <c r="PC21" s="16"/>
      <c r="PD21" s="16"/>
      <c r="PE21" s="16"/>
      <c r="PF21" s="16"/>
      <c r="PG21" s="16"/>
      <c r="PH21" s="16"/>
      <c r="PI21" s="16"/>
      <c r="PJ21" s="16"/>
      <c r="PK21" s="16"/>
      <c r="PL21" s="16"/>
      <c r="PM21" s="16"/>
      <c r="PN21" s="16"/>
      <c r="PO21" s="16"/>
      <c r="PP21" s="16"/>
      <c r="PQ21" s="16"/>
      <c r="PR21" s="16"/>
      <c r="PS21" s="16"/>
      <c r="PT21" s="16"/>
      <c r="PU21" s="16"/>
      <c r="PV21" s="16"/>
      <c r="PW21" s="16"/>
      <c r="PX21" s="16"/>
      <c r="PY21" s="16"/>
      <c r="PZ21" s="16"/>
      <c r="QA21" s="16"/>
      <c r="QB21" s="16"/>
      <c r="QC21" s="16"/>
      <c r="QD21" s="16"/>
      <c r="QE21" s="16"/>
      <c r="QF21" s="16"/>
      <c r="QG21" s="16"/>
      <c r="QH21" s="16"/>
      <c r="QI21" s="16"/>
      <c r="QJ21" s="16"/>
      <c r="QK21" s="16"/>
      <c r="QL21" s="16"/>
      <c r="QM21" s="16"/>
      <c r="QN21" s="16"/>
      <c r="QO21" s="16"/>
      <c r="QP21" s="16"/>
      <c r="QQ21" s="16"/>
      <c r="QR21" s="16"/>
      <c r="QS21" s="16"/>
      <c r="QT21" s="16"/>
      <c r="QU21" s="16"/>
      <c r="QV21" s="16"/>
      <c r="QW21" s="16"/>
      <c r="QX21" s="16"/>
      <c r="QY21" s="16"/>
      <c r="QZ21" s="16"/>
      <c r="RA21" s="16"/>
      <c r="RB21" s="16"/>
      <c r="RC21" s="16"/>
      <c r="RD21" s="16"/>
      <c r="RE21" s="16"/>
      <c r="RF21" s="16"/>
      <c r="RG21" s="16"/>
      <c r="RH21" s="16"/>
      <c r="RI21" s="16"/>
      <c r="RJ21" s="16"/>
      <c r="RK21" s="16"/>
      <c r="RL21" s="16"/>
      <c r="RM21" s="16"/>
      <c r="RN21" s="16"/>
      <c r="RO21" s="16"/>
      <c r="RP21" s="16"/>
      <c r="RQ21" s="16"/>
      <c r="RR21" s="16"/>
      <c r="RS21" s="16"/>
      <c r="RT21" s="16"/>
      <c r="RU21" s="16"/>
      <c r="RV21" s="16"/>
      <c r="RW21" s="16"/>
      <c r="RX21" s="16"/>
      <c r="RY21" s="16"/>
      <c r="RZ21" s="16"/>
      <c r="SA21" s="16"/>
      <c r="SB21" s="16"/>
      <c r="SC21" s="16"/>
      <c r="SD21" s="16"/>
      <c r="SE21" s="16"/>
      <c r="SF21" s="16"/>
      <c r="SG21" s="16"/>
      <c r="SH21" s="16"/>
      <c r="SI21" s="16"/>
      <c r="SJ21" s="16"/>
      <c r="SK21" s="16"/>
      <c r="SL21" s="16"/>
      <c r="SM21" s="16"/>
      <c r="SN21" s="16"/>
      <c r="SO21" s="16"/>
      <c r="SP21" s="16"/>
      <c r="SQ21" s="16"/>
      <c r="SR21" s="16"/>
      <c r="SS21" s="16"/>
      <c r="ST21" s="16"/>
      <c r="SU21" s="16"/>
      <c r="SV21" s="16"/>
      <c r="SW21" s="16"/>
      <c r="SX21" s="16"/>
      <c r="SY21" s="16"/>
      <c r="SZ21" s="16"/>
      <c r="TA21" s="16"/>
      <c r="TB21" s="16"/>
      <c r="TC21" s="16"/>
      <c r="TD21" s="16"/>
      <c r="TE21" s="16"/>
      <c r="TF21" s="16"/>
      <c r="TG21" s="16"/>
      <c r="TH21" s="16"/>
      <c r="TI21" s="16"/>
      <c r="TJ21" s="16"/>
      <c r="TK21" s="16"/>
      <c r="TL21" s="16"/>
      <c r="TM21" s="16"/>
      <c r="TN21" s="16"/>
      <c r="TO21" s="16"/>
      <c r="TP21" s="16"/>
      <c r="TQ21" s="16"/>
      <c r="TR21" s="16"/>
      <c r="TS21" s="16"/>
      <c r="TT21" s="16"/>
      <c r="TU21" s="16"/>
      <c r="TV21" s="16"/>
      <c r="TW21" s="16"/>
      <c r="TX21" s="16"/>
      <c r="TY21" s="16"/>
      <c r="TZ21" s="16"/>
      <c r="UA21" s="16"/>
      <c r="UB21" s="16"/>
      <c r="UC21" s="16"/>
      <c r="UD21" s="16"/>
      <c r="UE21" s="16"/>
      <c r="UF21" s="16"/>
      <c r="UG21" s="16"/>
      <c r="UH21" s="16"/>
      <c r="UI21" s="16"/>
      <c r="UJ21" s="16"/>
      <c r="UK21" s="16"/>
      <c r="UL21" s="16"/>
      <c r="UM21" s="16"/>
      <c r="UN21" s="16"/>
      <c r="UO21" s="16"/>
      <c r="UP21" s="16"/>
      <c r="UQ21" s="16"/>
      <c r="UR21" s="16"/>
      <c r="US21" s="16"/>
      <c r="UT21" s="16"/>
      <c r="UU21" s="16"/>
      <c r="UV21" s="16"/>
      <c r="UW21" s="16"/>
      <c r="UX21" s="16"/>
      <c r="UY21" s="16"/>
      <c r="UZ21" s="16"/>
      <c r="VA21" s="16"/>
      <c r="VB21" s="16"/>
      <c r="VC21" s="16"/>
      <c r="VD21" s="16"/>
      <c r="VE21" s="16"/>
      <c r="VF21" s="16"/>
      <c r="VG21" s="16"/>
      <c r="VH21" s="16"/>
      <c r="VI21" s="16"/>
      <c r="VJ21" s="16"/>
      <c r="VK21" s="16"/>
      <c r="VL21" s="16"/>
      <c r="VM21" s="16"/>
      <c r="VN21" s="16"/>
      <c r="VO21" s="16"/>
      <c r="VP21" s="16"/>
      <c r="VQ21" s="16"/>
      <c r="VR21" s="16"/>
      <c r="VS21" s="16"/>
      <c r="VT21" s="16"/>
      <c r="VU21" s="16"/>
      <c r="VV21" s="16"/>
      <c r="VW21" s="16"/>
      <c r="VX21" s="16"/>
      <c r="VY21" s="16"/>
      <c r="VZ21" s="16"/>
      <c r="WA21" s="16"/>
      <c r="WB21" s="16"/>
      <c r="WC21" s="16"/>
      <c r="WD21" s="16"/>
      <c r="WE21" s="16"/>
      <c r="WF21" s="16"/>
      <c r="WG21" s="16"/>
      <c r="WH21" s="16"/>
      <c r="WI21" s="16"/>
      <c r="WJ21" s="16"/>
      <c r="WK21" s="16"/>
      <c r="WL21" s="16"/>
      <c r="WM21" s="16"/>
      <c r="WN21" s="16"/>
      <c r="WO21" s="16"/>
      <c r="WP21" s="16"/>
      <c r="WQ21" s="16"/>
      <c r="WR21" s="16"/>
      <c r="WS21" s="16"/>
      <c r="WT21" s="16"/>
      <c r="WU21" s="16"/>
      <c r="WV21" s="16"/>
      <c r="WW21" s="16"/>
      <c r="WX21" s="16"/>
      <c r="WY21" s="16"/>
      <c r="WZ21" s="16"/>
      <c r="XA21" s="16"/>
      <c r="XB21" s="16"/>
      <c r="XC21" s="16"/>
      <c r="XD21" s="16"/>
      <c r="XE21" s="16"/>
      <c r="XF21" s="16"/>
      <c r="XG21" s="16"/>
      <c r="XH21" s="16"/>
      <c r="XI21" s="16"/>
      <c r="XJ21" s="16"/>
      <c r="XK21" s="16"/>
      <c r="XL21" s="16"/>
      <c r="XM21" s="16"/>
      <c r="XN21" s="16"/>
      <c r="XO21" s="16"/>
      <c r="XP21" s="16"/>
      <c r="XQ21" s="16"/>
      <c r="XR21" s="16"/>
      <c r="XS21" s="16"/>
      <c r="XT21" s="16"/>
      <c r="XU21" s="16"/>
      <c r="XV21" s="16"/>
      <c r="XW21" s="16"/>
      <c r="XX21" s="16"/>
      <c r="XY21" s="16"/>
      <c r="XZ21" s="16"/>
      <c r="YA21" s="16"/>
      <c r="YB21" s="16"/>
      <c r="YC21" s="16"/>
      <c r="YD21" s="16"/>
      <c r="YE21" s="16"/>
      <c r="YF21" s="16"/>
      <c r="YG21" s="16"/>
      <c r="YH21" s="16"/>
      <c r="YI21" s="16"/>
      <c r="YJ21" s="16"/>
      <c r="YK21" s="16"/>
      <c r="YL21" s="16"/>
      <c r="YM21" s="16"/>
      <c r="YN21" s="16"/>
      <c r="YO21" s="16"/>
      <c r="YP21" s="16"/>
      <c r="YQ21" s="16"/>
      <c r="YR21" s="16"/>
      <c r="YS21" s="16"/>
      <c r="YT21" s="16"/>
      <c r="YU21" s="16"/>
      <c r="YV21" s="16"/>
      <c r="YW21" s="16"/>
      <c r="YX21" s="16"/>
      <c r="YY21" s="16"/>
      <c r="YZ21" s="16"/>
      <c r="ZA21" s="16"/>
      <c r="ZB21" s="16"/>
      <c r="ZC21" s="16"/>
      <c r="ZD21" s="16"/>
      <c r="ZE21" s="16"/>
      <c r="ZF21" s="16"/>
      <c r="ZG21" s="16"/>
      <c r="ZH21" s="16"/>
      <c r="ZI21" s="16"/>
      <c r="ZJ21" s="16"/>
      <c r="ZK21" s="16"/>
      <c r="ZL21" s="16"/>
      <c r="ZM21" s="16"/>
      <c r="ZN21" s="16"/>
      <c r="ZO21" s="16"/>
      <c r="ZP21" s="16"/>
      <c r="ZQ21" s="16"/>
      <c r="ZR21" s="16"/>
      <c r="ZS21" s="16"/>
      <c r="ZT21" s="16"/>
      <c r="ZU21" s="16"/>
      <c r="ZV21" s="16"/>
      <c r="ZW21" s="16"/>
      <c r="ZX21" s="16"/>
      <c r="ZY21" s="16"/>
      <c r="ZZ21" s="16"/>
      <c r="AAA21" s="16"/>
      <c r="AAB21" s="16"/>
      <c r="AAC21" s="16"/>
      <c r="AAD21" s="16"/>
      <c r="AAE21" s="16"/>
      <c r="AAF21" s="16"/>
      <c r="AAG21" s="16"/>
      <c r="AAH21" s="16"/>
      <c r="AAI21" s="16"/>
      <c r="AAJ21" s="16"/>
      <c r="AAK21" s="16"/>
      <c r="AAL21" s="16"/>
      <c r="AAM21" s="16"/>
      <c r="AAN21" s="16"/>
      <c r="AAO21" s="16"/>
      <c r="AAP21" s="16"/>
      <c r="AAQ21" s="16"/>
      <c r="AAR21" s="16"/>
      <c r="AAS21" s="16"/>
      <c r="AAT21" s="16"/>
      <c r="AAU21" s="16"/>
      <c r="AAV21" s="16"/>
      <c r="AAW21" s="16"/>
      <c r="AAX21" s="16"/>
      <c r="AAY21" s="16"/>
      <c r="AAZ21" s="16"/>
      <c r="ABA21" s="16"/>
      <c r="ABB21" s="16"/>
      <c r="ABC21" s="16"/>
      <c r="ABD21" s="16"/>
      <c r="ABE21" s="16"/>
      <c r="ABF21" s="16"/>
      <c r="ABG21" s="16"/>
      <c r="ABH21" s="16"/>
      <c r="ABI21" s="16"/>
      <c r="ABJ21" s="16"/>
      <c r="ABK21" s="16"/>
      <c r="ABL21" s="16"/>
      <c r="ABM21" s="16"/>
      <c r="ABN21" s="16"/>
      <c r="ABO21" s="16"/>
      <c r="ABP21" s="16"/>
      <c r="ABQ21" s="16"/>
      <c r="ABR21" s="16"/>
      <c r="ABS21" s="16"/>
      <c r="ABT21" s="16"/>
    </row>
    <row r="22" spans="1:748" s="27" customFormat="1" ht="18" customHeight="1" x14ac:dyDescent="0.2">
      <c r="A22" s="13" t="s">
        <v>206</v>
      </c>
      <c r="B22" s="78"/>
      <c r="C22" s="140"/>
      <c r="D22" s="25"/>
      <c r="E22" s="25"/>
      <c r="F22" s="25"/>
      <c r="G22" s="25"/>
      <c r="H22" s="25"/>
      <c r="I22" s="25"/>
      <c r="J22" s="25"/>
      <c r="K22" s="25"/>
      <c r="L22" s="25"/>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c r="HU22" s="16"/>
      <c r="HV22" s="16"/>
      <c r="HW22" s="16"/>
      <c r="HX22" s="16"/>
      <c r="HY22" s="16"/>
      <c r="HZ22" s="16"/>
      <c r="IA22" s="16"/>
      <c r="IB22" s="16"/>
      <c r="IC22" s="16"/>
      <c r="ID22" s="16"/>
      <c r="IE22" s="16"/>
      <c r="IF22" s="16"/>
      <c r="IG22" s="16"/>
      <c r="IH22" s="16"/>
      <c r="II22" s="16"/>
      <c r="IJ22" s="16"/>
      <c r="IK22" s="16"/>
      <c r="IL22" s="16"/>
      <c r="IM22" s="16"/>
      <c r="IN22" s="16"/>
      <c r="IO22" s="16"/>
      <c r="IP22" s="16"/>
      <c r="IQ22" s="16"/>
      <c r="IR22" s="16"/>
      <c r="IS22" s="16"/>
      <c r="IT22" s="16"/>
      <c r="IU22" s="16"/>
      <c r="IV22" s="16"/>
      <c r="IW22" s="16"/>
      <c r="IX22" s="16"/>
      <c r="IY22" s="16"/>
      <c r="IZ22" s="16"/>
      <c r="JA22" s="16"/>
      <c r="JB22" s="16"/>
      <c r="JC22" s="16"/>
      <c r="JD22" s="16"/>
      <c r="JE22" s="16"/>
      <c r="JF22" s="16"/>
      <c r="JG22" s="16"/>
      <c r="JH22" s="16"/>
      <c r="JI22" s="16"/>
      <c r="JJ22" s="16"/>
      <c r="JK22" s="16"/>
      <c r="JL22" s="16"/>
      <c r="JM22" s="16"/>
      <c r="JN22" s="16"/>
      <c r="JO22" s="16"/>
      <c r="JP22" s="16"/>
      <c r="JQ22" s="16"/>
      <c r="JR22" s="16"/>
      <c r="JS22" s="16"/>
      <c r="JT22" s="16"/>
      <c r="JU22" s="16"/>
      <c r="JV22" s="16"/>
      <c r="JW22" s="16"/>
      <c r="JX22" s="16"/>
      <c r="JY22" s="16"/>
      <c r="JZ22" s="16"/>
      <c r="KA22" s="16"/>
      <c r="KB22" s="16"/>
      <c r="KC22" s="16"/>
      <c r="KD22" s="16"/>
      <c r="KE22" s="16"/>
      <c r="KF22" s="16"/>
      <c r="KG22" s="16"/>
      <c r="KH22" s="16"/>
      <c r="KI22" s="16"/>
      <c r="KJ22" s="16"/>
      <c r="KK22" s="16"/>
      <c r="KL22" s="16"/>
      <c r="KM22" s="16"/>
      <c r="KN22" s="16"/>
      <c r="KO22" s="16"/>
      <c r="KP22" s="16"/>
      <c r="KQ22" s="16"/>
      <c r="KR22" s="16"/>
      <c r="KS22" s="16"/>
      <c r="KT22" s="16"/>
      <c r="KU22" s="16"/>
      <c r="KV22" s="16"/>
      <c r="KW22" s="16"/>
      <c r="KX22" s="16"/>
      <c r="KY22" s="16"/>
      <c r="KZ22" s="16"/>
      <c r="LA22" s="16"/>
      <c r="LB22" s="16"/>
      <c r="LC22" s="16"/>
      <c r="LD22" s="16"/>
      <c r="LE22" s="16"/>
      <c r="LF22" s="16"/>
      <c r="LG22" s="16"/>
      <c r="LH22" s="16"/>
      <c r="LI22" s="16"/>
      <c r="LJ22" s="16"/>
      <c r="LK22" s="16"/>
      <c r="LL22" s="16"/>
      <c r="LM22" s="16"/>
      <c r="LN22" s="16"/>
      <c r="LO22" s="16"/>
      <c r="LP22" s="16"/>
      <c r="LQ22" s="16"/>
      <c r="LR22" s="16"/>
      <c r="LS22" s="16"/>
      <c r="LT22" s="16"/>
      <c r="LU22" s="16"/>
      <c r="LV22" s="16"/>
      <c r="LW22" s="16"/>
      <c r="LX22" s="16"/>
      <c r="LY22" s="16"/>
      <c r="LZ22" s="16"/>
      <c r="MA22" s="16"/>
      <c r="MB22" s="16"/>
      <c r="MC22" s="16"/>
      <c r="MD22" s="16"/>
      <c r="ME22" s="16"/>
      <c r="MF22" s="16"/>
      <c r="MG22" s="16"/>
      <c r="MH22" s="16"/>
      <c r="MI22" s="16"/>
      <c r="MJ22" s="16"/>
      <c r="MK22" s="16"/>
      <c r="ML22" s="16"/>
      <c r="MM22" s="16"/>
      <c r="MN22" s="16"/>
      <c r="MO22" s="16"/>
      <c r="MP22" s="16"/>
      <c r="MQ22" s="16"/>
      <c r="MR22" s="16"/>
      <c r="MS22" s="16"/>
      <c r="MT22" s="16"/>
      <c r="MU22" s="16"/>
      <c r="MV22" s="16"/>
      <c r="MW22" s="16"/>
      <c r="MX22" s="16"/>
      <c r="MY22" s="16"/>
      <c r="MZ22" s="16"/>
      <c r="NA22" s="16"/>
      <c r="NB22" s="16"/>
      <c r="NC22" s="16"/>
      <c r="ND22" s="16"/>
      <c r="NE22" s="16"/>
      <c r="NF22" s="16"/>
      <c r="NG22" s="16"/>
      <c r="NH22" s="16"/>
      <c r="NI22" s="16"/>
      <c r="NJ22" s="16"/>
      <c r="NK22" s="16"/>
      <c r="NL22" s="16"/>
      <c r="NM22" s="16"/>
      <c r="NN22" s="16"/>
      <c r="NO22" s="16"/>
      <c r="NP22" s="16"/>
      <c r="NQ22" s="16"/>
      <c r="NR22" s="16"/>
      <c r="NS22" s="16"/>
      <c r="NT22" s="16"/>
      <c r="NU22" s="16"/>
      <c r="NV22" s="16"/>
      <c r="NW22" s="16"/>
      <c r="NX22" s="16"/>
      <c r="NY22" s="16"/>
      <c r="NZ22" s="16"/>
      <c r="OA22" s="16"/>
      <c r="OB22" s="16"/>
      <c r="OC22" s="16"/>
      <c r="OD22" s="16"/>
      <c r="OE22" s="16"/>
      <c r="OF22" s="16"/>
      <c r="OG22" s="16"/>
      <c r="OH22" s="16"/>
      <c r="OI22" s="16"/>
      <c r="OJ22" s="16"/>
      <c r="OK22" s="16"/>
      <c r="OL22" s="16"/>
      <c r="OM22" s="16"/>
      <c r="ON22" s="16"/>
      <c r="OO22" s="16"/>
      <c r="OP22" s="16"/>
      <c r="OQ22" s="16"/>
      <c r="OR22" s="16"/>
      <c r="OS22" s="16"/>
      <c r="OT22" s="16"/>
      <c r="OU22" s="16"/>
      <c r="OV22" s="16"/>
      <c r="OW22" s="16"/>
      <c r="OX22" s="16"/>
      <c r="OY22" s="16"/>
      <c r="OZ22" s="16"/>
      <c r="PA22" s="16"/>
      <c r="PB22" s="16"/>
      <c r="PC22" s="16"/>
      <c r="PD22" s="16"/>
      <c r="PE22" s="16"/>
      <c r="PF22" s="16"/>
      <c r="PG22" s="16"/>
      <c r="PH22" s="16"/>
      <c r="PI22" s="16"/>
      <c r="PJ22" s="16"/>
      <c r="PK22" s="16"/>
      <c r="PL22" s="16"/>
      <c r="PM22" s="16"/>
      <c r="PN22" s="16"/>
      <c r="PO22" s="16"/>
      <c r="PP22" s="16"/>
      <c r="PQ22" s="16"/>
      <c r="PR22" s="16"/>
      <c r="PS22" s="16"/>
      <c r="PT22" s="16"/>
      <c r="PU22" s="16"/>
      <c r="PV22" s="16"/>
      <c r="PW22" s="16"/>
      <c r="PX22" s="16"/>
      <c r="PY22" s="16"/>
      <c r="PZ22" s="16"/>
      <c r="QA22" s="16"/>
      <c r="QB22" s="16"/>
      <c r="QC22" s="16"/>
      <c r="QD22" s="16"/>
      <c r="QE22" s="16"/>
      <c r="QF22" s="16"/>
      <c r="QG22" s="16"/>
      <c r="QH22" s="16"/>
      <c r="QI22" s="16"/>
      <c r="QJ22" s="16"/>
      <c r="QK22" s="16"/>
      <c r="QL22" s="16"/>
      <c r="QM22" s="16"/>
      <c r="QN22" s="16"/>
      <c r="QO22" s="16"/>
      <c r="QP22" s="16"/>
      <c r="QQ22" s="16"/>
      <c r="QR22" s="16"/>
      <c r="QS22" s="16"/>
      <c r="QT22" s="16"/>
      <c r="QU22" s="16"/>
      <c r="QV22" s="16"/>
      <c r="QW22" s="16"/>
      <c r="QX22" s="16"/>
      <c r="QY22" s="16"/>
      <c r="QZ22" s="16"/>
      <c r="RA22" s="16"/>
      <c r="RB22" s="16"/>
      <c r="RC22" s="16"/>
      <c r="RD22" s="16"/>
      <c r="RE22" s="16"/>
      <c r="RF22" s="16"/>
      <c r="RG22" s="16"/>
      <c r="RH22" s="16"/>
      <c r="RI22" s="16"/>
      <c r="RJ22" s="16"/>
      <c r="RK22" s="16"/>
      <c r="RL22" s="16"/>
      <c r="RM22" s="16"/>
      <c r="RN22" s="16"/>
      <c r="RO22" s="16"/>
      <c r="RP22" s="16"/>
      <c r="RQ22" s="16"/>
      <c r="RR22" s="16"/>
      <c r="RS22" s="16"/>
      <c r="RT22" s="16"/>
      <c r="RU22" s="16"/>
      <c r="RV22" s="16"/>
      <c r="RW22" s="16"/>
      <c r="RX22" s="16"/>
      <c r="RY22" s="16"/>
      <c r="RZ22" s="16"/>
      <c r="SA22" s="16"/>
      <c r="SB22" s="16"/>
      <c r="SC22" s="16"/>
      <c r="SD22" s="16"/>
      <c r="SE22" s="16"/>
      <c r="SF22" s="16"/>
      <c r="SG22" s="16"/>
      <c r="SH22" s="16"/>
      <c r="SI22" s="16"/>
      <c r="SJ22" s="16"/>
      <c r="SK22" s="16"/>
      <c r="SL22" s="16"/>
      <c r="SM22" s="16"/>
      <c r="SN22" s="16"/>
      <c r="SO22" s="16"/>
      <c r="SP22" s="16"/>
      <c r="SQ22" s="16"/>
      <c r="SR22" s="16"/>
      <c r="SS22" s="16"/>
      <c r="ST22" s="16"/>
      <c r="SU22" s="16"/>
      <c r="SV22" s="16"/>
      <c r="SW22" s="16"/>
      <c r="SX22" s="16"/>
      <c r="SY22" s="16"/>
      <c r="SZ22" s="16"/>
      <c r="TA22" s="16"/>
      <c r="TB22" s="16"/>
      <c r="TC22" s="16"/>
      <c r="TD22" s="16"/>
      <c r="TE22" s="16"/>
      <c r="TF22" s="16"/>
      <c r="TG22" s="16"/>
      <c r="TH22" s="16"/>
      <c r="TI22" s="16"/>
      <c r="TJ22" s="16"/>
      <c r="TK22" s="16"/>
      <c r="TL22" s="16"/>
      <c r="TM22" s="16"/>
      <c r="TN22" s="16"/>
      <c r="TO22" s="16"/>
      <c r="TP22" s="16"/>
      <c r="TQ22" s="16"/>
      <c r="TR22" s="16"/>
      <c r="TS22" s="16"/>
      <c r="TT22" s="16"/>
      <c r="TU22" s="16"/>
      <c r="TV22" s="16"/>
      <c r="TW22" s="16"/>
      <c r="TX22" s="16"/>
      <c r="TY22" s="16"/>
      <c r="TZ22" s="16"/>
      <c r="UA22" s="16"/>
      <c r="UB22" s="16"/>
      <c r="UC22" s="16"/>
      <c r="UD22" s="16"/>
      <c r="UE22" s="16"/>
      <c r="UF22" s="16"/>
      <c r="UG22" s="16"/>
      <c r="UH22" s="16"/>
      <c r="UI22" s="16"/>
      <c r="UJ22" s="16"/>
      <c r="UK22" s="16"/>
      <c r="UL22" s="16"/>
      <c r="UM22" s="16"/>
      <c r="UN22" s="16"/>
      <c r="UO22" s="16"/>
      <c r="UP22" s="16"/>
      <c r="UQ22" s="16"/>
      <c r="UR22" s="16"/>
      <c r="US22" s="16"/>
      <c r="UT22" s="16"/>
      <c r="UU22" s="16"/>
      <c r="UV22" s="16"/>
      <c r="UW22" s="16"/>
      <c r="UX22" s="16"/>
      <c r="UY22" s="16"/>
      <c r="UZ22" s="16"/>
      <c r="VA22" s="16"/>
      <c r="VB22" s="16"/>
      <c r="VC22" s="16"/>
      <c r="VD22" s="16"/>
      <c r="VE22" s="16"/>
      <c r="VF22" s="16"/>
      <c r="VG22" s="16"/>
      <c r="VH22" s="16"/>
      <c r="VI22" s="16"/>
      <c r="VJ22" s="16"/>
      <c r="VK22" s="16"/>
      <c r="VL22" s="16"/>
      <c r="VM22" s="16"/>
      <c r="VN22" s="16"/>
      <c r="VO22" s="16"/>
      <c r="VP22" s="16"/>
      <c r="VQ22" s="16"/>
      <c r="VR22" s="16"/>
      <c r="VS22" s="16"/>
      <c r="VT22" s="16"/>
      <c r="VU22" s="16"/>
      <c r="VV22" s="16"/>
      <c r="VW22" s="16"/>
      <c r="VX22" s="16"/>
      <c r="VY22" s="16"/>
      <c r="VZ22" s="16"/>
      <c r="WA22" s="16"/>
      <c r="WB22" s="16"/>
      <c r="WC22" s="16"/>
      <c r="WD22" s="16"/>
      <c r="WE22" s="16"/>
      <c r="WF22" s="16"/>
      <c r="WG22" s="16"/>
      <c r="WH22" s="16"/>
      <c r="WI22" s="16"/>
      <c r="WJ22" s="16"/>
      <c r="WK22" s="16"/>
      <c r="WL22" s="16"/>
      <c r="WM22" s="16"/>
      <c r="WN22" s="16"/>
      <c r="WO22" s="16"/>
      <c r="WP22" s="16"/>
      <c r="WQ22" s="16"/>
      <c r="WR22" s="16"/>
      <c r="WS22" s="16"/>
      <c r="WT22" s="16"/>
      <c r="WU22" s="16"/>
      <c r="WV22" s="16"/>
      <c r="WW22" s="16"/>
      <c r="WX22" s="16"/>
      <c r="WY22" s="16"/>
      <c r="WZ22" s="16"/>
      <c r="XA22" s="16"/>
      <c r="XB22" s="16"/>
      <c r="XC22" s="16"/>
      <c r="XD22" s="16"/>
      <c r="XE22" s="16"/>
      <c r="XF22" s="16"/>
      <c r="XG22" s="16"/>
      <c r="XH22" s="16"/>
      <c r="XI22" s="16"/>
      <c r="XJ22" s="16"/>
      <c r="XK22" s="16"/>
      <c r="XL22" s="16"/>
      <c r="XM22" s="16"/>
      <c r="XN22" s="16"/>
      <c r="XO22" s="16"/>
      <c r="XP22" s="16"/>
      <c r="XQ22" s="16"/>
      <c r="XR22" s="16"/>
      <c r="XS22" s="16"/>
      <c r="XT22" s="16"/>
      <c r="XU22" s="16"/>
      <c r="XV22" s="16"/>
      <c r="XW22" s="16"/>
      <c r="XX22" s="16"/>
      <c r="XY22" s="16"/>
      <c r="XZ22" s="16"/>
      <c r="YA22" s="16"/>
      <c r="YB22" s="16"/>
      <c r="YC22" s="16"/>
      <c r="YD22" s="16"/>
      <c r="YE22" s="16"/>
      <c r="YF22" s="16"/>
      <c r="YG22" s="16"/>
      <c r="YH22" s="16"/>
      <c r="YI22" s="16"/>
      <c r="YJ22" s="16"/>
      <c r="YK22" s="16"/>
      <c r="YL22" s="16"/>
      <c r="YM22" s="16"/>
      <c r="YN22" s="16"/>
      <c r="YO22" s="16"/>
      <c r="YP22" s="16"/>
      <c r="YQ22" s="16"/>
      <c r="YR22" s="16"/>
      <c r="YS22" s="16"/>
      <c r="YT22" s="16"/>
      <c r="YU22" s="16"/>
      <c r="YV22" s="16"/>
      <c r="YW22" s="16"/>
      <c r="YX22" s="16"/>
      <c r="YY22" s="16"/>
      <c r="YZ22" s="16"/>
      <c r="ZA22" s="16"/>
      <c r="ZB22" s="16"/>
      <c r="ZC22" s="16"/>
      <c r="ZD22" s="16"/>
      <c r="ZE22" s="16"/>
      <c r="ZF22" s="16"/>
      <c r="ZG22" s="16"/>
      <c r="ZH22" s="16"/>
      <c r="ZI22" s="16"/>
      <c r="ZJ22" s="16"/>
      <c r="ZK22" s="16"/>
      <c r="ZL22" s="16"/>
      <c r="ZM22" s="16"/>
      <c r="ZN22" s="16"/>
      <c r="ZO22" s="16"/>
      <c r="ZP22" s="16"/>
      <c r="ZQ22" s="16"/>
      <c r="ZR22" s="16"/>
      <c r="ZS22" s="16"/>
      <c r="ZT22" s="16"/>
      <c r="ZU22" s="16"/>
      <c r="ZV22" s="16"/>
      <c r="ZW22" s="16"/>
      <c r="ZX22" s="16"/>
      <c r="ZY22" s="16"/>
      <c r="ZZ22" s="16"/>
      <c r="AAA22" s="16"/>
      <c r="AAB22" s="16"/>
      <c r="AAC22" s="16"/>
      <c r="AAD22" s="16"/>
      <c r="AAE22" s="16"/>
      <c r="AAF22" s="16"/>
      <c r="AAG22" s="16"/>
      <c r="AAH22" s="16"/>
      <c r="AAI22" s="16"/>
      <c r="AAJ22" s="16"/>
      <c r="AAK22" s="16"/>
      <c r="AAL22" s="16"/>
      <c r="AAM22" s="16"/>
      <c r="AAN22" s="16"/>
      <c r="AAO22" s="16"/>
      <c r="AAP22" s="16"/>
      <c r="AAQ22" s="16"/>
      <c r="AAR22" s="16"/>
      <c r="AAS22" s="16"/>
      <c r="AAT22" s="16"/>
      <c r="AAU22" s="16"/>
      <c r="AAV22" s="16"/>
      <c r="AAW22" s="16"/>
      <c r="AAX22" s="16"/>
      <c r="AAY22" s="16"/>
      <c r="AAZ22" s="16"/>
      <c r="ABA22" s="16"/>
      <c r="ABB22" s="16"/>
      <c r="ABC22" s="16"/>
      <c r="ABD22" s="16"/>
      <c r="ABE22" s="16"/>
      <c r="ABF22" s="16"/>
      <c r="ABG22" s="16"/>
      <c r="ABH22" s="16"/>
      <c r="ABI22" s="16"/>
      <c r="ABJ22" s="16"/>
      <c r="ABK22" s="16"/>
      <c r="ABL22" s="16"/>
      <c r="ABM22" s="16"/>
      <c r="ABN22" s="16"/>
      <c r="ABO22" s="16"/>
      <c r="ABP22" s="16"/>
      <c r="ABQ22" s="16"/>
      <c r="ABR22" s="16"/>
      <c r="ABS22" s="16"/>
      <c r="ABT22" s="16"/>
    </row>
    <row r="23" spans="1:748" s="20" customFormat="1" ht="18" customHeight="1" x14ac:dyDescent="0.2">
      <c r="A23" s="13"/>
      <c r="B23" s="25"/>
      <c r="C23" s="12"/>
      <c r="D23" s="25"/>
      <c r="E23" s="25"/>
      <c r="F23" s="25"/>
      <c r="G23" s="25"/>
      <c r="H23" s="25"/>
      <c r="I23" s="25"/>
      <c r="J23" s="25"/>
      <c r="K23" s="25"/>
      <c r="L23" s="25"/>
      <c r="M23" s="25"/>
      <c r="N23" s="25"/>
      <c r="O23" s="238"/>
      <c r="P23" s="238"/>
      <c r="Q23" s="238"/>
      <c r="R23" s="238"/>
      <c r="S23" s="238"/>
      <c r="T23" s="238"/>
      <c r="U23" s="238"/>
      <c r="V23" s="238"/>
      <c r="W23" s="238"/>
      <c r="X23" s="238"/>
      <c r="Y23" s="238"/>
      <c r="Z23" s="238"/>
      <c r="AA23" s="238"/>
      <c r="AB23" s="238"/>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c r="GP23" s="16"/>
      <c r="GQ23" s="16"/>
      <c r="GR23" s="16"/>
      <c r="GS23" s="16"/>
      <c r="GT23" s="16"/>
      <c r="GU23" s="16"/>
      <c r="GV23" s="16"/>
      <c r="GW23" s="16"/>
      <c r="GX23" s="16"/>
      <c r="GY23" s="16"/>
      <c r="GZ23" s="16"/>
      <c r="HA23" s="16"/>
      <c r="HB23" s="16"/>
      <c r="HC23" s="16"/>
      <c r="HD23" s="16"/>
      <c r="HE23" s="16"/>
      <c r="HF23" s="16"/>
      <c r="HG23" s="16"/>
      <c r="HH23" s="16"/>
      <c r="HI23" s="16"/>
      <c r="HJ23" s="16"/>
      <c r="HK23" s="16"/>
      <c r="HL23" s="16"/>
      <c r="HM23" s="16"/>
      <c r="HN23" s="16"/>
      <c r="HO23" s="16"/>
      <c r="HP23" s="16"/>
      <c r="HQ23" s="16"/>
      <c r="HR23" s="16"/>
      <c r="HS23" s="16"/>
      <c r="HT23" s="16"/>
      <c r="HU23" s="16"/>
      <c r="HV23" s="16"/>
      <c r="HW23" s="16"/>
      <c r="HX23" s="16"/>
      <c r="HY23" s="16"/>
      <c r="HZ23" s="16"/>
      <c r="IA23" s="16"/>
      <c r="IB23" s="16"/>
      <c r="IC23" s="16"/>
      <c r="ID23" s="16"/>
      <c r="IE23" s="16"/>
      <c r="IF23" s="16"/>
      <c r="IG23" s="16"/>
      <c r="IH23" s="16"/>
      <c r="II23" s="16"/>
      <c r="IJ23" s="16"/>
      <c r="IK23" s="16"/>
      <c r="IL23" s="16"/>
      <c r="IM23" s="16"/>
      <c r="IN23" s="16"/>
      <c r="IO23" s="16"/>
      <c r="IP23" s="16"/>
      <c r="IQ23" s="16"/>
      <c r="IR23" s="16"/>
      <c r="IS23" s="16"/>
      <c r="IT23" s="16"/>
      <c r="IU23" s="16"/>
      <c r="IV23" s="16"/>
      <c r="IW23" s="16"/>
      <c r="IX23" s="16"/>
      <c r="IY23" s="16"/>
      <c r="IZ23" s="16"/>
      <c r="JA23" s="16"/>
      <c r="JB23" s="16"/>
      <c r="JC23" s="16"/>
      <c r="JD23" s="16"/>
      <c r="JE23" s="16"/>
      <c r="JF23" s="16"/>
      <c r="JG23" s="16"/>
      <c r="JH23" s="16"/>
      <c r="JI23" s="16"/>
      <c r="JJ23" s="16"/>
      <c r="JK23" s="16"/>
      <c r="JL23" s="16"/>
      <c r="JM23" s="16"/>
      <c r="JN23" s="16"/>
      <c r="JO23" s="16"/>
      <c r="JP23" s="16"/>
      <c r="JQ23" s="16"/>
      <c r="JR23" s="16"/>
      <c r="JS23" s="16"/>
      <c r="JT23" s="16"/>
      <c r="JU23" s="16"/>
      <c r="JV23" s="16"/>
      <c r="JW23" s="16"/>
      <c r="JX23" s="16"/>
      <c r="JY23" s="16"/>
      <c r="JZ23" s="16"/>
      <c r="KA23" s="16"/>
      <c r="KB23" s="16"/>
      <c r="KC23" s="16"/>
      <c r="KD23" s="16"/>
      <c r="KE23" s="16"/>
      <c r="KF23" s="16"/>
      <c r="KG23" s="16"/>
      <c r="KH23" s="16"/>
      <c r="KI23" s="16"/>
      <c r="KJ23" s="16"/>
      <c r="KK23" s="16"/>
      <c r="KL23" s="16"/>
      <c r="KM23" s="16"/>
      <c r="KN23" s="16"/>
      <c r="KO23" s="16"/>
      <c r="KP23" s="16"/>
      <c r="KQ23" s="16"/>
      <c r="KR23" s="16"/>
      <c r="KS23" s="16"/>
      <c r="KT23" s="16"/>
      <c r="KU23" s="16"/>
      <c r="KV23" s="16"/>
      <c r="KW23" s="16"/>
      <c r="KX23" s="16"/>
      <c r="KY23" s="16"/>
      <c r="KZ23" s="16"/>
      <c r="LA23" s="16"/>
      <c r="LB23" s="16"/>
      <c r="LC23" s="16"/>
      <c r="LD23" s="16"/>
      <c r="LE23" s="16"/>
      <c r="LF23" s="16"/>
      <c r="LG23" s="16"/>
      <c r="LH23" s="16"/>
      <c r="LI23" s="16"/>
      <c r="LJ23" s="16"/>
      <c r="LK23" s="16"/>
      <c r="LL23" s="16"/>
      <c r="LM23" s="16"/>
      <c r="LN23" s="16"/>
      <c r="LO23" s="16"/>
      <c r="LP23" s="16"/>
      <c r="LQ23" s="16"/>
      <c r="LR23" s="16"/>
      <c r="LS23" s="16"/>
      <c r="LT23" s="16"/>
      <c r="LU23" s="16"/>
      <c r="LV23" s="16"/>
      <c r="LW23" s="16"/>
      <c r="LX23" s="16"/>
      <c r="LY23" s="16"/>
      <c r="LZ23" s="16"/>
      <c r="MA23" s="16"/>
      <c r="MB23" s="16"/>
      <c r="MC23" s="16"/>
      <c r="MD23" s="16"/>
      <c r="ME23" s="16"/>
      <c r="MF23" s="16"/>
      <c r="MG23" s="16"/>
      <c r="MH23" s="16"/>
      <c r="MI23" s="16"/>
      <c r="MJ23" s="16"/>
      <c r="MK23" s="16"/>
      <c r="ML23" s="16"/>
      <c r="MM23" s="16"/>
      <c r="MN23" s="16"/>
      <c r="MO23" s="16"/>
      <c r="MP23" s="16"/>
      <c r="MQ23" s="16"/>
      <c r="MR23" s="16"/>
      <c r="MS23" s="16"/>
      <c r="MT23" s="16"/>
      <c r="MU23" s="16"/>
      <c r="MV23" s="16"/>
      <c r="MW23" s="16"/>
      <c r="MX23" s="16"/>
      <c r="MY23" s="16"/>
      <c r="MZ23" s="16"/>
      <c r="NA23" s="16"/>
      <c r="NB23" s="16"/>
      <c r="NC23" s="16"/>
      <c r="ND23" s="16"/>
      <c r="NE23" s="16"/>
      <c r="NF23" s="16"/>
      <c r="NG23" s="16"/>
      <c r="NH23" s="16"/>
      <c r="NI23" s="16"/>
      <c r="NJ23" s="16"/>
      <c r="NK23" s="16"/>
      <c r="NL23" s="16"/>
      <c r="NM23" s="16"/>
      <c r="NN23" s="16"/>
      <c r="NO23" s="16"/>
      <c r="NP23" s="16"/>
      <c r="NQ23" s="16"/>
      <c r="NR23" s="16"/>
      <c r="NS23" s="16"/>
      <c r="NT23" s="16"/>
      <c r="NU23" s="16"/>
      <c r="NV23" s="16"/>
      <c r="NW23" s="16"/>
      <c r="NX23" s="16"/>
      <c r="NY23" s="16"/>
      <c r="NZ23" s="16"/>
      <c r="OA23" s="16"/>
      <c r="OB23" s="16"/>
      <c r="OC23" s="16"/>
      <c r="OD23" s="16"/>
      <c r="OE23" s="16"/>
      <c r="OF23" s="16"/>
      <c r="OG23" s="16"/>
      <c r="OH23" s="16"/>
      <c r="OI23" s="16"/>
      <c r="OJ23" s="16"/>
      <c r="OK23" s="16"/>
      <c r="OL23" s="16"/>
      <c r="OM23" s="16"/>
      <c r="ON23" s="16"/>
      <c r="OO23" s="16"/>
      <c r="OP23" s="16"/>
      <c r="OQ23" s="16"/>
      <c r="OR23" s="16"/>
      <c r="OS23" s="16"/>
      <c r="OT23" s="16"/>
      <c r="OU23" s="16"/>
      <c r="OV23" s="16"/>
      <c r="OW23" s="16"/>
      <c r="OX23" s="16"/>
      <c r="OY23" s="16"/>
      <c r="OZ23" s="16"/>
      <c r="PA23" s="16"/>
      <c r="PB23" s="16"/>
      <c r="PC23" s="16"/>
      <c r="PD23" s="16"/>
      <c r="PE23" s="16"/>
      <c r="PF23" s="16"/>
      <c r="PG23" s="16"/>
      <c r="PH23" s="16"/>
      <c r="PI23" s="16"/>
      <c r="PJ23" s="16"/>
      <c r="PK23" s="16"/>
      <c r="PL23" s="16"/>
      <c r="PM23" s="16"/>
      <c r="PN23" s="16"/>
      <c r="PO23" s="16"/>
      <c r="PP23" s="16"/>
      <c r="PQ23" s="16"/>
      <c r="PR23" s="16"/>
      <c r="PS23" s="16"/>
      <c r="PT23" s="16"/>
      <c r="PU23" s="16"/>
      <c r="PV23" s="16"/>
      <c r="PW23" s="16"/>
      <c r="PX23" s="16"/>
      <c r="PY23" s="16"/>
      <c r="PZ23" s="16"/>
      <c r="QA23" s="16"/>
      <c r="QB23" s="16"/>
      <c r="QC23" s="16"/>
      <c r="QD23" s="16"/>
      <c r="QE23" s="16"/>
      <c r="QF23" s="16"/>
      <c r="QG23" s="16"/>
      <c r="QH23" s="16"/>
      <c r="QI23" s="16"/>
      <c r="QJ23" s="16"/>
      <c r="QK23" s="16"/>
      <c r="QL23" s="16"/>
      <c r="QM23" s="16"/>
      <c r="QN23" s="16"/>
      <c r="QO23" s="16"/>
      <c r="QP23" s="16"/>
      <c r="QQ23" s="16"/>
      <c r="QR23" s="16"/>
      <c r="QS23" s="16"/>
      <c r="QT23" s="16"/>
      <c r="QU23" s="16"/>
      <c r="QV23" s="16"/>
      <c r="QW23" s="16"/>
      <c r="QX23" s="16"/>
      <c r="QY23" s="16"/>
      <c r="QZ23" s="16"/>
      <c r="RA23" s="16"/>
      <c r="RB23" s="16"/>
      <c r="RC23" s="16"/>
      <c r="RD23" s="16"/>
      <c r="RE23" s="16"/>
      <c r="RF23" s="16"/>
      <c r="RG23" s="16"/>
      <c r="RH23" s="16"/>
      <c r="RI23" s="16"/>
      <c r="RJ23" s="16"/>
      <c r="RK23" s="16"/>
      <c r="RL23" s="16"/>
      <c r="RM23" s="16"/>
      <c r="RN23" s="16"/>
      <c r="RO23" s="16"/>
      <c r="RP23" s="16"/>
      <c r="RQ23" s="16"/>
      <c r="RR23" s="16"/>
      <c r="RS23" s="16"/>
      <c r="RT23" s="16"/>
      <c r="RU23" s="16"/>
      <c r="RV23" s="16"/>
      <c r="RW23" s="16"/>
      <c r="RX23" s="16"/>
      <c r="RY23" s="16"/>
      <c r="RZ23" s="16"/>
      <c r="SA23" s="16"/>
      <c r="SB23" s="16"/>
      <c r="SC23" s="16"/>
      <c r="SD23" s="16"/>
      <c r="SE23" s="16"/>
      <c r="SF23" s="16"/>
      <c r="SG23" s="16"/>
      <c r="SH23" s="16"/>
      <c r="SI23" s="16"/>
      <c r="SJ23" s="16"/>
      <c r="SK23" s="16"/>
      <c r="SL23" s="16"/>
      <c r="SM23" s="16"/>
      <c r="SN23" s="16"/>
      <c r="SO23" s="16"/>
      <c r="SP23" s="16"/>
      <c r="SQ23" s="16"/>
      <c r="SR23" s="16"/>
      <c r="SS23" s="16"/>
      <c r="ST23" s="16"/>
      <c r="SU23" s="16"/>
      <c r="SV23" s="16"/>
      <c r="SW23" s="16"/>
      <c r="SX23" s="16"/>
      <c r="SY23" s="16"/>
      <c r="SZ23" s="16"/>
      <c r="TA23" s="16"/>
      <c r="TB23" s="16"/>
      <c r="TC23" s="16"/>
      <c r="TD23" s="16"/>
      <c r="TE23" s="16"/>
      <c r="TF23" s="16"/>
      <c r="TG23" s="16"/>
      <c r="TH23" s="16"/>
      <c r="TI23" s="16"/>
      <c r="TJ23" s="16"/>
      <c r="TK23" s="16"/>
      <c r="TL23" s="16"/>
      <c r="TM23" s="16"/>
      <c r="TN23" s="16"/>
      <c r="TO23" s="16"/>
      <c r="TP23" s="16"/>
      <c r="TQ23" s="16"/>
      <c r="TR23" s="16"/>
      <c r="TS23" s="16"/>
      <c r="TT23" s="16"/>
      <c r="TU23" s="16"/>
      <c r="TV23" s="16"/>
      <c r="TW23" s="16"/>
      <c r="TX23" s="16"/>
      <c r="TY23" s="16"/>
      <c r="TZ23" s="16"/>
      <c r="UA23" s="16"/>
      <c r="UB23" s="16"/>
      <c r="UC23" s="16"/>
      <c r="UD23" s="16"/>
      <c r="UE23" s="16"/>
      <c r="UF23" s="16"/>
      <c r="UG23" s="16"/>
      <c r="UH23" s="16"/>
      <c r="UI23" s="16"/>
      <c r="UJ23" s="16"/>
      <c r="UK23" s="16"/>
      <c r="UL23" s="16"/>
      <c r="UM23" s="16"/>
      <c r="UN23" s="16"/>
      <c r="UO23" s="16"/>
      <c r="UP23" s="16"/>
      <c r="UQ23" s="16"/>
      <c r="UR23" s="16"/>
      <c r="US23" s="16"/>
      <c r="UT23" s="16"/>
      <c r="UU23" s="16"/>
      <c r="UV23" s="16"/>
      <c r="UW23" s="16"/>
      <c r="UX23" s="16"/>
      <c r="UY23" s="16"/>
      <c r="UZ23" s="16"/>
      <c r="VA23" s="16"/>
      <c r="VB23" s="16"/>
      <c r="VC23" s="16"/>
      <c r="VD23" s="16"/>
      <c r="VE23" s="16"/>
      <c r="VF23" s="16"/>
      <c r="VG23" s="16"/>
      <c r="VH23" s="16"/>
      <c r="VI23" s="16"/>
      <c r="VJ23" s="16"/>
      <c r="VK23" s="16"/>
      <c r="VL23" s="16"/>
      <c r="VM23" s="16"/>
      <c r="VN23" s="16"/>
      <c r="VO23" s="16"/>
      <c r="VP23" s="16"/>
      <c r="VQ23" s="16"/>
      <c r="VR23" s="16"/>
      <c r="VS23" s="16"/>
      <c r="VT23" s="16"/>
      <c r="VU23" s="16"/>
      <c r="VV23" s="16"/>
      <c r="VW23" s="16"/>
      <c r="VX23" s="16"/>
      <c r="VY23" s="16"/>
      <c r="VZ23" s="16"/>
      <c r="WA23" s="16"/>
      <c r="WB23" s="16"/>
      <c r="WC23" s="16"/>
      <c r="WD23" s="16"/>
      <c r="WE23" s="16"/>
      <c r="WF23" s="16"/>
      <c r="WG23" s="16"/>
      <c r="WH23" s="16"/>
      <c r="WI23" s="16"/>
      <c r="WJ23" s="16"/>
      <c r="WK23" s="16"/>
      <c r="WL23" s="16"/>
      <c r="WM23" s="16"/>
      <c r="WN23" s="16"/>
      <c r="WO23" s="16"/>
      <c r="WP23" s="16"/>
      <c r="WQ23" s="16"/>
      <c r="WR23" s="16"/>
      <c r="WS23" s="16"/>
      <c r="WT23" s="16"/>
      <c r="WU23" s="16"/>
      <c r="WV23" s="16"/>
      <c r="WW23" s="16"/>
      <c r="WX23" s="16"/>
      <c r="WY23" s="16"/>
      <c r="WZ23" s="16"/>
      <c r="XA23" s="16"/>
      <c r="XB23" s="16"/>
      <c r="XC23" s="16"/>
      <c r="XD23" s="16"/>
      <c r="XE23" s="16"/>
      <c r="XF23" s="16"/>
      <c r="XG23" s="16"/>
      <c r="XH23" s="16"/>
      <c r="XI23" s="16"/>
      <c r="XJ23" s="16"/>
      <c r="XK23" s="16"/>
      <c r="XL23" s="16"/>
      <c r="XM23" s="16"/>
      <c r="XN23" s="16"/>
      <c r="XO23" s="16"/>
      <c r="XP23" s="16"/>
      <c r="XQ23" s="16"/>
      <c r="XR23" s="16"/>
      <c r="XS23" s="16"/>
      <c r="XT23" s="16"/>
      <c r="XU23" s="16"/>
      <c r="XV23" s="16"/>
      <c r="XW23" s="16"/>
      <c r="XX23" s="16"/>
      <c r="XY23" s="16"/>
      <c r="XZ23" s="16"/>
      <c r="YA23" s="16"/>
      <c r="YB23" s="16"/>
      <c r="YC23" s="16"/>
      <c r="YD23" s="16"/>
      <c r="YE23" s="16"/>
      <c r="YF23" s="16"/>
      <c r="YG23" s="16"/>
      <c r="YH23" s="16"/>
      <c r="YI23" s="16"/>
      <c r="YJ23" s="16"/>
      <c r="YK23" s="16"/>
      <c r="YL23" s="16"/>
      <c r="YM23" s="16"/>
      <c r="YN23" s="16"/>
      <c r="YO23" s="16"/>
      <c r="YP23" s="16"/>
      <c r="YQ23" s="16"/>
      <c r="YR23" s="16"/>
      <c r="YS23" s="16"/>
      <c r="YT23" s="16"/>
      <c r="YU23" s="16"/>
      <c r="YV23" s="16"/>
      <c r="YW23" s="16"/>
      <c r="YX23" s="16"/>
      <c r="YY23" s="16"/>
      <c r="YZ23" s="16"/>
      <c r="ZA23" s="16"/>
      <c r="ZB23" s="16"/>
      <c r="ZC23" s="16"/>
      <c r="ZD23" s="16"/>
      <c r="ZE23" s="16"/>
      <c r="ZF23" s="16"/>
      <c r="ZG23" s="16"/>
      <c r="ZH23" s="16"/>
      <c r="ZI23" s="16"/>
      <c r="ZJ23" s="16"/>
      <c r="ZK23" s="16"/>
      <c r="ZL23" s="16"/>
      <c r="ZM23" s="16"/>
      <c r="ZN23" s="16"/>
      <c r="ZO23" s="16"/>
      <c r="ZP23" s="16"/>
      <c r="ZQ23" s="16"/>
      <c r="ZR23" s="16"/>
      <c r="ZS23" s="16"/>
      <c r="ZT23" s="16"/>
      <c r="ZU23" s="16"/>
      <c r="ZV23" s="16"/>
      <c r="ZW23" s="16"/>
      <c r="ZX23" s="16"/>
      <c r="ZY23" s="16"/>
      <c r="ZZ23" s="16"/>
      <c r="AAA23" s="16"/>
      <c r="AAB23" s="16"/>
      <c r="AAC23" s="16"/>
      <c r="AAD23" s="16"/>
      <c r="AAE23" s="16"/>
      <c r="AAF23" s="16"/>
      <c r="AAG23" s="16"/>
      <c r="AAH23" s="16"/>
      <c r="AAI23" s="16"/>
      <c r="AAJ23" s="16"/>
      <c r="AAK23" s="16"/>
      <c r="AAL23" s="16"/>
      <c r="AAM23" s="16"/>
      <c r="AAN23" s="16"/>
      <c r="AAO23" s="16"/>
      <c r="AAP23" s="16"/>
      <c r="AAQ23" s="16"/>
      <c r="AAR23" s="16"/>
      <c r="AAS23" s="16"/>
      <c r="AAT23" s="16"/>
      <c r="AAU23" s="16"/>
      <c r="AAV23" s="16"/>
      <c r="AAW23" s="16"/>
      <c r="AAX23" s="16"/>
      <c r="AAY23" s="16"/>
      <c r="AAZ23" s="16"/>
      <c r="ABA23" s="16"/>
      <c r="ABB23" s="16"/>
      <c r="ABC23" s="16"/>
      <c r="ABD23" s="16"/>
      <c r="ABE23" s="16"/>
      <c r="ABF23" s="16"/>
      <c r="ABG23" s="16"/>
      <c r="ABH23" s="16"/>
      <c r="ABI23" s="16"/>
      <c r="ABJ23" s="16"/>
      <c r="ABK23" s="16"/>
      <c r="ABL23" s="16"/>
      <c r="ABM23" s="16"/>
      <c r="ABN23" s="16"/>
      <c r="ABO23" s="16"/>
      <c r="ABP23" s="16"/>
      <c r="ABQ23" s="16"/>
      <c r="ABR23" s="16"/>
      <c r="ABS23" s="16"/>
      <c r="ABT23" s="16"/>
    </row>
    <row r="24" spans="1:748" s="15" customFormat="1" ht="18" customHeight="1" x14ac:dyDescent="0.2">
      <c r="A24" s="239" t="s">
        <v>56</v>
      </c>
      <c r="B24" s="25"/>
      <c r="C24" s="238"/>
      <c r="D24" s="238"/>
      <c r="E24" s="238"/>
      <c r="F24" s="238"/>
      <c r="G24" s="238"/>
      <c r="H24" s="238"/>
      <c r="I24" s="238"/>
      <c r="J24" s="238"/>
      <c r="K24" s="238"/>
      <c r="L24" s="238"/>
      <c r="M24" s="238"/>
      <c r="N24" s="238"/>
      <c r="O24" s="238"/>
      <c r="P24" s="238"/>
      <c r="Q24" s="238"/>
      <c r="R24" s="238"/>
      <c r="S24" s="238"/>
      <c r="T24" s="238"/>
      <c r="U24" s="238"/>
      <c r="V24" s="238"/>
      <c r="W24" s="238"/>
      <c r="X24" s="238"/>
      <c r="Y24" s="238"/>
      <c r="Z24" s="238"/>
      <c r="AA24" s="238"/>
      <c r="AB24" s="238"/>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16"/>
      <c r="IK24" s="16"/>
      <c r="IL24" s="16"/>
      <c r="IM24" s="16"/>
      <c r="IN24" s="16"/>
      <c r="IO24" s="16"/>
      <c r="IP24" s="16"/>
      <c r="IQ24" s="16"/>
      <c r="IR24" s="16"/>
      <c r="IS24" s="16"/>
      <c r="IT24" s="16"/>
      <c r="IU24" s="16"/>
      <c r="IV24" s="16"/>
      <c r="IW24" s="16"/>
      <c r="IX24" s="16"/>
      <c r="IY24" s="16"/>
      <c r="IZ24" s="16"/>
      <c r="JA24" s="16"/>
      <c r="JB24" s="16"/>
      <c r="JC24" s="16"/>
      <c r="JD24" s="16"/>
      <c r="JE24" s="16"/>
      <c r="JF24" s="16"/>
      <c r="JG24" s="16"/>
      <c r="JH24" s="16"/>
      <c r="JI24" s="16"/>
      <c r="JJ24" s="16"/>
      <c r="JK24" s="16"/>
      <c r="JL24" s="16"/>
      <c r="JM24" s="16"/>
      <c r="JN24" s="16"/>
      <c r="JO24" s="16"/>
      <c r="JP24" s="16"/>
      <c r="JQ24" s="16"/>
      <c r="JR24" s="16"/>
      <c r="JS24" s="16"/>
      <c r="JT24" s="16"/>
      <c r="JU24" s="16"/>
      <c r="JV24" s="16"/>
      <c r="JW24" s="16"/>
      <c r="JX24" s="16"/>
      <c r="JY24" s="16"/>
      <c r="JZ24" s="16"/>
      <c r="KA24" s="16"/>
      <c r="KB24" s="16"/>
      <c r="KC24" s="16"/>
      <c r="KD24" s="16"/>
      <c r="KE24" s="16"/>
      <c r="KF24" s="16"/>
      <c r="KG24" s="16"/>
      <c r="KH24" s="16"/>
      <c r="KI24" s="16"/>
      <c r="KJ24" s="16"/>
      <c r="KK24" s="16"/>
      <c r="KL24" s="16"/>
      <c r="KM24" s="16"/>
      <c r="KN24" s="16"/>
      <c r="KO24" s="16"/>
      <c r="KP24" s="16"/>
      <c r="KQ24" s="16"/>
      <c r="KR24" s="16"/>
      <c r="KS24" s="16"/>
      <c r="KT24" s="16"/>
      <c r="KU24" s="16"/>
      <c r="KV24" s="16"/>
      <c r="KW24" s="16"/>
      <c r="KX24" s="16"/>
      <c r="KY24" s="16"/>
      <c r="KZ24" s="16"/>
      <c r="LA24" s="16"/>
      <c r="LB24" s="16"/>
      <c r="LC24" s="16"/>
      <c r="LD24" s="16"/>
      <c r="LE24" s="16"/>
      <c r="LF24" s="16"/>
      <c r="LG24" s="16"/>
      <c r="LH24" s="16"/>
      <c r="LI24" s="16"/>
      <c r="LJ24" s="16"/>
      <c r="LK24" s="16"/>
      <c r="LL24" s="16"/>
      <c r="LM24" s="16"/>
      <c r="LN24" s="16"/>
      <c r="LO24" s="16"/>
      <c r="LP24" s="16"/>
      <c r="LQ24" s="16"/>
      <c r="LR24" s="16"/>
      <c r="LS24" s="16"/>
      <c r="LT24" s="16"/>
      <c r="LU24" s="16"/>
      <c r="LV24" s="16"/>
      <c r="LW24" s="16"/>
      <c r="LX24" s="16"/>
      <c r="LY24" s="16"/>
      <c r="LZ24" s="16"/>
      <c r="MA24" s="16"/>
      <c r="MB24" s="16"/>
      <c r="MC24" s="16"/>
      <c r="MD24" s="16"/>
      <c r="ME24" s="16"/>
      <c r="MF24" s="16"/>
      <c r="MG24" s="16"/>
      <c r="MH24" s="16"/>
      <c r="MI24" s="16"/>
      <c r="MJ24" s="16"/>
      <c r="MK24" s="16"/>
      <c r="ML24" s="16"/>
      <c r="MM24" s="16"/>
      <c r="MN24" s="16"/>
      <c r="MO24" s="16"/>
      <c r="MP24" s="16"/>
      <c r="MQ24" s="16"/>
      <c r="MR24" s="16"/>
      <c r="MS24" s="16"/>
      <c r="MT24" s="16"/>
      <c r="MU24" s="16"/>
      <c r="MV24" s="16"/>
      <c r="MW24" s="16"/>
      <c r="MX24" s="16"/>
      <c r="MY24" s="16"/>
      <c r="MZ24" s="16"/>
      <c r="NA24" s="16"/>
      <c r="NB24" s="16"/>
      <c r="NC24" s="16"/>
      <c r="ND24" s="16"/>
      <c r="NE24" s="16"/>
      <c r="NF24" s="16"/>
      <c r="NG24" s="16"/>
      <c r="NH24" s="16"/>
      <c r="NI24" s="16"/>
      <c r="NJ24" s="16"/>
      <c r="NK24" s="16"/>
      <c r="NL24" s="16"/>
      <c r="NM24" s="16"/>
      <c r="NN24" s="16"/>
      <c r="NO24" s="16"/>
      <c r="NP24" s="16"/>
      <c r="NQ24" s="16"/>
      <c r="NR24" s="16"/>
      <c r="NS24" s="16"/>
      <c r="NT24" s="16"/>
      <c r="NU24" s="16"/>
      <c r="NV24" s="16"/>
      <c r="NW24" s="16"/>
      <c r="NX24" s="16"/>
      <c r="NY24" s="16"/>
      <c r="NZ24" s="16"/>
      <c r="OA24" s="16"/>
      <c r="OB24" s="16"/>
      <c r="OC24" s="16"/>
      <c r="OD24" s="16"/>
      <c r="OE24" s="16"/>
      <c r="OF24" s="16"/>
      <c r="OG24" s="16"/>
      <c r="OH24" s="16"/>
      <c r="OI24" s="16"/>
      <c r="OJ24" s="16"/>
      <c r="OK24" s="16"/>
      <c r="OL24" s="16"/>
      <c r="OM24" s="16"/>
      <c r="ON24" s="16"/>
      <c r="OO24" s="16"/>
      <c r="OP24" s="16"/>
      <c r="OQ24" s="16"/>
      <c r="OR24" s="16"/>
      <c r="OS24" s="16"/>
      <c r="OT24" s="16"/>
      <c r="OU24" s="16"/>
      <c r="OV24" s="16"/>
      <c r="OW24" s="16"/>
      <c r="OX24" s="16"/>
      <c r="OY24" s="16"/>
      <c r="OZ24" s="16"/>
      <c r="PA24" s="16"/>
      <c r="PB24" s="16"/>
      <c r="PC24" s="16"/>
      <c r="PD24" s="16"/>
      <c r="PE24" s="16"/>
      <c r="PF24" s="16"/>
      <c r="PG24" s="16"/>
      <c r="PH24" s="16"/>
      <c r="PI24" s="16"/>
      <c r="PJ24" s="16"/>
      <c r="PK24" s="16"/>
      <c r="PL24" s="16"/>
      <c r="PM24" s="16"/>
      <c r="PN24" s="16"/>
      <c r="PO24" s="16"/>
      <c r="PP24" s="16"/>
      <c r="PQ24" s="16"/>
      <c r="PR24" s="16"/>
      <c r="PS24" s="16"/>
      <c r="PT24" s="16"/>
      <c r="PU24" s="16"/>
      <c r="PV24" s="16"/>
      <c r="PW24" s="16"/>
      <c r="PX24" s="16"/>
      <c r="PY24" s="16"/>
      <c r="PZ24" s="16"/>
      <c r="QA24" s="16"/>
      <c r="QB24" s="16"/>
      <c r="QC24" s="16"/>
      <c r="QD24" s="16"/>
      <c r="QE24" s="16"/>
      <c r="QF24" s="16"/>
      <c r="QG24" s="16"/>
      <c r="QH24" s="16"/>
      <c r="QI24" s="16"/>
      <c r="QJ24" s="16"/>
      <c r="QK24" s="16"/>
      <c r="QL24" s="16"/>
      <c r="QM24" s="16"/>
      <c r="QN24" s="16"/>
      <c r="QO24" s="16"/>
      <c r="QP24" s="16"/>
      <c r="QQ24" s="16"/>
      <c r="QR24" s="16"/>
      <c r="QS24" s="16"/>
      <c r="QT24" s="16"/>
      <c r="QU24" s="16"/>
      <c r="QV24" s="16"/>
      <c r="QW24" s="16"/>
      <c r="QX24" s="16"/>
      <c r="QY24" s="16"/>
      <c r="QZ24" s="16"/>
      <c r="RA24" s="16"/>
      <c r="RB24" s="16"/>
      <c r="RC24" s="16"/>
      <c r="RD24" s="16"/>
      <c r="RE24" s="16"/>
      <c r="RF24" s="16"/>
      <c r="RG24" s="16"/>
      <c r="RH24" s="16"/>
      <c r="RI24" s="16"/>
      <c r="RJ24" s="16"/>
      <c r="RK24" s="16"/>
      <c r="RL24" s="16"/>
      <c r="RM24" s="16"/>
      <c r="RN24" s="16"/>
      <c r="RO24" s="16"/>
      <c r="RP24" s="16"/>
      <c r="RQ24" s="16"/>
      <c r="RR24" s="16"/>
      <c r="RS24" s="16"/>
      <c r="RT24" s="16"/>
      <c r="RU24" s="16"/>
      <c r="RV24" s="16"/>
      <c r="RW24" s="16"/>
      <c r="RX24" s="16"/>
      <c r="RY24" s="16"/>
      <c r="RZ24" s="16"/>
      <c r="SA24" s="16"/>
      <c r="SB24" s="16"/>
      <c r="SC24" s="16"/>
      <c r="SD24" s="16"/>
      <c r="SE24" s="16"/>
      <c r="SF24" s="16"/>
      <c r="SG24" s="16"/>
      <c r="SH24" s="16"/>
      <c r="SI24" s="16"/>
      <c r="SJ24" s="16"/>
      <c r="SK24" s="16"/>
      <c r="SL24" s="16"/>
      <c r="SM24" s="16"/>
      <c r="SN24" s="16"/>
      <c r="SO24" s="16"/>
      <c r="SP24" s="16"/>
      <c r="SQ24" s="16"/>
      <c r="SR24" s="16"/>
      <c r="SS24" s="16"/>
      <c r="ST24" s="16"/>
      <c r="SU24" s="16"/>
      <c r="SV24" s="16"/>
      <c r="SW24" s="16"/>
      <c r="SX24" s="16"/>
      <c r="SY24" s="16"/>
      <c r="SZ24" s="16"/>
      <c r="TA24" s="16"/>
      <c r="TB24" s="16"/>
      <c r="TC24" s="16"/>
      <c r="TD24" s="16"/>
      <c r="TE24" s="16"/>
      <c r="TF24" s="16"/>
      <c r="TG24" s="16"/>
      <c r="TH24" s="16"/>
      <c r="TI24" s="16"/>
      <c r="TJ24" s="16"/>
      <c r="TK24" s="16"/>
      <c r="TL24" s="16"/>
      <c r="TM24" s="16"/>
      <c r="TN24" s="16"/>
      <c r="TO24" s="16"/>
      <c r="TP24" s="16"/>
      <c r="TQ24" s="16"/>
      <c r="TR24" s="16"/>
      <c r="TS24" s="16"/>
      <c r="TT24" s="16"/>
      <c r="TU24" s="16"/>
      <c r="TV24" s="16"/>
      <c r="TW24" s="16"/>
      <c r="TX24" s="16"/>
      <c r="TY24" s="16"/>
      <c r="TZ24" s="16"/>
      <c r="UA24" s="16"/>
      <c r="UB24" s="16"/>
      <c r="UC24" s="16"/>
      <c r="UD24" s="16"/>
      <c r="UE24" s="16"/>
      <c r="UF24" s="16"/>
      <c r="UG24" s="16"/>
      <c r="UH24" s="16"/>
      <c r="UI24" s="16"/>
      <c r="UJ24" s="16"/>
      <c r="UK24" s="16"/>
      <c r="UL24" s="16"/>
      <c r="UM24" s="16"/>
      <c r="UN24" s="16"/>
      <c r="UO24" s="16"/>
      <c r="UP24" s="16"/>
      <c r="UQ24" s="16"/>
      <c r="UR24" s="16"/>
      <c r="US24" s="16"/>
      <c r="UT24" s="16"/>
      <c r="UU24" s="16"/>
      <c r="UV24" s="16"/>
      <c r="UW24" s="16"/>
      <c r="UX24" s="16"/>
      <c r="UY24" s="16"/>
      <c r="UZ24" s="16"/>
      <c r="VA24" s="16"/>
      <c r="VB24" s="16"/>
      <c r="VC24" s="16"/>
      <c r="VD24" s="16"/>
      <c r="VE24" s="16"/>
      <c r="VF24" s="16"/>
      <c r="VG24" s="16"/>
      <c r="VH24" s="16"/>
      <c r="VI24" s="16"/>
      <c r="VJ24" s="16"/>
      <c r="VK24" s="16"/>
      <c r="VL24" s="16"/>
      <c r="VM24" s="16"/>
      <c r="VN24" s="16"/>
      <c r="VO24" s="16"/>
      <c r="VP24" s="16"/>
      <c r="VQ24" s="16"/>
      <c r="VR24" s="16"/>
      <c r="VS24" s="16"/>
      <c r="VT24" s="16"/>
      <c r="VU24" s="16"/>
      <c r="VV24" s="16"/>
      <c r="VW24" s="16"/>
      <c r="VX24" s="16"/>
      <c r="VY24" s="16"/>
      <c r="VZ24" s="16"/>
      <c r="WA24" s="16"/>
      <c r="WB24" s="16"/>
      <c r="WC24" s="16"/>
      <c r="WD24" s="16"/>
      <c r="WE24" s="16"/>
      <c r="WF24" s="16"/>
      <c r="WG24" s="16"/>
      <c r="WH24" s="16"/>
      <c r="WI24" s="16"/>
      <c r="WJ24" s="16"/>
      <c r="WK24" s="16"/>
      <c r="WL24" s="16"/>
      <c r="WM24" s="16"/>
      <c r="WN24" s="16"/>
      <c r="WO24" s="16"/>
      <c r="WP24" s="16"/>
      <c r="WQ24" s="16"/>
      <c r="WR24" s="16"/>
      <c r="WS24" s="16"/>
      <c r="WT24" s="16"/>
      <c r="WU24" s="16"/>
      <c r="WV24" s="16"/>
      <c r="WW24" s="16"/>
      <c r="WX24" s="16"/>
      <c r="WY24" s="16"/>
      <c r="WZ24" s="16"/>
      <c r="XA24" s="16"/>
      <c r="XB24" s="16"/>
      <c r="XC24" s="16"/>
      <c r="XD24" s="16"/>
      <c r="XE24" s="16"/>
      <c r="XF24" s="16"/>
      <c r="XG24" s="16"/>
      <c r="XH24" s="16"/>
      <c r="XI24" s="16"/>
      <c r="XJ24" s="16"/>
      <c r="XK24" s="16"/>
      <c r="XL24" s="16"/>
      <c r="XM24" s="16"/>
      <c r="XN24" s="16"/>
      <c r="XO24" s="16"/>
      <c r="XP24" s="16"/>
      <c r="XQ24" s="16"/>
      <c r="XR24" s="16"/>
      <c r="XS24" s="16"/>
      <c r="XT24" s="16"/>
      <c r="XU24" s="16"/>
      <c r="XV24" s="16"/>
      <c r="XW24" s="16"/>
      <c r="XX24" s="16"/>
      <c r="XY24" s="16"/>
      <c r="XZ24" s="16"/>
      <c r="YA24" s="16"/>
      <c r="YB24" s="16"/>
      <c r="YC24" s="16"/>
      <c r="YD24" s="16"/>
      <c r="YE24" s="16"/>
      <c r="YF24" s="16"/>
      <c r="YG24" s="16"/>
      <c r="YH24" s="16"/>
      <c r="YI24" s="16"/>
      <c r="YJ24" s="16"/>
      <c r="YK24" s="16"/>
      <c r="YL24" s="16"/>
      <c r="YM24" s="16"/>
      <c r="YN24" s="16"/>
      <c r="YO24" s="16"/>
      <c r="YP24" s="16"/>
      <c r="YQ24" s="16"/>
      <c r="YR24" s="16"/>
      <c r="YS24" s="16"/>
      <c r="YT24" s="16"/>
      <c r="YU24" s="16"/>
      <c r="YV24" s="16"/>
      <c r="YW24" s="16"/>
      <c r="YX24" s="16"/>
      <c r="YY24" s="16"/>
      <c r="YZ24" s="16"/>
      <c r="ZA24" s="16"/>
      <c r="ZB24" s="16"/>
      <c r="ZC24" s="16"/>
      <c r="ZD24" s="16"/>
      <c r="ZE24" s="16"/>
      <c r="ZF24" s="16"/>
      <c r="ZG24" s="16"/>
      <c r="ZH24" s="16"/>
      <c r="ZI24" s="16"/>
      <c r="ZJ24" s="16"/>
      <c r="ZK24" s="16"/>
      <c r="ZL24" s="16"/>
      <c r="ZM24" s="16"/>
      <c r="ZN24" s="16"/>
      <c r="ZO24" s="16"/>
      <c r="ZP24" s="16"/>
      <c r="ZQ24" s="16"/>
      <c r="ZR24" s="16"/>
      <c r="ZS24" s="16"/>
      <c r="ZT24" s="16"/>
      <c r="ZU24" s="16"/>
      <c r="ZV24" s="16"/>
      <c r="ZW24" s="16"/>
      <c r="ZX24" s="16"/>
      <c r="ZY24" s="16"/>
      <c r="ZZ24" s="16"/>
      <c r="AAA24" s="16"/>
      <c r="AAB24" s="16"/>
      <c r="AAC24" s="16"/>
      <c r="AAD24" s="16"/>
      <c r="AAE24" s="16"/>
      <c r="AAF24" s="16"/>
      <c r="AAG24" s="16"/>
      <c r="AAH24" s="16"/>
      <c r="AAI24" s="16"/>
      <c r="AAJ24" s="16"/>
      <c r="AAK24" s="16"/>
      <c r="AAL24" s="16"/>
      <c r="AAM24" s="16"/>
      <c r="AAN24" s="16"/>
      <c r="AAO24" s="16"/>
      <c r="AAP24" s="16"/>
      <c r="AAQ24" s="16"/>
      <c r="AAR24" s="16"/>
      <c r="AAS24" s="16"/>
      <c r="AAT24" s="16"/>
      <c r="AAU24" s="16"/>
      <c r="AAV24" s="16"/>
      <c r="AAW24" s="16"/>
      <c r="AAX24" s="16"/>
      <c r="AAY24" s="16"/>
      <c r="AAZ24" s="16"/>
      <c r="ABA24" s="16"/>
      <c r="ABB24" s="16"/>
      <c r="ABC24" s="16"/>
      <c r="ABD24" s="16"/>
      <c r="ABE24" s="16"/>
      <c r="ABF24" s="16"/>
      <c r="ABG24" s="16"/>
      <c r="ABH24" s="16"/>
      <c r="ABI24" s="16"/>
      <c r="ABJ24" s="16"/>
      <c r="ABK24" s="16"/>
      <c r="ABL24" s="16"/>
      <c r="ABM24" s="16"/>
      <c r="ABN24" s="16"/>
      <c r="ABO24" s="16"/>
      <c r="ABP24" s="16"/>
      <c r="ABQ24" s="16"/>
      <c r="ABR24" s="16"/>
      <c r="ABS24" s="16"/>
      <c r="ABT24" s="16"/>
    </row>
    <row r="25" spans="1:748" s="15" customFormat="1" ht="18" customHeight="1" x14ac:dyDescent="0.2">
      <c r="A25" s="44" t="s">
        <v>276</v>
      </c>
      <c r="B25" s="77"/>
      <c r="C25" s="141"/>
      <c r="D25" s="16"/>
      <c r="E25" s="16"/>
      <c r="F25" s="16"/>
      <c r="G25" s="16"/>
      <c r="H25" s="16"/>
      <c r="I25" s="16"/>
      <c r="J25" s="16"/>
      <c r="K25" s="16"/>
      <c r="L25" s="16"/>
      <c r="M25" s="16"/>
      <c r="N25" s="16"/>
      <c r="O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16"/>
      <c r="II25" s="16"/>
      <c r="IJ25" s="16"/>
      <c r="IK25" s="16"/>
      <c r="IL25" s="16"/>
      <c r="IM25" s="16"/>
      <c r="IN25" s="16"/>
      <c r="IO25" s="16"/>
      <c r="IP25" s="16"/>
      <c r="IQ25" s="16"/>
      <c r="IR25" s="16"/>
      <c r="IS25" s="16"/>
      <c r="IT25" s="16"/>
      <c r="IU25" s="16"/>
      <c r="IV25" s="16"/>
      <c r="IW25" s="16"/>
      <c r="IX25" s="16"/>
      <c r="IY25" s="16"/>
      <c r="IZ25" s="16"/>
      <c r="JA25" s="16"/>
      <c r="JB25" s="16"/>
      <c r="JC25" s="16"/>
      <c r="JD25" s="16"/>
      <c r="JE25" s="16"/>
      <c r="JF25" s="16"/>
      <c r="JG25" s="16"/>
      <c r="JH25" s="16"/>
      <c r="JI25" s="16"/>
      <c r="JJ25" s="16"/>
      <c r="JK25" s="16"/>
      <c r="JL25" s="16"/>
      <c r="JM25" s="16"/>
      <c r="JN25" s="16"/>
      <c r="JO25" s="16"/>
      <c r="JP25" s="16"/>
      <c r="JQ25" s="16"/>
      <c r="JR25" s="16"/>
      <c r="JS25" s="16"/>
      <c r="JT25" s="16"/>
      <c r="JU25" s="16"/>
      <c r="JV25" s="16"/>
      <c r="JW25" s="16"/>
      <c r="JX25" s="16"/>
      <c r="JY25" s="16"/>
      <c r="JZ25" s="16"/>
      <c r="KA25" s="16"/>
      <c r="KB25" s="16"/>
      <c r="KC25" s="16"/>
      <c r="KD25" s="16"/>
      <c r="KE25" s="16"/>
      <c r="KF25" s="16"/>
      <c r="KG25" s="16"/>
      <c r="KH25" s="16"/>
      <c r="KI25" s="16"/>
      <c r="KJ25" s="16"/>
      <c r="KK25" s="16"/>
      <c r="KL25" s="16"/>
      <c r="KM25" s="16"/>
      <c r="KN25" s="16"/>
      <c r="KO25" s="16"/>
      <c r="KP25" s="16"/>
      <c r="KQ25" s="16"/>
      <c r="KR25" s="16"/>
      <c r="KS25" s="16"/>
      <c r="KT25" s="16"/>
      <c r="KU25" s="16"/>
      <c r="KV25" s="16"/>
      <c r="KW25" s="16"/>
      <c r="KX25" s="16"/>
      <c r="KY25" s="16"/>
      <c r="KZ25" s="16"/>
      <c r="LA25" s="16"/>
      <c r="LB25" s="16"/>
      <c r="LC25" s="16"/>
      <c r="LD25" s="16"/>
      <c r="LE25" s="16"/>
      <c r="LF25" s="16"/>
      <c r="LG25" s="16"/>
      <c r="LH25" s="16"/>
      <c r="LI25" s="16"/>
      <c r="LJ25" s="16"/>
      <c r="LK25" s="16"/>
      <c r="LL25" s="16"/>
      <c r="LM25" s="16"/>
      <c r="LN25" s="16"/>
      <c r="LO25" s="16"/>
      <c r="LP25" s="16"/>
      <c r="LQ25" s="16"/>
      <c r="LR25" s="16"/>
      <c r="LS25" s="16"/>
      <c r="LT25" s="16"/>
      <c r="LU25" s="16"/>
      <c r="LV25" s="16"/>
      <c r="LW25" s="16"/>
      <c r="LX25" s="16"/>
      <c r="LY25" s="16"/>
      <c r="LZ25" s="16"/>
      <c r="MA25" s="16"/>
      <c r="MB25" s="16"/>
      <c r="MC25" s="16"/>
      <c r="MD25" s="16"/>
      <c r="ME25" s="16"/>
      <c r="MF25" s="16"/>
      <c r="MG25" s="16"/>
      <c r="MH25" s="16"/>
      <c r="MI25" s="16"/>
      <c r="MJ25" s="16"/>
      <c r="MK25" s="16"/>
      <c r="ML25" s="16"/>
      <c r="MM25" s="16"/>
      <c r="MN25" s="16"/>
      <c r="MO25" s="16"/>
      <c r="MP25" s="16"/>
      <c r="MQ25" s="16"/>
      <c r="MR25" s="16"/>
      <c r="MS25" s="16"/>
      <c r="MT25" s="16"/>
      <c r="MU25" s="16"/>
      <c r="MV25" s="16"/>
      <c r="MW25" s="16"/>
      <c r="MX25" s="16"/>
      <c r="MY25" s="16"/>
      <c r="MZ25" s="16"/>
      <c r="NA25" s="16"/>
      <c r="NB25" s="16"/>
      <c r="NC25" s="16"/>
      <c r="ND25" s="16"/>
      <c r="NE25" s="16"/>
      <c r="NF25" s="16"/>
      <c r="NG25" s="16"/>
      <c r="NH25" s="16"/>
      <c r="NI25" s="16"/>
      <c r="NJ25" s="16"/>
      <c r="NK25" s="16"/>
      <c r="NL25" s="16"/>
      <c r="NM25" s="16"/>
      <c r="NN25" s="16"/>
      <c r="NO25" s="16"/>
      <c r="NP25" s="16"/>
      <c r="NQ25" s="16"/>
      <c r="NR25" s="16"/>
      <c r="NS25" s="16"/>
      <c r="NT25" s="16"/>
      <c r="NU25" s="16"/>
      <c r="NV25" s="16"/>
      <c r="NW25" s="16"/>
      <c r="NX25" s="16"/>
      <c r="NY25" s="16"/>
      <c r="NZ25" s="16"/>
      <c r="OA25" s="16"/>
      <c r="OB25" s="16"/>
      <c r="OC25" s="16"/>
      <c r="OD25" s="16"/>
      <c r="OE25" s="16"/>
      <c r="OF25" s="16"/>
      <c r="OG25" s="16"/>
      <c r="OH25" s="16"/>
      <c r="OI25" s="16"/>
      <c r="OJ25" s="16"/>
      <c r="OK25" s="16"/>
      <c r="OL25" s="16"/>
      <c r="OM25" s="16"/>
      <c r="ON25" s="16"/>
      <c r="OO25" s="16"/>
      <c r="OP25" s="16"/>
      <c r="OQ25" s="16"/>
      <c r="OR25" s="16"/>
      <c r="OS25" s="16"/>
      <c r="OT25" s="16"/>
      <c r="OU25" s="16"/>
      <c r="OV25" s="16"/>
      <c r="OW25" s="16"/>
      <c r="OX25" s="16"/>
      <c r="OY25" s="16"/>
      <c r="OZ25" s="16"/>
      <c r="PA25" s="16"/>
      <c r="PB25" s="16"/>
      <c r="PC25" s="16"/>
      <c r="PD25" s="16"/>
      <c r="PE25" s="16"/>
      <c r="PF25" s="16"/>
      <c r="PG25" s="16"/>
      <c r="PH25" s="16"/>
      <c r="PI25" s="16"/>
      <c r="PJ25" s="16"/>
      <c r="PK25" s="16"/>
      <c r="PL25" s="16"/>
      <c r="PM25" s="16"/>
      <c r="PN25" s="16"/>
      <c r="PO25" s="16"/>
      <c r="PP25" s="16"/>
      <c r="PQ25" s="16"/>
      <c r="PR25" s="16"/>
      <c r="PS25" s="16"/>
      <c r="PT25" s="16"/>
      <c r="PU25" s="16"/>
      <c r="PV25" s="16"/>
      <c r="PW25" s="16"/>
      <c r="PX25" s="16"/>
      <c r="PY25" s="16"/>
      <c r="PZ25" s="16"/>
      <c r="QA25" s="16"/>
      <c r="QB25" s="16"/>
      <c r="QC25" s="16"/>
      <c r="QD25" s="16"/>
      <c r="QE25" s="16"/>
      <c r="QF25" s="16"/>
      <c r="QG25" s="16"/>
      <c r="QH25" s="16"/>
      <c r="QI25" s="16"/>
      <c r="QJ25" s="16"/>
      <c r="QK25" s="16"/>
      <c r="QL25" s="16"/>
      <c r="QM25" s="16"/>
      <c r="QN25" s="16"/>
      <c r="QO25" s="16"/>
      <c r="QP25" s="16"/>
      <c r="QQ25" s="16"/>
      <c r="QR25" s="16"/>
      <c r="QS25" s="16"/>
      <c r="QT25" s="16"/>
      <c r="QU25" s="16"/>
      <c r="QV25" s="16"/>
      <c r="QW25" s="16"/>
      <c r="QX25" s="16"/>
      <c r="QY25" s="16"/>
      <c r="QZ25" s="16"/>
      <c r="RA25" s="16"/>
      <c r="RB25" s="16"/>
      <c r="RC25" s="16"/>
      <c r="RD25" s="16"/>
      <c r="RE25" s="16"/>
      <c r="RF25" s="16"/>
      <c r="RG25" s="16"/>
      <c r="RH25" s="16"/>
      <c r="RI25" s="16"/>
      <c r="RJ25" s="16"/>
      <c r="RK25" s="16"/>
      <c r="RL25" s="16"/>
      <c r="RM25" s="16"/>
      <c r="RN25" s="16"/>
      <c r="RO25" s="16"/>
      <c r="RP25" s="16"/>
      <c r="RQ25" s="16"/>
      <c r="RR25" s="16"/>
      <c r="RS25" s="16"/>
      <c r="RT25" s="16"/>
      <c r="RU25" s="16"/>
      <c r="RV25" s="16"/>
      <c r="RW25" s="16"/>
      <c r="RX25" s="16"/>
      <c r="RY25" s="16"/>
      <c r="RZ25" s="16"/>
      <c r="SA25" s="16"/>
      <c r="SB25" s="16"/>
      <c r="SC25" s="16"/>
      <c r="SD25" s="16"/>
      <c r="SE25" s="16"/>
      <c r="SF25" s="16"/>
      <c r="SG25" s="16"/>
      <c r="SH25" s="16"/>
      <c r="SI25" s="16"/>
      <c r="SJ25" s="16"/>
      <c r="SK25" s="16"/>
      <c r="SL25" s="16"/>
      <c r="SM25" s="16"/>
      <c r="SN25" s="16"/>
      <c r="SO25" s="16"/>
      <c r="SP25" s="16"/>
      <c r="SQ25" s="16"/>
      <c r="SR25" s="16"/>
      <c r="SS25" s="16"/>
      <c r="ST25" s="16"/>
      <c r="SU25" s="16"/>
      <c r="SV25" s="16"/>
      <c r="SW25" s="16"/>
      <c r="SX25" s="16"/>
      <c r="SY25" s="16"/>
      <c r="SZ25" s="16"/>
      <c r="TA25" s="16"/>
      <c r="TB25" s="16"/>
      <c r="TC25" s="16"/>
      <c r="TD25" s="16"/>
      <c r="TE25" s="16"/>
      <c r="TF25" s="16"/>
      <c r="TG25" s="16"/>
      <c r="TH25" s="16"/>
      <c r="TI25" s="16"/>
      <c r="TJ25" s="16"/>
      <c r="TK25" s="16"/>
      <c r="TL25" s="16"/>
      <c r="TM25" s="16"/>
      <c r="TN25" s="16"/>
      <c r="TO25" s="16"/>
      <c r="TP25" s="16"/>
      <c r="TQ25" s="16"/>
      <c r="TR25" s="16"/>
      <c r="TS25" s="16"/>
      <c r="TT25" s="16"/>
      <c r="TU25" s="16"/>
      <c r="TV25" s="16"/>
      <c r="TW25" s="16"/>
      <c r="TX25" s="16"/>
      <c r="TY25" s="16"/>
      <c r="TZ25" s="16"/>
      <c r="UA25" s="16"/>
      <c r="UB25" s="16"/>
      <c r="UC25" s="16"/>
      <c r="UD25" s="16"/>
      <c r="UE25" s="16"/>
      <c r="UF25" s="16"/>
      <c r="UG25" s="16"/>
      <c r="UH25" s="16"/>
      <c r="UI25" s="16"/>
      <c r="UJ25" s="16"/>
      <c r="UK25" s="16"/>
      <c r="UL25" s="16"/>
      <c r="UM25" s="16"/>
      <c r="UN25" s="16"/>
      <c r="UO25" s="16"/>
      <c r="UP25" s="16"/>
      <c r="UQ25" s="16"/>
      <c r="UR25" s="16"/>
      <c r="US25" s="16"/>
      <c r="UT25" s="16"/>
      <c r="UU25" s="16"/>
      <c r="UV25" s="16"/>
      <c r="UW25" s="16"/>
      <c r="UX25" s="16"/>
      <c r="UY25" s="16"/>
      <c r="UZ25" s="16"/>
      <c r="VA25" s="16"/>
      <c r="VB25" s="16"/>
      <c r="VC25" s="16"/>
      <c r="VD25" s="16"/>
      <c r="VE25" s="16"/>
      <c r="VF25" s="16"/>
      <c r="VG25" s="16"/>
      <c r="VH25" s="16"/>
      <c r="VI25" s="16"/>
      <c r="VJ25" s="16"/>
      <c r="VK25" s="16"/>
      <c r="VL25" s="16"/>
      <c r="VM25" s="16"/>
      <c r="VN25" s="16"/>
      <c r="VO25" s="16"/>
      <c r="VP25" s="16"/>
      <c r="VQ25" s="16"/>
      <c r="VR25" s="16"/>
      <c r="VS25" s="16"/>
      <c r="VT25" s="16"/>
      <c r="VU25" s="16"/>
      <c r="VV25" s="16"/>
      <c r="VW25" s="16"/>
      <c r="VX25" s="16"/>
      <c r="VY25" s="16"/>
      <c r="VZ25" s="16"/>
      <c r="WA25" s="16"/>
      <c r="WB25" s="16"/>
      <c r="WC25" s="16"/>
      <c r="WD25" s="16"/>
      <c r="WE25" s="16"/>
      <c r="WF25" s="16"/>
      <c r="WG25" s="16"/>
      <c r="WH25" s="16"/>
      <c r="WI25" s="16"/>
      <c r="WJ25" s="16"/>
      <c r="WK25" s="16"/>
      <c r="WL25" s="16"/>
      <c r="WM25" s="16"/>
      <c r="WN25" s="16"/>
      <c r="WO25" s="16"/>
      <c r="WP25" s="16"/>
      <c r="WQ25" s="16"/>
      <c r="WR25" s="16"/>
      <c r="WS25" s="16"/>
      <c r="WT25" s="16"/>
      <c r="WU25" s="16"/>
      <c r="WV25" s="16"/>
      <c r="WW25" s="16"/>
      <c r="WX25" s="16"/>
      <c r="WY25" s="16"/>
      <c r="WZ25" s="16"/>
      <c r="XA25" s="16"/>
      <c r="XB25" s="16"/>
      <c r="XC25" s="16"/>
      <c r="XD25" s="16"/>
      <c r="XE25" s="16"/>
      <c r="XF25" s="16"/>
      <c r="XG25" s="16"/>
      <c r="XH25" s="16"/>
      <c r="XI25" s="16"/>
      <c r="XJ25" s="16"/>
      <c r="XK25" s="16"/>
      <c r="XL25" s="16"/>
      <c r="XM25" s="16"/>
      <c r="XN25" s="16"/>
      <c r="XO25" s="16"/>
      <c r="XP25" s="16"/>
      <c r="XQ25" s="16"/>
      <c r="XR25" s="16"/>
      <c r="XS25" s="16"/>
      <c r="XT25" s="16"/>
      <c r="XU25" s="16"/>
      <c r="XV25" s="16"/>
      <c r="XW25" s="16"/>
      <c r="XX25" s="16"/>
      <c r="XY25" s="16"/>
      <c r="XZ25" s="16"/>
      <c r="YA25" s="16"/>
      <c r="YB25" s="16"/>
      <c r="YC25" s="16"/>
      <c r="YD25" s="16"/>
      <c r="YE25" s="16"/>
      <c r="YF25" s="16"/>
      <c r="YG25" s="16"/>
      <c r="YH25" s="16"/>
      <c r="YI25" s="16"/>
      <c r="YJ25" s="16"/>
      <c r="YK25" s="16"/>
      <c r="YL25" s="16"/>
      <c r="YM25" s="16"/>
      <c r="YN25" s="16"/>
      <c r="YO25" s="16"/>
      <c r="YP25" s="16"/>
      <c r="YQ25" s="16"/>
      <c r="YR25" s="16"/>
      <c r="YS25" s="16"/>
      <c r="YT25" s="16"/>
      <c r="YU25" s="16"/>
      <c r="YV25" s="16"/>
      <c r="YW25" s="16"/>
      <c r="YX25" s="16"/>
      <c r="YY25" s="16"/>
      <c r="YZ25" s="16"/>
      <c r="ZA25" s="16"/>
      <c r="ZB25" s="16"/>
      <c r="ZC25" s="16"/>
      <c r="ZD25" s="16"/>
      <c r="ZE25" s="16"/>
      <c r="ZF25" s="16"/>
      <c r="ZG25" s="16"/>
      <c r="ZH25" s="16"/>
      <c r="ZI25" s="16"/>
      <c r="ZJ25" s="16"/>
      <c r="ZK25" s="16"/>
      <c r="ZL25" s="16"/>
      <c r="ZM25" s="16"/>
      <c r="ZN25" s="16"/>
      <c r="ZO25" s="16"/>
      <c r="ZP25" s="16"/>
      <c r="ZQ25" s="16"/>
      <c r="ZR25" s="16"/>
      <c r="ZS25" s="16"/>
      <c r="ZT25" s="16"/>
      <c r="ZU25" s="16"/>
      <c r="ZV25" s="16"/>
      <c r="ZW25" s="16"/>
      <c r="ZX25" s="16"/>
      <c r="ZY25" s="16"/>
      <c r="ZZ25" s="16"/>
      <c r="AAA25" s="16"/>
      <c r="AAB25" s="16"/>
      <c r="AAC25" s="16"/>
      <c r="AAD25" s="16"/>
      <c r="AAE25" s="16"/>
      <c r="AAF25" s="16"/>
      <c r="AAG25" s="16"/>
      <c r="AAH25" s="16"/>
      <c r="AAI25" s="16"/>
      <c r="AAJ25" s="16"/>
      <c r="AAK25" s="16"/>
      <c r="AAL25" s="16"/>
      <c r="AAM25" s="16"/>
      <c r="AAN25" s="16"/>
      <c r="AAO25" s="16"/>
      <c r="AAP25" s="16"/>
      <c r="AAQ25" s="16"/>
      <c r="AAR25" s="16"/>
      <c r="AAS25" s="16"/>
      <c r="AAT25" s="16"/>
      <c r="AAU25" s="16"/>
      <c r="AAV25" s="16"/>
      <c r="AAW25" s="16"/>
      <c r="AAX25" s="16"/>
      <c r="AAY25" s="16"/>
      <c r="AAZ25" s="16"/>
      <c r="ABA25" s="16"/>
      <c r="ABB25" s="16"/>
      <c r="ABC25" s="16"/>
      <c r="ABD25" s="16"/>
      <c r="ABE25" s="16"/>
      <c r="ABF25" s="16"/>
      <c r="ABG25" s="16"/>
      <c r="ABH25" s="16"/>
      <c r="ABI25" s="16"/>
      <c r="ABJ25" s="16"/>
      <c r="ABK25" s="16"/>
      <c r="ABL25" s="16"/>
      <c r="ABM25" s="16"/>
      <c r="ABN25" s="16"/>
      <c r="ABO25" s="16"/>
      <c r="ABP25" s="16"/>
      <c r="ABQ25" s="16"/>
      <c r="ABR25" s="16"/>
      <c r="ABS25" s="16"/>
      <c r="ABT25" s="16"/>
    </row>
    <row r="26" spans="1:748" s="15" customFormat="1" ht="18" customHeight="1" x14ac:dyDescent="0.2">
      <c r="A26" s="57" t="s">
        <v>262</v>
      </c>
      <c r="B26" s="25"/>
      <c r="C26" s="238"/>
      <c r="D26" s="238"/>
      <c r="E26" s="238"/>
      <c r="F26" s="238"/>
      <c r="G26" s="238"/>
      <c r="H26" s="238"/>
      <c r="I26" s="238"/>
      <c r="J26" s="238"/>
      <c r="K26" s="238"/>
      <c r="L26" s="238"/>
      <c r="M26" s="238"/>
      <c r="N26" s="238"/>
      <c r="O26" s="238"/>
      <c r="P26" s="238"/>
      <c r="Q26" s="238"/>
      <c r="R26" s="238"/>
      <c r="S26" s="238"/>
      <c r="T26" s="238"/>
      <c r="U26" s="238"/>
      <c r="V26" s="238"/>
      <c r="W26" s="238"/>
      <c r="X26" s="238"/>
      <c r="Y26" s="238"/>
      <c r="Z26" s="238"/>
      <c r="AA26" s="238"/>
      <c r="AB26" s="238"/>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c r="IX26" s="16"/>
      <c r="IY26" s="16"/>
      <c r="IZ26" s="16"/>
      <c r="JA26" s="16"/>
      <c r="JB26" s="16"/>
      <c r="JC26" s="16"/>
      <c r="JD26" s="16"/>
      <c r="JE26" s="16"/>
      <c r="JF26" s="16"/>
      <c r="JG26" s="16"/>
      <c r="JH26" s="16"/>
      <c r="JI26" s="16"/>
      <c r="JJ26" s="16"/>
      <c r="JK26" s="16"/>
      <c r="JL26" s="16"/>
      <c r="JM26" s="16"/>
      <c r="JN26" s="16"/>
      <c r="JO26" s="16"/>
      <c r="JP26" s="16"/>
      <c r="JQ26" s="16"/>
      <c r="JR26" s="16"/>
      <c r="JS26" s="16"/>
      <c r="JT26" s="16"/>
      <c r="JU26" s="16"/>
      <c r="JV26" s="16"/>
      <c r="JW26" s="16"/>
      <c r="JX26" s="16"/>
      <c r="JY26" s="16"/>
      <c r="JZ26" s="16"/>
      <c r="KA26" s="16"/>
      <c r="KB26" s="16"/>
      <c r="KC26" s="16"/>
      <c r="KD26" s="16"/>
      <c r="KE26" s="16"/>
      <c r="KF26" s="16"/>
      <c r="KG26" s="16"/>
      <c r="KH26" s="16"/>
      <c r="KI26" s="16"/>
      <c r="KJ26" s="16"/>
      <c r="KK26" s="16"/>
      <c r="KL26" s="16"/>
      <c r="KM26" s="16"/>
      <c r="KN26" s="16"/>
      <c r="KO26" s="16"/>
      <c r="KP26" s="16"/>
      <c r="KQ26" s="16"/>
      <c r="KR26" s="16"/>
      <c r="KS26" s="16"/>
      <c r="KT26" s="16"/>
      <c r="KU26" s="16"/>
      <c r="KV26" s="16"/>
      <c r="KW26" s="16"/>
      <c r="KX26" s="16"/>
      <c r="KY26" s="16"/>
      <c r="KZ26" s="16"/>
      <c r="LA26" s="16"/>
      <c r="LB26" s="16"/>
      <c r="LC26" s="16"/>
      <c r="LD26" s="16"/>
      <c r="LE26" s="16"/>
      <c r="LF26" s="16"/>
      <c r="LG26" s="16"/>
      <c r="LH26" s="16"/>
      <c r="LI26" s="16"/>
      <c r="LJ26" s="16"/>
      <c r="LK26" s="16"/>
      <c r="LL26" s="16"/>
      <c r="LM26" s="16"/>
      <c r="LN26" s="16"/>
      <c r="LO26" s="16"/>
      <c r="LP26" s="16"/>
      <c r="LQ26" s="16"/>
      <c r="LR26" s="16"/>
      <c r="LS26" s="16"/>
      <c r="LT26" s="16"/>
      <c r="LU26" s="16"/>
      <c r="LV26" s="16"/>
      <c r="LW26" s="16"/>
      <c r="LX26" s="16"/>
      <c r="LY26" s="16"/>
      <c r="LZ26" s="16"/>
      <c r="MA26" s="16"/>
      <c r="MB26" s="16"/>
      <c r="MC26" s="16"/>
      <c r="MD26" s="16"/>
      <c r="ME26" s="16"/>
      <c r="MF26" s="16"/>
      <c r="MG26" s="16"/>
      <c r="MH26" s="16"/>
      <c r="MI26" s="16"/>
      <c r="MJ26" s="16"/>
      <c r="MK26" s="16"/>
      <c r="ML26" s="16"/>
      <c r="MM26" s="16"/>
      <c r="MN26" s="16"/>
      <c r="MO26" s="16"/>
      <c r="MP26" s="16"/>
      <c r="MQ26" s="16"/>
      <c r="MR26" s="16"/>
      <c r="MS26" s="16"/>
      <c r="MT26" s="16"/>
      <c r="MU26" s="16"/>
      <c r="MV26" s="16"/>
      <c r="MW26" s="16"/>
      <c r="MX26" s="16"/>
      <c r="MY26" s="16"/>
      <c r="MZ26" s="16"/>
      <c r="NA26" s="16"/>
      <c r="NB26" s="16"/>
      <c r="NC26" s="16"/>
      <c r="ND26" s="16"/>
      <c r="NE26" s="16"/>
      <c r="NF26" s="16"/>
      <c r="NG26" s="16"/>
      <c r="NH26" s="16"/>
      <c r="NI26" s="16"/>
      <c r="NJ26" s="16"/>
      <c r="NK26" s="16"/>
      <c r="NL26" s="16"/>
      <c r="NM26" s="16"/>
      <c r="NN26" s="16"/>
      <c r="NO26" s="16"/>
      <c r="NP26" s="16"/>
      <c r="NQ26" s="16"/>
      <c r="NR26" s="16"/>
      <c r="NS26" s="16"/>
      <c r="NT26" s="16"/>
      <c r="NU26" s="16"/>
      <c r="NV26" s="16"/>
      <c r="NW26" s="16"/>
      <c r="NX26" s="16"/>
      <c r="NY26" s="16"/>
      <c r="NZ26" s="16"/>
      <c r="OA26" s="16"/>
      <c r="OB26" s="16"/>
      <c r="OC26" s="16"/>
      <c r="OD26" s="16"/>
      <c r="OE26" s="16"/>
      <c r="OF26" s="16"/>
      <c r="OG26" s="16"/>
      <c r="OH26" s="16"/>
      <c r="OI26" s="16"/>
      <c r="OJ26" s="16"/>
      <c r="OK26" s="16"/>
      <c r="OL26" s="16"/>
      <c r="OM26" s="16"/>
      <c r="ON26" s="16"/>
      <c r="OO26" s="16"/>
      <c r="OP26" s="16"/>
      <c r="OQ26" s="16"/>
      <c r="OR26" s="16"/>
      <c r="OS26" s="16"/>
      <c r="OT26" s="16"/>
      <c r="OU26" s="16"/>
      <c r="OV26" s="16"/>
      <c r="OW26" s="16"/>
      <c r="OX26" s="16"/>
      <c r="OY26" s="16"/>
      <c r="OZ26" s="16"/>
      <c r="PA26" s="16"/>
      <c r="PB26" s="16"/>
      <c r="PC26" s="16"/>
      <c r="PD26" s="16"/>
      <c r="PE26" s="16"/>
      <c r="PF26" s="16"/>
      <c r="PG26" s="16"/>
      <c r="PH26" s="16"/>
      <c r="PI26" s="16"/>
      <c r="PJ26" s="16"/>
      <c r="PK26" s="16"/>
      <c r="PL26" s="16"/>
      <c r="PM26" s="16"/>
      <c r="PN26" s="16"/>
      <c r="PO26" s="16"/>
      <c r="PP26" s="16"/>
      <c r="PQ26" s="16"/>
      <c r="PR26" s="16"/>
      <c r="PS26" s="16"/>
      <c r="PT26" s="16"/>
      <c r="PU26" s="16"/>
      <c r="PV26" s="16"/>
      <c r="PW26" s="16"/>
      <c r="PX26" s="16"/>
      <c r="PY26" s="16"/>
      <c r="PZ26" s="16"/>
      <c r="QA26" s="16"/>
      <c r="QB26" s="16"/>
      <c r="QC26" s="16"/>
      <c r="QD26" s="16"/>
      <c r="QE26" s="16"/>
      <c r="QF26" s="16"/>
      <c r="QG26" s="16"/>
      <c r="QH26" s="16"/>
      <c r="QI26" s="16"/>
      <c r="QJ26" s="16"/>
      <c r="QK26" s="16"/>
      <c r="QL26" s="16"/>
      <c r="QM26" s="16"/>
      <c r="QN26" s="16"/>
      <c r="QO26" s="16"/>
      <c r="QP26" s="16"/>
      <c r="QQ26" s="16"/>
      <c r="QR26" s="16"/>
      <c r="QS26" s="16"/>
      <c r="QT26" s="16"/>
      <c r="QU26" s="16"/>
      <c r="QV26" s="16"/>
      <c r="QW26" s="16"/>
      <c r="QX26" s="16"/>
      <c r="QY26" s="16"/>
      <c r="QZ26" s="16"/>
      <c r="RA26" s="16"/>
      <c r="RB26" s="16"/>
      <c r="RC26" s="16"/>
      <c r="RD26" s="16"/>
      <c r="RE26" s="16"/>
      <c r="RF26" s="16"/>
      <c r="RG26" s="16"/>
      <c r="RH26" s="16"/>
      <c r="RI26" s="16"/>
      <c r="RJ26" s="16"/>
      <c r="RK26" s="16"/>
      <c r="RL26" s="16"/>
      <c r="RM26" s="16"/>
      <c r="RN26" s="16"/>
      <c r="RO26" s="16"/>
      <c r="RP26" s="16"/>
      <c r="RQ26" s="16"/>
      <c r="RR26" s="16"/>
      <c r="RS26" s="16"/>
      <c r="RT26" s="16"/>
      <c r="RU26" s="16"/>
      <c r="RV26" s="16"/>
      <c r="RW26" s="16"/>
      <c r="RX26" s="16"/>
      <c r="RY26" s="16"/>
      <c r="RZ26" s="16"/>
      <c r="SA26" s="16"/>
      <c r="SB26" s="16"/>
      <c r="SC26" s="16"/>
      <c r="SD26" s="16"/>
      <c r="SE26" s="16"/>
      <c r="SF26" s="16"/>
      <c r="SG26" s="16"/>
      <c r="SH26" s="16"/>
      <c r="SI26" s="16"/>
      <c r="SJ26" s="16"/>
      <c r="SK26" s="16"/>
      <c r="SL26" s="16"/>
      <c r="SM26" s="16"/>
      <c r="SN26" s="16"/>
      <c r="SO26" s="16"/>
      <c r="SP26" s="16"/>
      <c r="SQ26" s="16"/>
      <c r="SR26" s="16"/>
      <c r="SS26" s="16"/>
      <c r="ST26" s="16"/>
      <c r="SU26" s="16"/>
      <c r="SV26" s="16"/>
      <c r="SW26" s="16"/>
      <c r="SX26" s="16"/>
      <c r="SY26" s="16"/>
      <c r="SZ26" s="16"/>
      <c r="TA26" s="16"/>
      <c r="TB26" s="16"/>
      <c r="TC26" s="16"/>
      <c r="TD26" s="16"/>
      <c r="TE26" s="16"/>
      <c r="TF26" s="16"/>
      <c r="TG26" s="16"/>
      <c r="TH26" s="16"/>
      <c r="TI26" s="16"/>
      <c r="TJ26" s="16"/>
      <c r="TK26" s="16"/>
      <c r="TL26" s="16"/>
      <c r="TM26" s="16"/>
      <c r="TN26" s="16"/>
      <c r="TO26" s="16"/>
      <c r="TP26" s="16"/>
      <c r="TQ26" s="16"/>
      <c r="TR26" s="16"/>
      <c r="TS26" s="16"/>
      <c r="TT26" s="16"/>
      <c r="TU26" s="16"/>
      <c r="TV26" s="16"/>
      <c r="TW26" s="16"/>
      <c r="TX26" s="16"/>
      <c r="TY26" s="16"/>
      <c r="TZ26" s="16"/>
      <c r="UA26" s="16"/>
      <c r="UB26" s="16"/>
      <c r="UC26" s="16"/>
      <c r="UD26" s="16"/>
      <c r="UE26" s="16"/>
      <c r="UF26" s="16"/>
      <c r="UG26" s="16"/>
      <c r="UH26" s="16"/>
      <c r="UI26" s="16"/>
      <c r="UJ26" s="16"/>
      <c r="UK26" s="16"/>
      <c r="UL26" s="16"/>
      <c r="UM26" s="16"/>
      <c r="UN26" s="16"/>
      <c r="UO26" s="16"/>
      <c r="UP26" s="16"/>
      <c r="UQ26" s="16"/>
      <c r="UR26" s="16"/>
      <c r="US26" s="16"/>
      <c r="UT26" s="16"/>
      <c r="UU26" s="16"/>
      <c r="UV26" s="16"/>
      <c r="UW26" s="16"/>
      <c r="UX26" s="16"/>
      <c r="UY26" s="16"/>
      <c r="UZ26" s="16"/>
      <c r="VA26" s="16"/>
      <c r="VB26" s="16"/>
      <c r="VC26" s="16"/>
      <c r="VD26" s="16"/>
      <c r="VE26" s="16"/>
      <c r="VF26" s="16"/>
      <c r="VG26" s="16"/>
      <c r="VH26" s="16"/>
      <c r="VI26" s="16"/>
      <c r="VJ26" s="16"/>
      <c r="VK26" s="16"/>
      <c r="VL26" s="16"/>
      <c r="VM26" s="16"/>
      <c r="VN26" s="16"/>
      <c r="VO26" s="16"/>
      <c r="VP26" s="16"/>
      <c r="VQ26" s="16"/>
      <c r="VR26" s="16"/>
      <c r="VS26" s="16"/>
      <c r="VT26" s="16"/>
      <c r="VU26" s="16"/>
      <c r="VV26" s="16"/>
      <c r="VW26" s="16"/>
      <c r="VX26" s="16"/>
      <c r="VY26" s="16"/>
      <c r="VZ26" s="16"/>
      <c r="WA26" s="16"/>
      <c r="WB26" s="16"/>
      <c r="WC26" s="16"/>
      <c r="WD26" s="16"/>
      <c r="WE26" s="16"/>
      <c r="WF26" s="16"/>
      <c r="WG26" s="16"/>
      <c r="WH26" s="16"/>
      <c r="WI26" s="16"/>
      <c r="WJ26" s="16"/>
      <c r="WK26" s="16"/>
      <c r="WL26" s="16"/>
      <c r="WM26" s="16"/>
      <c r="WN26" s="16"/>
      <c r="WO26" s="16"/>
      <c r="WP26" s="16"/>
      <c r="WQ26" s="16"/>
      <c r="WR26" s="16"/>
      <c r="WS26" s="16"/>
      <c r="WT26" s="16"/>
      <c r="WU26" s="16"/>
      <c r="WV26" s="16"/>
      <c r="WW26" s="16"/>
      <c r="WX26" s="16"/>
      <c r="WY26" s="16"/>
      <c r="WZ26" s="16"/>
      <c r="XA26" s="16"/>
      <c r="XB26" s="16"/>
      <c r="XC26" s="16"/>
      <c r="XD26" s="16"/>
      <c r="XE26" s="16"/>
      <c r="XF26" s="16"/>
      <c r="XG26" s="16"/>
      <c r="XH26" s="16"/>
      <c r="XI26" s="16"/>
      <c r="XJ26" s="16"/>
      <c r="XK26" s="16"/>
      <c r="XL26" s="16"/>
      <c r="XM26" s="16"/>
      <c r="XN26" s="16"/>
      <c r="XO26" s="16"/>
      <c r="XP26" s="16"/>
      <c r="XQ26" s="16"/>
      <c r="XR26" s="16"/>
      <c r="XS26" s="16"/>
      <c r="XT26" s="16"/>
      <c r="XU26" s="16"/>
      <c r="XV26" s="16"/>
      <c r="XW26" s="16"/>
      <c r="XX26" s="16"/>
      <c r="XY26" s="16"/>
      <c r="XZ26" s="16"/>
      <c r="YA26" s="16"/>
      <c r="YB26" s="16"/>
      <c r="YC26" s="16"/>
      <c r="YD26" s="16"/>
      <c r="YE26" s="16"/>
      <c r="YF26" s="16"/>
      <c r="YG26" s="16"/>
      <c r="YH26" s="16"/>
      <c r="YI26" s="16"/>
      <c r="YJ26" s="16"/>
      <c r="YK26" s="16"/>
      <c r="YL26" s="16"/>
      <c r="YM26" s="16"/>
      <c r="YN26" s="16"/>
      <c r="YO26" s="16"/>
      <c r="YP26" s="16"/>
      <c r="YQ26" s="16"/>
      <c r="YR26" s="16"/>
      <c r="YS26" s="16"/>
      <c r="YT26" s="16"/>
      <c r="YU26" s="16"/>
      <c r="YV26" s="16"/>
      <c r="YW26" s="16"/>
      <c r="YX26" s="16"/>
      <c r="YY26" s="16"/>
      <c r="YZ26" s="16"/>
      <c r="ZA26" s="16"/>
      <c r="ZB26" s="16"/>
      <c r="ZC26" s="16"/>
      <c r="ZD26" s="16"/>
      <c r="ZE26" s="16"/>
      <c r="ZF26" s="16"/>
      <c r="ZG26" s="16"/>
      <c r="ZH26" s="16"/>
      <c r="ZI26" s="16"/>
      <c r="ZJ26" s="16"/>
      <c r="ZK26" s="16"/>
      <c r="ZL26" s="16"/>
      <c r="ZM26" s="16"/>
      <c r="ZN26" s="16"/>
      <c r="ZO26" s="16"/>
      <c r="ZP26" s="16"/>
      <c r="ZQ26" s="16"/>
      <c r="ZR26" s="16"/>
      <c r="ZS26" s="16"/>
      <c r="ZT26" s="16"/>
      <c r="ZU26" s="16"/>
      <c r="ZV26" s="16"/>
      <c r="ZW26" s="16"/>
      <c r="ZX26" s="16"/>
      <c r="ZY26" s="16"/>
      <c r="ZZ26" s="16"/>
      <c r="AAA26" s="16"/>
      <c r="AAB26" s="16"/>
      <c r="AAC26" s="16"/>
      <c r="AAD26" s="16"/>
      <c r="AAE26" s="16"/>
      <c r="AAF26" s="16"/>
      <c r="AAG26" s="16"/>
      <c r="AAH26" s="16"/>
      <c r="AAI26" s="16"/>
      <c r="AAJ26" s="16"/>
      <c r="AAK26" s="16"/>
      <c r="AAL26" s="16"/>
      <c r="AAM26" s="16"/>
      <c r="AAN26" s="16"/>
      <c r="AAO26" s="16"/>
      <c r="AAP26" s="16"/>
      <c r="AAQ26" s="16"/>
      <c r="AAR26" s="16"/>
      <c r="AAS26" s="16"/>
      <c r="AAT26" s="16"/>
      <c r="AAU26" s="16"/>
      <c r="AAV26" s="16"/>
      <c r="AAW26" s="16"/>
      <c r="AAX26" s="16"/>
      <c r="AAY26" s="16"/>
      <c r="AAZ26" s="16"/>
      <c r="ABA26" s="16"/>
      <c r="ABB26" s="16"/>
      <c r="ABC26" s="16"/>
      <c r="ABD26" s="16"/>
      <c r="ABE26" s="16"/>
      <c r="ABF26" s="16"/>
      <c r="ABG26" s="16"/>
      <c r="ABH26" s="16"/>
      <c r="ABI26" s="16"/>
      <c r="ABJ26" s="16"/>
      <c r="ABK26" s="16"/>
      <c r="ABL26" s="16"/>
      <c r="ABM26" s="16"/>
      <c r="ABN26" s="16"/>
      <c r="ABO26" s="16"/>
      <c r="ABP26" s="16"/>
      <c r="ABQ26" s="16"/>
      <c r="ABR26" s="16"/>
      <c r="ABS26" s="16"/>
      <c r="ABT26" s="16"/>
    </row>
    <row r="27" spans="1:748" s="15" customFormat="1" ht="19.5" customHeight="1" x14ac:dyDescent="0.2">
      <c r="A27" s="11" t="s">
        <v>195</v>
      </c>
      <c r="D27" s="10"/>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c r="GP27" s="16"/>
      <c r="GQ27" s="16"/>
      <c r="GR27" s="16"/>
      <c r="GS27" s="16"/>
      <c r="GT27" s="16"/>
      <c r="GU27" s="16"/>
      <c r="GV27" s="16"/>
      <c r="GW27" s="16"/>
      <c r="GX27" s="16"/>
      <c r="GY27" s="16"/>
      <c r="GZ27" s="16"/>
      <c r="HA27" s="16"/>
      <c r="HB27" s="16"/>
      <c r="HC27" s="16"/>
      <c r="HD27" s="16"/>
      <c r="HE27" s="16"/>
      <c r="HF27" s="16"/>
      <c r="HG27" s="16"/>
      <c r="HH27" s="16"/>
      <c r="HI27" s="16"/>
      <c r="HJ27" s="16"/>
      <c r="HK27" s="16"/>
      <c r="HL27" s="16"/>
      <c r="HM27" s="16"/>
      <c r="HN27" s="16"/>
      <c r="HO27" s="16"/>
      <c r="HP27" s="16"/>
      <c r="HQ27" s="16"/>
      <c r="HR27" s="16"/>
      <c r="HS27" s="16"/>
      <c r="HT27" s="16"/>
      <c r="HU27" s="16"/>
      <c r="HV27" s="16"/>
      <c r="HW27" s="16"/>
      <c r="HX27" s="16"/>
      <c r="HY27" s="16"/>
      <c r="HZ27" s="16"/>
      <c r="IA27" s="16"/>
      <c r="IB27" s="16"/>
      <c r="IC27" s="16"/>
      <c r="ID27" s="16"/>
      <c r="IE27" s="16"/>
      <c r="IF27" s="16"/>
      <c r="IG27" s="16"/>
      <c r="IH27" s="16"/>
      <c r="II27" s="16"/>
      <c r="IJ27" s="16"/>
      <c r="IK27" s="16"/>
      <c r="IL27" s="16"/>
      <c r="IM27" s="16"/>
      <c r="IN27" s="16"/>
      <c r="IO27" s="16"/>
      <c r="IP27" s="16"/>
      <c r="IQ27" s="16"/>
      <c r="IR27" s="16"/>
      <c r="IS27" s="16"/>
      <c r="IT27" s="16"/>
      <c r="IU27" s="16"/>
      <c r="IV27" s="16"/>
      <c r="IW27" s="16"/>
      <c r="IX27" s="16"/>
      <c r="IY27" s="16"/>
      <c r="IZ27" s="16"/>
      <c r="JA27" s="16"/>
      <c r="JB27" s="16"/>
      <c r="JC27" s="16"/>
      <c r="JD27" s="16"/>
      <c r="JE27" s="16"/>
      <c r="JF27" s="16"/>
      <c r="JG27" s="16"/>
      <c r="JH27" s="16"/>
      <c r="JI27" s="16"/>
      <c r="JJ27" s="16"/>
      <c r="JK27" s="16"/>
      <c r="JL27" s="16"/>
      <c r="JM27" s="16"/>
      <c r="JN27" s="16"/>
      <c r="JO27" s="16"/>
      <c r="JP27" s="16"/>
      <c r="JQ27" s="16"/>
      <c r="JR27" s="16"/>
      <c r="JS27" s="16"/>
      <c r="JT27" s="16"/>
      <c r="JU27" s="16"/>
      <c r="JV27" s="16"/>
      <c r="JW27" s="16"/>
      <c r="JX27" s="16"/>
      <c r="JY27" s="16"/>
      <c r="JZ27" s="16"/>
      <c r="KA27" s="16"/>
      <c r="KB27" s="16"/>
      <c r="KC27" s="16"/>
      <c r="KD27" s="16"/>
      <c r="KE27" s="16"/>
      <c r="KF27" s="16"/>
      <c r="KG27" s="16"/>
      <c r="KH27" s="16"/>
      <c r="KI27" s="16"/>
      <c r="KJ27" s="16"/>
      <c r="KK27" s="16"/>
      <c r="KL27" s="16"/>
      <c r="KM27" s="16"/>
      <c r="KN27" s="16"/>
      <c r="KO27" s="16"/>
      <c r="KP27" s="16"/>
      <c r="KQ27" s="16"/>
      <c r="KR27" s="16"/>
      <c r="KS27" s="16"/>
      <c r="KT27" s="16"/>
      <c r="KU27" s="16"/>
      <c r="KV27" s="16"/>
      <c r="KW27" s="16"/>
      <c r="KX27" s="16"/>
      <c r="KY27" s="16"/>
      <c r="KZ27" s="16"/>
      <c r="LA27" s="16"/>
      <c r="LB27" s="16"/>
      <c r="LC27" s="16"/>
      <c r="LD27" s="16"/>
      <c r="LE27" s="16"/>
      <c r="LF27" s="16"/>
      <c r="LG27" s="16"/>
      <c r="LH27" s="16"/>
      <c r="LI27" s="16"/>
      <c r="LJ27" s="16"/>
      <c r="LK27" s="16"/>
      <c r="LL27" s="16"/>
      <c r="LM27" s="16"/>
      <c r="LN27" s="16"/>
      <c r="LO27" s="16"/>
      <c r="LP27" s="16"/>
      <c r="LQ27" s="16"/>
      <c r="LR27" s="16"/>
      <c r="LS27" s="16"/>
      <c r="LT27" s="16"/>
      <c r="LU27" s="16"/>
      <c r="LV27" s="16"/>
      <c r="LW27" s="16"/>
      <c r="LX27" s="16"/>
      <c r="LY27" s="16"/>
      <c r="LZ27" s="16"/>
      <c r="MA27" s="16"/>
      <c r="MB27" s="16"/>
      <c r="MC27" s="16"/>
      <c r="MD27" s="16"/>
      <c r="ME27" s="16"/>
      <c r="MF27" s="16"/>
      <c r="MG27" s="16"/>
      <c r="MH27" s="16"/>
      <c r="MI27" s="16"/>
      <c r="MJ27" s="16"/>
      <c r="MK27" s="16"/>
      <c r="ML27" s="16"/>
      <c r="MM27" s="16"/>
      <c r="MN27" s="16"/>
      <c r="MO27" s="16"/>
      <c r="MP27" s="16"/>
      <c r="MQ27" s="16"/>
      <c r="MR27" s="16"/>
      <c r="MS27" s="16"/>
      <c r="MT27" s="16"/>
      <c r="MU27" s="16"/>
      <c r="MV27" s="16"/>
      <c r="MW27" s="16"/>
      <c r="MX27" s="16"/>
      <c r="MY27" s="16"/>
      <c r="MZ27" s="16"/>
      <c r="NA27" s="16"/>
      <c r="NB27" s="16"/>
      <c r="NC27" s="16"/>
      <c r="ND27" s="16"/>
      <c r="NE27" s="16"/>
      <c r="NF27" s="16"/>
      <c r="NG27" s="16"/>
      <c r="NH27" s="16"/>
      <c r="NI27" s="16"/>
      <c r="NJ27" s="16"/>
      <c r="NK27" s="16"/>
      <c r="NL27" s="16"/>
      <c r="NM27" s="16"/>
      <c r="NN27" s="16"/>
      <c r="NO27" s="16"/>
      <c r="NP27" s="16"/>
      <c r="NQ27" s="16"/>
      <c r="NR27" s="16"/>
      <c r="NS27" s="16"/>
      <c r="NT27" s="16"/>
      <c r="NU27" s="16"/>
      <c r="NV27" s="16"/>
      <c r="NW27" s="16"/>
      <c r="NX27" s="16"/>
      <c r="NY27" s="16"/>
      <c r="NZ27" s="16"/>
      <c r="OA27" s="16"/>
      <c r="OB27" s="16"/>
      <c r="OC27" s="16"/>
      <c r="OD27" s="16"/>
      <c r="OE27" s="16"/>
      <c r="OF27" s="16"/>
      <c r="OG27" s="16"/>
      <c r="OH27" s="16"/>
      <c r="OI27" s="16"/>
      <c r="OJ27" s="16"/>
      <c r="OK27" s="16"/>
      <c r="OL27" s="16"/>
      <c r="OM27" s="16"/>
      <c r="ON27" s="16"/>
      <c r="OO27" s="16"/>
      <c r="OP27" s="16"/>
      <c r="OQ27" s="16"/>
      <c r="OR27" s="16"/>
      <c r="OS27" s="16"/>
      <c r="OT27" s="16"/>
      <c r="OU27" s="16"/>
      <c r="OV27" s="16"/>
      <c r="OW27" s="16"/>
      <c r="OX27" s="16"/>
      <c r="OY27" s="16"/>
      <c r="OZ27" s="16"/>
      <c r="PA27" s="16"/>
      <c r="PB27" s="16"/>
      <c r="PC27" s="16"/>
      <c r="PD27" s="16"/>
      <c r="PE27" s="16"/>
      <c r="PF27" s="16"/>
      <c r="PG27" s="16"/>
      <c r="PH27" s="16"/>
      <c r="PI27" s="16"/>
      <c r="PJ27" s="16"/>
      <c r="PK27" s="16"/>
      <c r="PL27" s="16"/>
      <c r="PM27" s="16"/>
      <c r="PN27" s="16"/>
      <c r="PO27" s="16"/>
      <c r="PP27" s="16"/>
      <c r="PQ27" s="16"/>
      <c r="PR27" s="16"/>
      <c r="PS27" s="16"/>
      <c r="PT27" s="16"/>
      <c r="PU27" s="16"/>
      <c r="PV27" s="16"/>
      <c r="PW27" s="16"/>
      <c r="PX27" s="16"/>
      <c r="PY27" s="16"/>
      <c r="PZ27" s="16"/>
      <c r="QA27" s="16"/>
      <c r="QB27" s="16"/>
      <c r="QC27" s="16"/>
      <c r="QD27" s="16"/>
      <c r="QE27" s="16"/>
      <c r="QF27" s="16"/>
      <c r="QG27" s="16"/>
      <c r="QH27" s="16"/>
      <c r="QI27" s="16"/>
      <c r="QJ27" s="16"/>
      <c r="QK27" s="16"/>
      <c r="QL27" s="16"/>
      <c r="QM27" s="16"/>
      <c r="QN27" s="16"/>
      <c r="QO27" s="16"/>
      <c r="QP27" s="16"/>
      <c r="QQ27" s="16"/>
      <c r="QR27" s="16"/>
      <c r="QS27" s="16"/>
      <c r="QT27" s="16"/>
      <c r="QU27" s="16"/>
      <c r="QV27" s="16"/>
      <c r="QW27" s="16"/>
      <c r="QX27" s="16"/>
      <c r="QY27" s="16"/>
      <c r="QZ27" s="16"/>
      <c r="RA27" s="16"/>
      <c r="RB27" s="16"/>
      <c r="RC27" s="16"/>
      <c r="RD27" s="16"/>
      <c r="RE27" s="16"/>
      <c r="RF27" s="16"/>
      <c r="RG27" s="16"/>
      <c r="RH27" s="16"/>
      <c r="RI27" s="16"/>
      <c r="RJ27" s="16"/>
      <c r="RK27" s="16"/>
      <c r="RL27" s="16"/>
      <c r="RM27" s="16"/>
      <c r="RN27" s="16"/>
      <c r="RO27" s="16"/>
      <c r="RP27" s="16"/>
      <c r="RQ27" s="16"/>
      <c r="RR27" s="16"/>
      <c r="RS27" s="16"/>
      <c r="RT27" s="16"/>
      <c r="RU27" s="16"/>
      <c r="RV27" s="16"/>
      <c r="RW27" s="16"/>
      <c r="RX27" s="16"/>
      <c r="RY27" s="16"/>
      <c r="RZ27" s="16"/>
      <c r="SA27" s="16"/>
      <c r="SB27" s="16"/>
      <c r="SC27" s="16"/>
      <c r="SD27" s="16"/>
      <c r="SE27" s="16"/>
      <c r="SF27" s="16"/>
      <c r="SG27" s="16"/>
      <c r="SH27" s="16"/>
      <c r="SI27" s="16"/>
      <c r="SJ27" s="16"/>
      <c r="SK27" s="16"/>
      <c r="SL27" s="16"/>
      <c r="SM27" s="16"/>
      <c r="SN27" s="16"/>
      <c r="SO27" s="16"/>
      <c r="SP27" s="16"/>
      <c r="SQ27" s="16"/>
      <c r="SR27" s="16"/>
      <c r="SS27" s="16"/>
      <c r="ST27" s="16"/>
      <c r="SU27" s="16"/>
      <c r="SV27" s="16"/>
      <c r="SW27" s="16"/>
      <c r="SX27" s="16"/>
      <c r="SY27" s="16"/>
      <c r="SZ27" s="16"/>
      <c r="TA27" s="16"/>
      <c r="TB27" s="16"/>
      <c r="TC27" s="16"/>
      <c r="TD27" s="16"/>
      <c r="TE27" s="16"/>
      <c r="TF27" s="16"/>
      <c r="TG27" s="16"/>
      <c r="TH27" s="16"/>
      <c r="TI27" s="16"/>
      <c r="TJ27" s="16"/>
      <c r="TK27" s="16"/>
      <c r="TL27" s="16"/>
      <c r="TM27" s="16"/>
      <c r="TN27" s="16"/>
      <c r="TO27" s="16"/>
      <c r="TP27" s="16"/>
      <c r="TQ27" s="16"/>
      <c r="TR27" s="16"/>
      <c r="TS27" s="16"/>
      <c r="TT27" s="16"/>
      <c r="TU27" s="16"/>
      <c r="TV27" s="16"/>
      <c r="TW27" s="16"/>
      <c r="TX27" s="16"/>
      <c r="TY27" s="16"/>
      <c r="TZ27" s="16"/>
      <c r="UA27" s="16"/>
      <c r="UB27" s="16"/>
      <c r="UC27" s="16"/>
      <c r="UD27" s="16"/>
      <c r="UE27" s="16"/>
      <c r="UF27" s="16"/>
      <c r="UG27" s="16"/>
      <c r="UH27" s="16"/>
      <c r="UI27" s="16"/>
      <c r="UJ27" s="16"/>
      <c r="UK27" s="16"/>
      <c r="UL27" s="16"/>
      <c r="UM27" s="16"/>
      <c r="UN27" s="16"/>
      <c r="UO27" s="16"/>
      <c r="UP27" s="16"/>
      <c r="UQ27" s="16"/>
      <c r="UR27" s="16"/>
      <c r="US27" s="16"/>
      <c r="UT27" s="16"/>
      <c r="UU27" s="16"/>
      <c r="UV27" s="16"/>
      <c r="UW27" s="16"/>
      <c r="UX27" s="16"/>
      <c r="UY27" s="16"/>
      <c r="UZ27" s="16"/>
      <c r="VA27" s="16"/>
      <c r="VB27" s="16"/>
      <c r="VC27" s="16"/>
      <c r="VD27" s="16"/>
      <c r="VE27" s="16"/>
      <c r="VF27" s="16"/>
      <c r="VG27" s="16"/>
      <c r="VH27" s="16"/>
      <c r="VI27" s="16"/>
      <c r="VJ27" s="16"/>
      <c r="VK27" s="16"/>
      <c r="VL27" s="16"/>
      <c r="VM27" s="16"/>
      <c r="VN27" s="16"/>
      <c r="VO27" s="16"/>
      <c r="VP27" s="16"/>
      <c r="VQ27" s="16"/>
      <c r="VR27" s="16"/>
      <c r="VS27" s="16"/>
      <c r="VT27" s="16"/>
      <c r="VU27" s="16"/>
      <c r="VV27" s="16"/>
      <c r="VW27" s="16"/>
      <c r="VX27" s="16"/>
      <c r="VY27" s="16"/>
      <c r="VZ27" s="16"/>
      <c r="WA27" s="16"/>
      <c r="WB27" s="16"/>
      <c r="WC27" s="16"/>
      <c r="WD27" s="16"/>
      <c r="WE27" s="16"/>
      <c r="WF27" s="16"/>
      <c r="WG27" s="16"/>
      <c r="WH27" s="16"/>
      <c r="WI27" s="16"/>
      <c r="WJ27" s="16"/>
      <c r="WK27" s="16"/>
      <c r="WL27" s="16"/>
      <c r="WM27" s="16"/>
      <c r="WN27" s="16"/>
      <c r="WO27" s="16"/>
      <c r="WP27" s="16"/>
      <c r="WQ27" s="16"/>
      <c r="WR27" s="16"/>
      <c r="WS27" s="16"/>
      <c r="WT27" s="16"/>
      <c r="WU27" s="16"/>
      <c r="WV27" s="16"/>
      <c r="WW27" s="16"/>
      <c r="WX27" s="16"/>
      <c r="WY27" s="16"/>
      <c r="WZ27" s="16"/>
      <c r="XA27" s="16"/>
      <c r="XB27" s="16"/>
      <c r="XC27" s="16"/>
      <c r="XD27" s="16"/>
      <c r="XE27" s="16"/>
      <c r="XF27" s="16"/>
      <c r="XG27" s="16"/>
      <c r="XH27" s="16"/>
      <c r="XI27" s="16"/>
      <c r="XJ27" s="16"/>
      <c r="XK27" s="16"/>
      <c r="XL27" s="16"/>
      <c r="XM27" s="16"/>
      <c r="XN27" s="16"/>
      <c r="XO27" s="16"/>
      <c r="XP27" s="16"/>
      <c r="XQ27" s="16"/>
      <c r="XR27" s="16"/>
      <c r="XS27" s="16"/>
      <c r="XT27" s="16"/>
      <c r="XU27" s="16"/>
      <c r="XV27" s="16"/>
      <c r="XW27" s="16"/>
      <c r="XX27" s="16"/>
      <c r="XY27" s="16"/>
      <c r="XZ27" s="16"/>
      <c r="YA27" s="16"/>
      <c r="YB27" s="16"/>
      <c r="YC27" s="16"/>
      <c r="YD27" s="16"/>
      <c r="YE27" s="16"/>
      <c r="YF27" s="16"/>
      <c r="YG27" s="16"/>
      <c r="YH27" s="16"/>
      <c r="YI27" s="16"/>
      <c r="YJ27" s="16"/>
      <c r="YK27" s="16"/>
      <c r="YL27" s="16"/>
      <c r="YM27" s="16"/>
      <c r="YN27" s="16"/>
      <c r="YO27" s="16"/>
      <c r="YP27" s="16"/>
      <c r="YQ27" s="16"/>
      <c r="YR27" s="16"/>
      <c r="YS27" s="16"/>
      <c r="YT27" s="16"/>
      <c r="YU27" s="16"/>
      <c r="YV27" s="16"/>
      <c r="YW27" s="16"/>
      <c r="YX27" s="16"/>
      <c r="YY27" s="16"/>
      <c r="YZ27" s="16"/>
      <c r="ZA27" s="16"/>
      <c r="ZB27" s="16"/>
      <c r="ZC27" s="16"/>
      <c r="ZD27" s="16"/>
      <c r="ZE27" s="16"/>
      <c r="ZF27" s="16"/>
      <c r="ZG27" s="16"/>
      <c r="ZH27" s="16"/>
      <c r="ZI27" s="16"/>
      <c r="ZJ27" s="16"/>
      <c r="ZK27" s="16"/>
      <c r="ZL27" s="16"/>
      <c r="ZM27" s="16"/>
      <c r="ZN27" s="16"/>
      <c r="ZO27" s="16"/>
      <c r="ZP27" s="16"/>
      <c r="ZQ27" s="16"/>
      <c r="ZR27" s="16"/>
      <c r="ZS27" s="16"/>
      <c r="ZT27" s="16"/>
      <c r="ZU27" s="16"/>
      <c r="ZV27" s="16"/>
      <c r="ZW27" s="16"/>
      <c r="ZX27" s="16"/>
      <c r="ZY27" s="16"/>
      <c r="ZZ27" s="16"/>
      <c r="AAA27" s="16"/>
      <c r="AAB27" s="16"/>
      <c r="AAC27" s="16"/>
      <c r="AAD27" s="16"/>
      <c r="AAE27" s="16"/>
      <c r="AAF27" s="16"/>
      <c r="AAG27" s="16"/>
      <c r="AAH27" s="16"/>
      <c r="AAI27" s="16"/>
      <c r="AAJ27" s="16"/>
      <c r="AAK27" s="16"/>
      <c r="AAL27" s="16"/>
      <c r="AAM27" s="16"/>
      <c r="AAN27" s="16"/>
      <c r="AAO27" s="16"/>
      <c r="AAP27" s="16"/>
      <c r="AAQ27" s="16"/>
      <c r="AAR27" s="16"/>
      <c r="AAS27" s="16"/>
      <c r="AAT27" s="16"/>
      <c r="AAU27" s="16"/>
      <c r="AAV27" s="16"/>
      <c r="AAW27" s="16"/>
      <c r="AAX27" s="16"/>
      <c r="AAY27" s="16"/>
      <c r="AAZ27" s="16"/>
      <c r="ABA27" s="16"/>
      <c r="ABB27" s="16"/>
      <c r="ABC27" s="16"/>
      <c r="ABD27" s="16"/>
      <c r="ABE27" s="16"/>
      <c r="ABF27" s="16"/>
      <c r="ABG27" s="16"/>
      <c r="ABH27" s="16"/>
      <c r="ABI27" s="16"/>
      <c r="ABJ27" s="16"/>
      <c r="ABK27" s="16"/>
      <c r="ABL27" s="16"/>
      <c r="ABM27" s="16"/>
      <c r="ABN27" s="16"/>
      <c r="ABO27" s="16"/>
      <c r="ABP27" s="16"/>
      <c r="ABQ27" s="16"/>
      <c r="ABR27" s="16"/>
      <c r="ABS27" s="16"/>
      <c r="ABT27" s="16"/>
    </row>
    <row r="28" spans="1:748" s="15" customFormat="1" ht="19.5" customHeight="1" x14ac:dyDescent="0.2">
      <c r="A28" s="11" t="s">
        <v>196</v>
      </c>
      <c r="D28" s="10"/>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16"/>
      <c r="HM28" s="16"/>
      <c r="HN28" s="16"/>
      <c r="HO28" s="16"/>
      <c r="HP28" s="16"/>
      <c r="HQ28" s="16"/>
      <c r="HR28" s="16"/>
      <c r="HS28" s="16"/>
      <c r="HT28" s="16"/>
      <c r="HU28" s="16"/>
      <c r="HV28" s="16"/>
      <c r="HW28" s="16"/>
      <c r="HX28" s="16"/>
      <c r="HY28" s="16"/>
      <c r="HZ28" s="16"/>
      <c r="IA28" s="16"/>
      <c r="IB28" s="16"/>
      <c r="IC28" s="16"/>
      <c r="ID28" s="16"/>
      <c r="IE28" s="16"/>
      <c r="IF28" s="16"/>
      <c r="IG28" s="16"/>
      <c r="IH28" s="16"/>
      <c r="II28" s="16"/>
      <c r="IJ28" s="16"/>
      <c r="IK28" s="16"/>
      <c r="IL28" s="16"/>
      <c r="IM28" s="16"/>
      <c r="IN28" s="16"/>
      <c r="IO28" s="16"/>
      <c r="IP28" s="16"/>
      <c r="IQ28" s="16"/>
      <c r="IR28" s="16"/>
      <c r="IS28" s="16"/>
      <c r="IT28" s="16"/>
      <c r="IU28" s="16"/>
      <c r="IV28" s="16"/>
      <c r="IW28" s="16"/>
      <c r="IX28" s="16"/>
      <c r="IY28" s="16"/>
      <c r="IZ28" s="16"/>
      <c r="JA28" s="16"/>
      <c r="JB28" s="16"/>
      <c r="JC28" s="16"/>
      <c r="JD28" s="16"/>
      <c r="JE28" s="16"/>
      <c r="JF28" s="16"/>
      <c r="JG28" s="16"/>
      <c r="JH28" s="16"/>
      <c r="JI28" s="16"/>
      <c r="JJ28" s="16"/>
      <c r="JK28" s="16"/>
      <c r="JL28" s="16"/>
      <c r="JM28" s="16"/>
      <c r="JN28" s="16"/>
      <c r="JO28" s="16"/>
      <c r="JP28" s="16"/>
      <c r="JQ28" s="16"/>
      <c r="JR28" s="16"/>
      <c r="JS28" s="16"/>
      <c r="JT28" s="16"/>
      <c r="JU28" s="16"/>
      <c r="JV28" s="16"/>
      <c r="JW28" s="16"/>
      <c r="JX28" s="16"/>
      <c r="JY28" s="16"/>
      <c r="JZ28" s="16"/>
      <c r="KA28" s="16"/>
      <c r="KB28" s="16"/>
      <c r="KC28" s="16"/>
      <c r="KD28" s="16"/>
      <c r="KE28" s="16"/>
      <c r="KF28" s="16"/>
      <c r="KG28" s="16"/>
      <c r="KH28" s="16"/>
      <c r="KI28" s="16"/>
      <c r="KJ28" s="16"/>
      <c r="KK28" s="16"/>
      <c r="KL28" s="16"/>
      <c r="KM28" s="16"/>
      <c r="KN28" s="16"/>
      <c r="KO28" s="16"/>
      <c r="KP28" s="16"/>
      <c r="KQ28" s="16"/>
      <c r="KR28" s="16"/>
      <c r="KS28" s="16"/>
      <c r="KT28" s="16"/>
      <c r="KU28" s="16"/>
      <c r="KV28" s="16"/>
      <c r="KW28" s="16"/>
      <c r="KX28" s="16"/>
      <c r="KY28" s="16"/>
      <c r="KZ28" s="16"/>
      <c r="LA28" s="16"/>
      <c r="LB28" s="16"/>
      <c r="LC28" s="16"/>
      <c r="LD28" s="16"/>
      <c r="LE28" s="16"/>
      <c r="LF28" s="16"/>
      <c r="LG28" s="16"/>
      <c r="LH28" s="16"/>
      <c r="LI28" s="16"/>
      <c r="LJ28" s="16"/>
      <c r="LK28" s="16"/>
      <c r="LL28" s="16"/>
      <c r="LM28" s="16"/>
      <c r="LN28" s="16"/>
      <c r="LO28" s="16"/>
      <c r="LP28" s="16"/>
      <c r="LQ28" s="16"/>
      <c r="LR28" s="16"/>
      <c r="LS28" s="16"/>
      <c r="LT28" s="16"/>
      <c r="LU28" s="16"/>
      <c r="LV28" s="16"/>
      <c r="LW28" s="16"/>
      <c r="LX28" s="16"/>
      <c r="LY28" s="16"/>
      <c r="LZ28" s="16"/>
      <c r="MA28" s="16"/>
      <c r="MB28" s="16"/>
      <c r="MC28" s="16"/>
      <c r="MD28" s="16"/>
      <c r="ME28" s="16"/>
      <c r="MF28" s="16"/>
      <c r="MG28" s="16"/>
      <c r="MH28" s="16"/>
      <c r="MI28" s="16"/>
      <c r="MJ28" s="16"/>
      <c r="MK28" s="16"/>
      <c r="ML28" s="16"/>
      <c r="MM28" s="16"/>
      <c r="MN28" s="16"/>
      <c r="MO28" s="16"/>
      <c r="MP28" s="16"/>
      <c r="MQ28" s="16"/>
      <c r="MR28" s="16"/>
      <c r="MS28" s="16"/>
      <c r="MT28" s="16"/>
      <c r="MU28" s="16"/>
      <c r="MV28" s="16"/>
      <c r="MW28" s="16"/>
      <c r="MX28" s="16"/>
      <c r="MY28" s="16"/>
      <c r="MZ28" s="16"/>
      <c r="NA28" s="16"/>
      <c r="NB28" s="16"/>
      <c r="NC28" s="16"/>
      <c r="ND28" s="16"/>
      <c r="NE28" s="16"/>
      <c r="NF28" s="16"/>
      <c r="NG28" s="16"/>
      <c r="NH28" s="16"/>
      <c r="NI28" s="16"/>
      <c r="NJ28" s="16"/>
      <c r="NK28" s="16"/>
      <c r="NL28" s="16"/>
      <c r="NM28" s="16"/>
      <c r="NN28" s="16"/>
      <c r="NO28" s="16"/>
      <c r="NP28" s="16"/>
      <c r="NQ28" s="16"/>
      <c r="NR28" s="16"/>
      <c r="NS28" s="16"/>
      <c r="NT28" s="16"/>
      <c r="NU28" s="16"/>
      <c r="NV28" s="16"/>
      <c r="NW28" s="16"/>
      <c r="NX28" s="16"/>
      <c r="NY28" s="16"/>
      <c r="NZ28" s="16"/>
      <c r="OA28" s="16"/>
      <c r="OB28" s="16"/>
      <c r="OC28" s="16"/>
      <c r="OD28" s="16"/>
      <c r="OE28" s="16"/>
      <c r="OF28" s="16"/>
      <c r="OG28" s="16"/>
      <c r="OH28" s="16"/>
      <c r="OI28" s="16"/>
      <c r="OJ28" s="16"/>
      <c r="OK28" s="16"/>
      <c r="OL28" s="16"/>
      <c r="OM28" s="16"/>
      <c r="ON28" s="16"/>
      <c r="OO28" s="16"/>
      <c r="OP28" s="16"/>
      <c r="OQ28" s="16"/>
      <c r="OR28" s="16"/>
      <c r="OS28" s="16"/>
      <c r="OT28" s="16"/>
      <c r="OU28" s="16"/>
      <c r="OV28" s="16"/>
      <c r="OW28" s="16"/>
      <c r="OX28" s="16"/>
      <c r="OY28" s="16"/>
      <c r="OZ28" s="16"/>
      <c r="PA28" s="16"/>
      <c r="PB28" s="16"/>
      <c r="PC28" s="16"/>
      <c r="PD28" s="16"/>
      <c r="PE28" s="16"/>
      <c r="PF28" s="16"/>
      <c r="PG28" s="16"/>
      <c r="PH28" s="16"/>
      <c r="PI28" s="16"/>
      <c r="PJ28" s="16"/>
      <c r="PK28" s="16"/>
      <c r="PL28" s="16"/>
      <c r="PM28" s="16"/>
      <c r="PN28" s="16"/>
      <c r="PO28" s="16"/>
      <c r="PP28" s="16"/>
      <c r="PQ28" s="16"/>
      <c r="PR28" s="16"/>
      <c r="PS28" s="16"/>
      <c r="PT28" s="16"/>
      <c r="PU28" s="16"/>
      <c r="PV28" s="16"/>
      <c r="PW28" s="16"/>
      <c r="PX28" s="16"/>
      <c r="PY28" s="16"/>
      <c r="PZ28" s="16"/>
      <c r="QA28" s="16"/>
      <c r="QB28" s="16"/>
      <c r="QC28" s="16"/>
      <c r="QD28" s="16"/>
      <c r="QE28" s="16"/>
      <c r="QF28" s="16"/>
      <c r="QG28" s="16"/>
      <c r="QH28" s="16"/>
      <c r="QI28" s="16"/>
      <c r="QJ28" s="16"/>
      <c r="QK28" s="16"/>
      <c r="QL28" s="16"/>
      <c r="QM28" s="16"/>
      <c r="QN28" s="16"/>
      <c r="QO28" s="16"/>
      <c r="QP28" s="16"/>
      <c r="QQ28" s="16"/>
      <c r="QR28" s="16"/>
      <c r="QS28" s="16"/>
      <c r="QT28" s="16"/>
      <c r="QU28" s="16"/>
      <c r="QV28" s="16"/>
      <c r="QW28" s="16"/>
      <c r="QX28" s="16"/>
      <c r="QY28" s="16"/>
      <c r="QZ28" s="16"/>
      <c r="RA28" s="16"/>
      <c r="RB28" s="16"/>
      <c r="RC28" s="16"/>
      <c r="RD28" s="16"/>
      <c r="RE28" s="16"/>
      <c r="RF28" s="16"/>
      <c r="RG28" s="16"/>
      <c r="RH28" s="16"/>
      <c r="RI28" s="16"/>
      <c r="RJ28" s="16"/>
      <c r="RK28" s="16"/>
      <c r="RL28" s="16"/>
      <c r="RM28" s="16"/>
      <c r="RN28" s="16"/>
      <c r="RO28" s="16"/>
      <c r="RP28" s="16"/>
      <c r="RQ28" s="16"/>
      <c r="RR28" s="16"/>
      <c r="RS28" s="16"/>
      <c r="RT28" s="16"/>
      <c r="RU28" s="16"/>
      <c r="RV28" s="16"/>
      <c r="RW28" s="16"/>
      <c r="RX28" s="16"/>
      <c r="RY28" s="16"/>
      <c r="RZ28" s="16"/>
      <c r="SA28" s="16"/>
      <c r="SB28" s="16"/>
      <c r="SC28" s="16"/>
      <c r="SD28" s="16"/>
      <c r="SE28" s="16"/>
      <c r="SF28" s="16"/>
      <c r="SG28" s="16"/>
      <c r="SH28" s="16"/>
      <c r="SI28" s="16"/>
      <c r="SJ28" s="16"/>
      <c r="SK28" s="16"/>
      <c r="SL28" s="16"/>
      <c r="SM28" s="16"/>
      <c r="SN28" s="16"/>
      <c r="SO28" s="16"/>
      <c r="SP28" s="16"/>
      <c r="SQ28" s="16"/>
      <c r="SR28" s="16"/>
      <c r="SS28" s="16"/>
      <c r="ST28" s="16"/>
      <c r="SU28" s="16"/>
      <c r="SV28" s="16"/>
      <c r="SW28" s="16"/>
      <c r="SX28" s="16"/>
      <c r="SY28" s="16"/>
      <c r="SZ28" s="16"/>
      <c r="TA28" s="16"/>
      <c r="TB28" s="16"/>
      <c r="TC28" s="16"/>
      <c r="TD28" s="16"/>
      <c r="TE28" s="16"/>
      <c r="TF28" s="16"/>
      <c r="TG28" s="16"/>
      <c r="TH28" s="16"/>
      <c r="TI28" s="16"/>
      <c r="TJ28" s="16"/>
      <c r="TK28" s="16"/>
      <c r="TL28" s="16"/>
      <c r="TM28" s="16"/>
      <c r="TN28" s="16"/>
      <c r="TO28" s="16"/>
      <c r="TP28" s="16"/>
      <c r="TQ28" s="16"/>
      <c r="TR28" s="16"/>
      <c r="TS28" s="16"/>
      <c r="TT28" s="16"/>
      <c r="TU28" s="16"/>
      <c r="TV28" s="16"/>
      <c r="TW28" s="16"/>
      <c r="TX28" s="16"/>
      <c r="TY28" s="16"/>
      <c r="TZ28" s="16"/>
      <c r="UA28" s="16"/>
      <c r="UB28" s="16"/>
      <c r="UC28" s="16"/>
      <c r="UD28" s="16"/>
      <c r="UE28" s="16"/>
      <c r="UF28" s="16"/>
      <c r="UG28" s="16"/>
      <c r="UH28" s="16"/>
      <c r="UI28" s="16"/>
      <c r="UJ28" s="16"/>
      <c r="UK28" s="16"/>
      <c r="UL28" s="16"/>
      <c r="UM28" s="16"/>
      <c r="UN28" s="16"/>
      <c r="UO28" s="16"/>
      <c r="UP28" s="16"/>
      <c r="UQ28" s="16"/>
      <c r="UR28" s="16"/>
      <c r="US28" s="16"/>
      <c r="UT28" s="16"/>
      <c r="UU28" s="16"/>
      <c r="UV28" s="16"/>
      <c r="UW28" s="16"/>
      <c r="UX28" s="16"/>
      <c r="UY28" s="16"/>
      <c r="UZ28" s="16"/>
      <c r="VA28" s="16"/>
      <c r="VB28" s="16"/>
      <c r="VC28" s="16"/>
      <c r="VD28" s="16"/>
      <c r="VE28" s="16"/>
      <c r="VF28" s="16"/>
      <c r="VG28" s="16"/>
      <c r="VH28" s="16"/>
      <c r="VI28" s="16"/>
      <c r="VJ28" s="16"/>
      <c r="VK28" s="16"/>
      <c r="VL28" s="16"/>
      <c r="VM28" s="16"/>
      <c r="VN28" s="16"/>
      <c r="VO28" s="16"/>
      <c r="VP28" s="16"/>
      <c r="VQ28" s="16"/>
      <c r="VR28" s="16"/>
      <c r="VS28" s="16"/>
      <c r="VT28" s="16"/>
      <c r="VU28" s="16"/>
      <c r="VV28" s="16"/>
      <c r="VW28" s="16"/>
      <c r="VX28" s="16"/>
      <c r="VY28" s="16"/>
      <c r="VZ28" s="16"/>
      <c r="WA28" s="16"/>
      <c r="WB28" s="16"/>
      <c r="WC28" s="16"/>
      <c r="WD28" s="16"/>
      <c r="WE28" s="16"/>
      <c r="WF28" s="16"/>
      <c r="WG28" s="16"/>
      <c r="WH28" s="16"/>
      <c r="WI28" s="16"/>
      <c r="WJ28" s="16"/>
      <c r="WK28" s="16"/>
      <c r="WL28" s="16"/>
      <c r="WM28" s="16"/>
      <c r="WN28" s="16"/>
      <c r="WO28" s="16"/>
      <c r="WP28" s="16"/>
      <c r="WQ28" s="16"/>
      <c r="WR28" s="16"/>
      <c r="WS28" s="16"/>
      <c r="WT28" s="16"/>
      <c r="WU28" s="16"/>
      <c r="WV28" s="16"/>
      <c r="WW28" s="16"/>
      <c r="WX28" s="16"/>
      <c r="WY28" s="16"/>
      <c r="WZ28" s="16"/>
      <c r="XA28" s="16"/>
      <c r="XB28" s="16"/>
      <c r="XC28" s="16"/>
      <c r="XD28" s="16"/>
      <c r="XE28" s="16"/>
      <c r="XF28" s="16"/>
      <c r="XG28" s="16"/>
      <c r="XH28" s="16"/>
      <c r="XI28" s="16"/>
      <c r="XJ28" s="16"/>
      <c r="XK28" s="16"/>
      <c r="XL28" s="16"/>
      <c r="XM28" s="16"/>
      <c r="XN28" s="16"/>
      <c r="XO28" s="16"/>
      <c r="XP28" s="16"/>
      <c r="XQ28" s="16"/>
      <c r="XR28" s="16"/>
      <c r="XS28" s="16"/>
      <c r="XT28" s="16"/>
      <c r="XU28" s="16"/>
      <c r="XV28" s="16"/>
      <c r="XW28" s="16"/>
      <c r="XX28" s="16"/>
      <c r="XY28" s="16"/>
      <c r="XZ28" s="16"/>
      <c r="YA28" s="16"/>
      <c r="YB28" s="16"/>
      <c r="YC28" s="16"/>
      <c r="YD28" s="16"/>
      <c r="YE28" s="16"/>
      <c r="YF28" s="16"/>
      <c r="YG28" s="16"/>
      <c r="YH28" s="16"/>
      <c r="YI28" s="16"/>
      <c r="YJ28" s="16"/>
      <c r="YK28" s="16"/>
      <c r="YL28" s="16"/>
      <c r="YM28" s="16"/>
      <c r="YN28" s="16"/>
      <c r="YO28" s="16"/>
      <c r="YP28" s="16"/>
      <c r="YQ28" s="16"/>
      <c r="YR28" s="16"/>
      <c r="YS28" s="16"/>
      <c r="YT28" s="16"/>
      <c r="YU28" s="16"/>
      <c r="YV28" s="16"/>
      <c r="YW28" s="16"/>
      <c r="YX28" s="16"/>
      <c r="YY28" s="16"/>
      <c r="YZ28" s="16"/>
      <c r="ZA28" s="16"/>
      <c r="ZB28" s="16"/>
      <c r="ZC28" s="16"/>
      <c r="ZD28" s="16"/>
      <c r="ZE28" s="16"/>
      <c r="ZF28" s="16"/>
      <c r="ZG28" s="16"/>
      <c r="ZH28" s="16"/>
      <c r="ZI28" s="16"/>
      <c r="ZJ28" s="16"/>
      <c r="ZK28" s="16"/>
      <c r="ZL28" s="16"/>
      <c r="ZM28" s="16"/>
      <c r="ZN28" s="16"/>
      <c r="ZO28" s="16"/>
      <c r="ZP28" s="16"/>
      <c r="ZQ28" s="16"/>
      <c r="ZR28" s="16"/>
      <c r="ZS28" s="16"/>
      <c r="ZT28" s="16"/>
      <c r="ZU28" s="16"/>
      <c r="ZV28" s="16"/>
      <c r="ZW28" s="16"/>
      <c r="ZX28" s="16"/>
      <c r="ZY28" s="16"/>
      <c r="ZZ28" s="16"/>
      <c r="AAA28" s="16"/>
      <c r="AAB28" s="16"/>
      <c r="AAC28" s="16"/>
      <c r="AAD28" s="16"/>
      <c r="AAE28" s="16"/>
      <c r="AAF28" s="16"/>
      <c r="AAG28" s="16"/>
      <c r="AAH28" s="16"/>
      <c r="AAI28" s="16"/>
      <c r="AAJ28" s="16"/>
      <c r="AAK28" s="16"/>
      <c r="AAL28" s="16"/>
      <c r="AAM28" s="16"/>
      <c r="AAN28" s="16"/>
      <c r="AAO28" s="16"/>
      <c r="AAP28" s="16"/>
      <c r="AAQ28" s="16"/>
      <c r="AAR28" s="16"/>
      <c r="AAS28" s="16"/>
      <c r="AAT28" s="16"/>
      <c r="AAU28" s="16"/>
      <c r="AAV28" s="16"/>
      <c r="AAW28" s="16"/>
      <c r="AAX28" s="16"/>
      <c r="AAY28" s="16"/>
      <c r="AAZ28" s="16"/>
      <c r="ABA28" s="16"/>
      <c r="ABB28" s="16"/>
      <c r="ABC28" s="16"/>
      <c r="ABD28" s="16"/>
      <c r="ABE28" s="16"/>
      <c r="ABF28" s="16"/>
      <c r="ABG28" s="16"/>
      <c r="ABH28" s="16"/>
      <c r="ABI28" s="16"/>
      <c r="ABJ28" s="16"/>
      <c r="ABK28" s="16"/>
      <c r="ABL28" s="16"/>
      <c r="ABM28" s="16"/>
      <c r="ABN28" s="16"/>
      <c r="ABO28" s="16"/>
      <c r="ABP28" s="16"/>
      <c r="ABQ28" s="16"/>
      <c r="ABR28" s="16"/>
      <c r="ABS28" s="16"/>
      <c r="ABT28" s="16"/>
    </row>
    <row r="29" spans="1:748" s="15" customFormat="1" ht="18" customHeight="1" x14ac:dyDescent="0.2">
      <c r="A29" s="240"/>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c r="GP29" s="16"/>
      <c r="GQ29" s="16"/>
      <c r="GR29" s="16"/>
      <c r="GS29" s="16"/>
      <c r="GT29" s="16"/>
      <c r="GU29" s="16"/>
      <c r="GV29" s="16"/>
      <c r="GW29" s="16"/>
      <c r="GX29" s="16"/>
      <c r="GY29" s="16"/>
      <c r="GZ29" s="16"/>
      <c r="HA29" s="16"/>
      <c r="HB29" s="16"/>
      <c r="HC29" s="16"/>
      <c r="HD29" s="16"/>
      <c r="HE29" s="16"/>
      <c r="HF29" s="16"/>
      <c r="HG29" s="16"/>
      <c r="HH29" s="16"/>
      <c r="HI29" s="16"/>
      <c r="HJ29" s="16"/>
      <c r="HK29" s="16"/>
      <c r="HL29" s="16"/>
      <c r="HM29" s="16"/>
      <c r="HN29" s="16"/>
      <c r="HO29" s="16"/>
      <c r="HP29" s="16"/>
      <c r="HQ29" s="16"/>
      <c r="HR29" s="16"/>
      <c r="HS29" s="16"/>
      <c r="HT29" s="16"/>
      <c r="HU29" s="16"/>
      <c r="HV29" s="16"/>
      <c r="HW29" s="16"/>
      <c r="HX29" s="16"/>
      <c r="HY29" s="16"/>
      <c r="HZ29" s="16"/>
      <c r="IA29" s="16"/>
      <c r="IB29" s="16"/>
      <c r="IC29" s="16"/>
      <c r="ID29" s="16"/>
      <c r="IE29" s="16"/>
      <c r="IF29" s="16"/>
      <c r="IG29" s="16"/>
      <c r="IH29" s="16"/>
      <c r="II29" s="16"/>
      <c r="IJ29" s="16"/>
      <c r="IK29" s="16"/>
      <c r="IL29" s="16"/>
      <c r="IM29" s="16"/>
      <c r="IN29" s="16"/>
      <c r="IO29" s="16"/>
      <c r="IP29" s="16"/>
      <c r="IQ29" s="16"/>
      <c r="IR29" s="16"/>
      <c r="IS29" s="16"/>
      <c r="IT29" s="16"/>
      <c r="IU29" s="16"/>
      <c r="IV29" s="16"/>
      <c r="IW29" s="16"/>
      <c r="IX29" s="16"/>
      <c r="IY29" s="16"/>
      <c r="IZ29" s="16"/>
      <c r="JA29" s="16"/>
      <c r="JB29" s="16"/>
      <c r="JC29" s="16"/>
      <c r="JD29" s="16"/>
      <c r="JE29" s="16"/>
      <c r="JF29" s="16"/>
      <c r="JG29" s="16"/>
      <c r="JH29" s="16"/>
      <c r="JI29" s="16"/>
      <c r="JJ29" s="16"/>
      <c r="JK29" s="16"/>
      <c r="JL29" s="16"/>
      <c r="JM29" s="16"/>
      <c r="JN29" s="16"/>
      <c r="JO29" s="16"/>
      <c r="JP29" s="16"/>
      <c r="JQ29" s="16"/>
      <c r="JR29" s="16"/>
      <c r="JS29" s="16"/>
      <c r="JT29" s="16"/>
      <c r="JU29" s="16"/>
      <c r="JV29" s="16"/>
      <c r="JW29" s="16"/>
      <c r="JX29" s="16"/>
      <c r="JY29" s="16"/>
      <c r="JZ29" s="16"/>
      <c r="KA29" s="16"/>
      <c r="KB29" s="16"/>
      <c r="KC29" s="16"/>
      <c r="KD29" s="16"/>
      <c r="KE29" s="16"/>
      <c r="KF29" s="16"/>
      <c r="KG29" s="16"/>
      <c r="KH29" s="16"/>
      <c r="KI29" s="16"/>
      <c r="KJ29" s="16"/>
      <c r="KK29" s="16"/>
      <c r="KL29" s="16"/>
      <c r="KM29" s="16"/>
      <c r="KN29" s="16"/>
      <c r="KO29" s="16"/>
      <c r="KP29" s="16"/>
      <c r="KQ29" s="16"/>
      <c r="KR29" s="16"/>
      <c r="KS29" s="16"/>
      <c r="KT29" s="16"/>
      <c r="KU29" s="16"/>
      <c r="KV29" s="16"/>
      <c r="KW29" s="16"/>
      <c r="KX29" s="16"/>
      <c r="KY29" s="16"/>
      <c r="KZ29" s="16"/>
      <c r="LA29" s="16"/>
      <c r="LB29" s="16"/>
      <c r="LC29" s="16"/>
      <c r="LD29" s="16"/>
      <c r="LE29" s="16"/>
      <c r="LF29" s="16"/>
      <c r="LG29" s="16"/>
      <c r="LH29" s="16"/>
      <c r="LI29" s="16"/>
      <c r="LJ29" s="16"/>
      <c r="LK29" s="16"/>
      <c r="LL29" s="16"/>
      <c r="LM29" s="16"/>
      <c r="LN29" s="16"/>
      <c r="LO29" s="16"/>
      <c r="LP29" s="16"/>
      <c r="LQ29" s="16"/>
      <c r="LR29" s="16"/>
      <c r="LS29" s="16"/>
      <c r="LT29" s="16"/>
      <c r="LU29" s="16"/>
      <c r="LV29" s="16"/>
      <c r="LW29" s="16"/>
      <c r="LX29" s="16"/>
      <c r="LY29" s="16"/>
      <c r="LZ29" s="16"/>
      <c r="MA29" s="16"/>
      <c r="MB29" s="16"/>
      <c r="MC29" s="16"/>
      <c r="MD29" s="16"/>
      <c r="ME29" s="16"/>
      <c r="MF29" s="16"/>
      <c r="MG29" s="16"/>
      <c r="MH29" s="16"/>
      <c r="MI29" s="16"/>
      <c r="MJ29" s="16"/>
      <c r="MK29" s="16"/>
      <c r="ML29" s="16"/>
      <c r="MM29" s="16"/>
      <c r="MN29" s="16"/>
      <c r="MO29" s="16"/>
      <c r="MP29" s="16"/>
      <c r="MQ29" s="16"/>
      <c r="MR29" s="16"/>
      <c r="MS29" s="16"/>
      <c r="MT29" s="16"/>
      <c r="MU29" s="16"/>
      <c r="MV29" s="16"/>
      <c r="MW29" s="16"/>
      <c r="MX29" s="16"/>
      <c r="MY29" s="16"/>
      <c r="MZ29" s="16"/>
      <c r="NA29" s="16"/>
      <c r="NB29" s="16"/>
      <c r="NC29" s="16"/>
      <c r="ND29" s="16"/>
      <c r="NE29" s="16"/>
      <c r="NF29" s="16"/>
      <c r="NG29" s="16"/>
      <c r="NH29" s="16"/>
      <c r="NI29" s="16"/>
      <c r="NJ29" s="16"/>
      <c r="NK29" s="16"/>
      <c r="NL29" s="16"/>
      <c r="NM29" s="16"/>
      <c r="NN29" s="16"/>
      <c r="NO29" s="16"/>
      <c r="NP29" s="16"/>
      <c r="NQ29" s="16"/>
      <c r="NR29" s="16"/>
      <c r="NS29" s="16"/>
      <c r="NT29" s="16"/>
      <c r="NU29" s="16"/>
      <c r="NV29" s="16"/>
      <c r="NW29" s="16"/>
      <c r="NX29" s="16"/>
      <c r="NY29" s="16"/>
      <c r="NZ29" s="16"/>
      <c r="OA29" s="16"/>
      <c r="OB29" s="16"/>
      <c r="OC29" s="16"/>
      <c r="OD29" s="16"/>
      <c r="OE29" s="16"/>
      <c r="OF29" s="16"/>
      <c r="OG29" s="16"/>
      <c r="OH29" s="16"/>
      <c r="OI29" s="16"/>
      <c r="OJ29" s="16"/>
      <c r="OK29" s="16"/>
      <c r="OL29" s="16"/>
      <c r="OM29" s="16"/>
      <c r="ON29" s="16"/>
      <c r="OO29" s="16"/>
      <c r="OP29" s="16"/>
      <c r="OQ29" s="16"/>
      <c r="OR29" s="16"/>
      <c r="OS29" s="16"/>
      <c r="OT29" s="16"/>
      <c r="OU29" s="16"/>
      <c r="OV29" s="16"/>
      <c r="OW29" s="16"/>
      <c r="OX29" s="16"/>
      <c r="OY29" s="16"/>
      <c r="OZ29" s="16"/>
      <c r="PA29" s="16"/>
      <c r="PB29" s="16"/>
      <c r="PC29" s="16"/>
      <c r="PD29" s="16"/>
      <c r="PE29" s="16"/>
      <c r="PF29" s="16"/>
      <c r="PG29" s="16"/>
      <c r="PH29" s="16"/>
      <c r="PI29" s="16"/>
      <c r="PJ29" s="16"/>
      <c r="PK29" s="16"/>
      <c r="PL29" s="16"/>
      <c r="PM29" s="16"/>
      <c r="PN29" s="16"/>
      <c r="PO29" s="16"/>
      <c r="PP29" s="16"/>
      <c r="PQ29" s="16"/>
      <c r="PR29" s="16"/>
      <c r="PS29" s="16"/>
      <c r="PT29" s="16"/>
      <c r="PU29" s="16"/>
      <c r="PV29" s="16"/>
      <c r="PW29" s="16"/>
      <c r="PX29" s="16"/>
      <c r="PY29" s="16"/>
      <c r="PZ29" s="16"/>
      <c r="QA29" s="16"/>
      <c r="QB29" s="16"/>
      <c r="QC29" s="16"/>
      <c r="QD29" s="16"/>
      <c r="QE29" s="16"/>
      <c r="QF29" s="16"/>
      <c r="QG29" s="16"/>
      <c r="QH29" s="16"/>
      <c r="QI29" s="16"/>
      <c r="QJ29" s="16"/>
      <c r="QK29" s="16"/>
      <c r="QL29" s="16"/>
      <c r="QM29" s="16"/>
      <c r="QN29" s="16"/>
      <c r="QO29" s="16"/>
      <c r="QP29" s="16"/>
      <c r="QQ29" s="16"/>
      <c r="QR29" s="16"/>
      <c r="QS29" s="16"/>
      <c r="QT29" s="16"/>
      <c r="QU29" s="16"/>
      <c r="QV29" s="16"/>
      <c r="QW29" s="16"/>
      <c r="QX29" s="16"/>
      <c r="QY29" s="16"/>
      <c r="QZ29" s="16"/>
      <c r="RA29" s="16"/>
      <c r="RB29" s="16"/>
      <c r="RC29" s="16"/>
      <c r="RD29" s="16"/>
      <c r="RE29" s="16"/>
      <c r="RF29" s="16"/>
      <c r="RG29" s="16"/>
      <c r="RH29" s="16"/>
      <c r="RI29" s="16"/>
      <c r="RJ29" s="16"/>
      <c r="RK29" s="16"/>
      <c r="RL29" s="16"/>
      <c r="RM29" s="16"/>
      <c r="RN29" s="16"/>
      <c r="RO29" s="16"/>
      <c r="RP29" s="16"/>
      <c r="RQ29" s="16"/>
      <c r="RR29" s="16"/>
      <c r="RS29" s="16"/>
      <c r="RT29" s="16"/>
      <c r="RU29" s="16"/>
      <c r="RV29" s="16"/>
      <c r="RW29" s="16"/>
      <c r="RX29" s="16"/>
      <c r="RY29" s="16"/>
      <c r="RZ29" s="16"/>
      <c r="SA29" s="16"/>
      <c r="SB29" s="16"/>
      <c r="SC29" s="16"/>
      <c r="SD29" s="16"/>
      <c r="SE29" s="16"/>
      <c r="SF29" s="16"/>
      <c r="SG29" s="16"/>
      <c r="SH29" s="16"/>
      <c r="SI29" s="16"/>
      <c r="SJ29" s="16"/>
      <c r="SK29" s="16"/>
      <c r="SL29" s="16"/>
      <c r="SM29" s="16"/>
      <c r="SN29" s="16"/>
      <c r="SO29" s="16"/>
      <c r="SP29" s="16"/>
      <c r="SQ29" s="16"/>
      <c r="SR29" s="16"/>
      <c r="SS29" s="16"/>
      <c r="ST29" s="16"/>
      <c r="SU29" s="16"/>
      <c r="SV29" s="16"/>
      <c r="SW29" s="16"/>
      <c r="SX29" s="16"/>
      <c r="SY29" s="16"/>
      <c r="SZ29" s="16"/>
      <c r="TA29" s="16"/>
      <c r="TB29" s="16"/>
      <c r="TC29" s="16"/>
      <c r="TD29" s="16"/>
      <c r="TE29" s="16"/>
      <c r="TF29" s="16"/>
      <c r="TG29" s="16"/>
      <c r="TH29" s="16"/>
      <c r="TI29" s="16"/>
      <c r="TJ29" s="16"/>
      <c r="TK29" s="16"/>
      <c r="TL29" s="16"/>
      <c r="TM29" s="16"/>
      <c r="TN29" s="16"/>
      <c r="TO29" s="16"/>
      <c r="TP29" s="16"/>
      <c r="TQ29" s="16"/>
      <c r="TR29" s="16"/>
      <c r="TS29" s="16"/>
      <c r="TT29" s="16"/>
      <c r="TU29" s="16"/>
      <c r="TV29" s="16"/>
      <c r="TW29" s="16"/>
      <c r="TX29" s="16"/>
      <c r="TY29" s="16"/>
      <c r="TZ29" s="16"/>
      <c r="UA29" s="16"/>
      <c r="UB29" s="16"/>
      <c r="UC29" s="16"/>
      <c r="UD29" s="16"/>
      <c r="UE29" s="16"/>
      <c r="UF29" s="16"/>
      <c r="UG29" s="16"/>
      <c r="UH29" s="16"/>
      <c r="UI29" s="16"/>
      <c r="UJ29" s="16"/>
      <c r="UK29" s="16"/>
      <c r="UL29" s="16"/>
      <c r="UM29" s="16"/>
      <c r="UN29" s="16"/>
      <c r="UO29" s="16"/>
      <c r="UP29" s="16"/>
      <c r="UQ29" s="16"/>
      <c r="UR29" s="16"/>
      <c r="US29" s="16"/>
      <c r="UT29" s="16"/>
      <c r="UU29" s="16"/>
      <c r="UV29" s="16"/>
      <c r="UW29" s="16"/>
      <c r="UX29" s="16"/>
      <c r="UY29" s="16"/>
      <c r="UZ29" s="16"/>
      <c r="VA29" s="16"/>
      <c r="VB29" s="16"/>
      <c r="VC29" s="16"/>
      <c r="VD29" s="16"/>
      <c r="VE29" s="16"/>
      <c r="VF29" s="16"/>
      <c r="VG29" s="16"/>
      <c r="VH29" s="16"/>
      <c r="VI29" s="16"/>
      <c r="VJ29" s="16"/>
      <c r="VK29" s="16"/>
      <c r="VL29" s="16"/>
      <c r="VM29" s="16"/>
      <c r="VN29" s="16"/>
      <c r="VO29" s="16"/>
      <c r="VP29" s="16"/>
      <c r="VQ29" s="16"/>
      <c r="VR29" s="16"/>
      <c r="VS29" s="16"/>
      <c r="VT29" s="16"/>
      <c r="VU29" s="16"/>
      <c r="VV29" s="16"/>
      <c r="VW29" s="16"/>
      <c r="VX29" s="16"/>
      <c r="VY29" s="16"/>
      <c r="VZ29" s="16"/>
      <c r="WA29" s="16"/>
      <c r="WB29" s="16"/>
      <c r="WC29" s="16"/>
      <c r="WD29" s="16"/>
      <c r="WE29" s="16"/>
      <c r="WF29" s="16"/>
      <c r="WG29" s="16"/>
      <c r="WH29" s="16"/>
      <c r="WI29" s="16"/>
      <c r="WJ29" s="16"/>
      <c r="WK29" s="16"/>
      <c r="WL29" s="16"/>
      <c r="WM29" s="16"/>
      <c r="WN29" s="16"/>
      <c r="WO29" s="16"/>
      <c r="WP29" s="16"/>
      <c r="WQ29" s="16"/>
      <c r="WR29" s="16"/>
      <c r="WS29" s="16"/>
      <c r="WT29" s="16"/>
      <c r="WU29" s="16"/>
      <c r="WV29" s="16"/>
      <c r="WW29" s="16"/>
      <c r="WX29" s="16"/>
      <c r="WY29" s="16"/>
      <c r="WZ29" s="16"/>
      <c r="XA29" s="16"/>
      <c r="XB29" s="16"/>
      <c r="XC29" s="16"/>
      <c r="XD29" s="16"/>
      <c r="XE29" s="16"/>
      <c r="XF29" s="16"/>
      <c r="XG29" s="16"/>
      <c r="XH29" s="16"/>
      <c r="XI29" s="16"/>
      <c r="XJ29" s="16"/>
      <c r="XK29" s="16"/>
      <c r="XL29" s="16"/>
      <c r="XM29" s="16"/>
      <c r="XN29" s="16"/>
      <c r="XO29" s="16"/>
      <c r="XP29" s="16"/>
      <c r="XQ29" s="16"/>
      <c r="XR29" s="16"/>
      <c r="XS29" s="16"/>
      <c r="XT29" s="16"/>
      <c r="XU29" s="16"/>
      <c r="XV29" s="16"/>
      <c r="XW29" s="16"/>
      <c r="XX29" s="16"/>
      <c r="XY29" s="16"/>
      <c r="XZ29" s="16"/>
      <c r="YA29" s="16"/>
      <c r="YB29" s="16"/>
      <c r="YC29" s="16"/>
      <c r="YD29" s="16"/>
      <c r="YE29" s="16"/>
      <c r="YF29" s="16"/>
      <c r="YG29" s="16"/>
      <c r="YH29" s="16"/>
      <c r="YI29" s="16"/>
      <c r="YJ29" s="16"/>
      <c r="YK29" s="16"/>
      <c r="YL29" s="16"/>
      <c r="YM29" s="16"/>
      <c r="YN29" s="16"/>
      <c r="YO29" s="16"/>
      <c r="YP29" s="16"/>
      <c r="YQ29" s="16"/>
      <c r="YR29" s="16"/>
      <c r="YS29" s="16"/>
      <c r="YT29" s="16"/>
      <c r="YU29" s="16"/>
      <c r="YV29" s="16"/>
      <c r="YW29" s="16"/>
      <c r="YX29" s="16"/>
      <c r="YY29" s="16"/>
      <c r="YZ29" s="16"/>
      <c r="ZA29" s="16"/>
      <c r="ZB29" s="16"/>
      <c r="ZC29" s="16"/>
      <c r="ZD29" s="16"/>
      <c r="ZE29" s="16"/>
      <c r="ZF29" s="16"/>
      <c r="ZG29" s="16"/>
      <c r="ZH29" s="16"/>
      <c r="ZI29" s="16"/>
      <c r="ZJ29" s="16"/>
      <c r="ZK29" s="16"/>
      <c r="ZL29" s="16"/>
      <c r="ZM29" s="16"/>
      <c r="ZN29" s="16"/>
      <c r="ZO29" s="16"/>
      <c r="ZP29" s="16"/>
      <c r="ZQ29" s="16"/>
      <c r="ZR29" s="16"/>
      <c r="ZS29" s="16"/>
      <c r="ZT29" s="16"/>
      <c r="ZU29" s="16"/>
      <c r="ZV29" s="16"/>
      <c r="ZW29" s="16"/>
      <c r="ZX29" s="16"/>
      <c r="ZY29" s="16"/>
      <c r="ZZ29" s="16"/>
      <c r="AAA29" s="16"/>
      <c r="AAB29" s="16"/>
      <c r="AAC29" s="16"/>
      <c r="AAD29" s="16"/>
      <c r="AAE29" s="16"/>
      <c r="AAF29" s="16"/>
      <c r="AAG29" s="16"/>
      <c r="AAH29" s="16"/>
      <c r="AAI29" s="16"/>
      <c r="AAJ29" s="16"/>
      <c r="AAK29" s="16"/>
      <c r="AAL29" s="16"/>
      <c r="AAM29" s="16"/>
      <c r="AAN29" s="16"/>
      <c r="AAO29" s="16"/>
      <c r="AAP29" s="16"/>
      <c r="AAQ29" s="16"/>
      <c r="AAR29" s="16"/>
      <c r="AAS29" s="16"/>
      <c r="AAT29" s="16"/>
      <c r="AAU29" s="16"/>
      <c r="AAV29" s="16"/>
      <c r="AAW29" s="16"/>
      <c r="AAX29" s="16"/>
      <c r="AAY29" s="16"/>
      <c r="AAZ29" s="16"/>
      <c r="ABA29" s="16"/>
      <c r="ABB29" s="16"/>
      <c r="ABC29" s="16"/>
      <c r="ABD29" s="16"/>
      <c r="ABE29" s="16"/>
      <c r="ABF29" s="16"/>
      <c r="ABG29" s="16"/>
      <c r="ABH29" s="16"/>
      <c r="ABI29" s="16"/>
      <c r="ABJ29" s="16"/>
      <c r="ABK29" s="16"/>
      <c r="ABL29" s="16"/>
      <c r="ABM29" s="16"/>
      <c r="ABN29" s="16"/>
      <c r="ABO29" s="16"/>
      <c r="ABP29" s="16"/>
      <c r="ABQ29" s="16"/>
      <c r="ABR29" s="16"/>
      <c r="ABS29" s="16"/>
      <c r="ABT29" s="16"/>
    </row>
    <row r="30" spans="1:748" s="15" customFormat="1" ht="18" customHeight="1" x14ac:dyDescent="0.2">
      <c r="A30" s="240"/>
      <c r="B30" s="241"/>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6"/>
      <c r="GF30" s="16"/>
      <c r="GG30" s="16"/>
      <c r="GH30" s="16"/>
      <c r="GI30" s="16"/>
      <c r="GJ30" s="16"/>
      <c r="GK30" s="16"/>
      <c r="GL30" s="16"/>
      <c r="GM30" s="16"/>
      <c r="GN30" s="16"/>
      <c r="GO30" s="16"/>
      <c r="GP30" s="16"/>
      <c r="GQ30" s="16"/>
      <c r="GR30" s="16"/>
      <c r="GS30" s="16"/>
      <c r="GT30" s="16"/>
      <c r="GU30" s="16"/>
      <c r="GV30" s="16"/>
      <c r="GW30" s="16"/>
      <c r="GX30" s="16"/>
      <c r="GY30" s="16"/>
      <c r="GZ30" s="16"/>
      <c r="HA30" s="16"/>
      <c r="HB30" s="16"/>
      <c r="HC30" s="16"/>
      <c r="HD30" s="16"/>
      <c r="HE30" s="16"/>
      <c r="HF30" s="16"/>
      <c r="HG30" s="16"/>
      <c r="HH30" s="16"/>
      <c r="HI30" s="16"/>
      <c r="HJ30" s="16"/>
      <c r="HK30" s="16"/>
      <c r="HL30" s="16"/>
      <c r="HM30" s="16"/>
      <c r="HN30" s="16"/>
      <c r="HO30" s="16"/>
      <c r="HP30" s="16"/>
      <c r="HQ30" s="16"/>
      <c r="HR30" s="16"/>
      <c r="HS30" s="16"/>
      <c r="HT30" s="16"/>
      <c r="HU30" s="16"/>
      <c r="HV30" s="16"/>
      <c r="HW30" s="16"/>
      <c r="HX30" s="16"/>
      <c r="HY30" s="16"/>
      <c r="HZ30" s="16"/>
      <c r="IA30" s="16"/>
      <c r="IB30" s="16"/>
      <c r="IC30" s="16"/>
      <c r="ID30" s="16"/>
      <c r="IE30" s="16"/>
      <c r="IF30" s="16"/>
      <c r="IG30" s="16"/>
      <c r="IH30" s="16"/>
      <c r="II30" s="16"/>
      <c r="IJ30" s="16"/>
      <c r="IK30" s="16"/>
      <c r="IL30" s="16"/>
      <c r="IM30" s="16"/>
      <c r="IN30" s="16"/>
      <c r="IO30" s="16"/>
      <c r="IP30" s="16"/>
      <c r="IQ30" s="16"/>
      <c r="IR30" s="16"/>
      <c r="IS30" s="16"/>
      <c r="IT30" s="16"/>
      <c r="IU30" s="16"/>
      <c r="IV30" s="16"/>
      <c r="IW30" s="16"/>
      <c r="IX30" s="16"/>
      <c r="IY30" s="16"/>
      <c r="IZ30" s="16"/>
      <c r="JA30" s="16"/>
      <c r="JB30" s="16"/>
      <c r="JC30" s="16"/>
      <c r="JD30" s="16"/>
      <c r="JE30" s="16"/>
      <c r="JF30" s="16"/>
      <c r="JG30" s="16"/>
      <c r="JH30" s="16"/>
      <c r="JI30" s="16"/>
      <c r="JJ30" s="16"/>
      <c r="JK30" s="16"/>
      <c r="JL30" s="16"/>
      <c r="JM30" s="16"/>
      <c r="JN30" s="16"/>
      <c r="JO30" s="16"/>
      <c r="JP30" s="16"/>
      <c r="JQ30" s="16"/>
      <c r="JR30" s="16"/>
      <c r="JS30" s="16"/>
      <c r="JT30" s="16"/>
      <c r="JU30" s="16"/>
      <c r="JV30" s="16"/>
      <c r="JW30" s="16"/>
      <c r="JX30" s="16"/>
      <c r="JY30" s="16"/>
      <c r="JZ30" s="16"/>
      <c r="KA30" s="16"/>
      <c r="KB30" s="16"/>
      <c r="KC30" s="16"/>
      <c r="KD30" s="16"/>
      <c r="KE30" s="16"/>
      <c r="KF30" s="16"/>
      <c r="KG30" s="16"/>
      <c r="KH30" s="16"/>
      <c r="KI30" s="16"/>
      <c r="KJ30" s="16"/>
      <c r="KK30" s="16"/>
      <c r="KL30" s="16"/>
      <c r="KM30" s="16"/>
      <c r="KN30" s="16"/>
      <c r="KO30" s="16"/>
      <c r="KP30" s="16"/>
      <c r="KQ30" s="16"/>
      <c r="KR30" s="16"/>
      <c r="KS30" s="16"/>
      <c r="KT30" s="16"/>
      <c r="KU30" s="16"/>
      <c r="KV30" s="16"/>
      <c r="KW30" s="16"/>
      <c r="KX30" s="16"/>
      <c r="KY30" s="16"/>
      <c r="KZ30" s="16"/>
      <c r="LA30" s="16"/>
      <c r="LB30" s="16"/>
      <c r="LC30" s="16"/>
      <c r="LD30" s="16"/>
      <c r="LE30" s="16"/>
      <c r="LF30" s="16"/>
      <c r="LG30" s="16"/>
      <c r="LH30" s="16"/>
      <c r="LI30" s="16"/>
      <c r="LJ30" s="16"/>
      <c r="LK30" s="16"/>
      <c r="LL30" s="16"/>
      <c r="LM30" s="16"/>
      <c r="LN30" s="16"/>
      <c r="LO30" s="16"/>
      <c r="LP30" s="16"/>
      <c r="LQ30" s="16"/>
      <c r="LR30" s="16"/>
      <c r="LS30" s="16"/>
      <c r="LT30" s="16"/>
      <c r="LU30" s="16"/>
      <c r="LV30" s="16"/>
      <c r="LW30" s="16"/>
      <c r="LX30" s="16"/>
      <c r="LY30" s="16"/>
      <c r="LZ30" s="16"/>
      <c r="MA30" s="16"/>
      <c r="MB30" s="16"/>
      <c r="MC30" s="16"/>
      <c r="MD30" s="16"/>
      <c r="ME30" s="16"/>
      <c r="MF30" s="16"/>
      <c r="MG30" s="16"/>
      <c r="MH30" s="16"/>
      <c r="MI30" s="16"/>
      <c r="MJ30" s="16"/>
      <c r="MK30" s="16"/>
      <c r="ML30" s="16"/>
      <c r="MM30" s="16"/>
      <c r="MN30" s="16"/>
      <c r="MO30" s="16"/>
      <c r="MP30" s="16"/>
      <c r="MQ30" s="16"/>
      <c r="MR30" s="16"/>
      <c r="MS30" s="16"/>
      <c r="MT30" s="16"/>
      <c r="MU30" s="16"/>
      <c r="MV30" s="16"/>
      <c r="MW30" s="16"/>
      <c r="MX30" s="16"/>
      <c r="MY30" s="16"/>
      <c r="MZ30" s="16"/>
      <c r="NA30" s="16"/>
      <c r="NB30" s="16"/>
      <c r="NC30" s="16"/>
      <c r="ND30" s="16"/>
      <c r="NE30" s="16"/>
      <c r="NF30" s="16"/>
      <c r="NG30" s="16"/>
      <c r="NH30" s="16"/>
      <c r="NI30" s="16"/>
      <c r="NJ30" s="16"/>
      <c r="NK30" s="16"/>
      <c r="NL30" s="16"/>
      <c r="NM30" s="16"/>
      <c r="NN30" s="16"/>
      <c r="NO30" s="16"/>
      <c r="NP30" s="16"/>
      <c r="NQ30" s="16"/>
      <c r="NR30" s="16"/>
      <c r="NS30" s="16"/>
      <c r="NT30" s="16"/>
      <c r="NU30" s="16"/>
      <c r="NV30" s="16"/>
      <c r="NW30" s="16"/>
      <c r="NX30" s="16"/>
      <c r="NY30" s="16"/>
      <c r="NZ30" s="16"/>
      <c r="OA30" s="16"/>
      <c r="OB30" s="16"/>
      <c r="OC30" s="16"/>
      <c r="OD30" s="16"/>
      <c r="OE30" s="16"/>
      <c r="OF30" s="16"/>
      <c r="OG30" s="16"/>
      <c r="OH30" s="16"/>
      <c r="OI30" s="16"/>
      <c r="OJ30" s="16"/>
      <c r="OK30" s="16"/>
      <c r="OL30" s="16"/>
      <c r="OM30" s="16"/>
      <c r="ON30" s="16"/>
      <c r="OO30" s="16"/>
      <c r="OP30" s="16"/>
      <c r="OQ30" s="16"/>
      <c r="OR30" s="16"/>
      <c r="OS30" s="16"/>
      <c r="OT30" s="16"/>
      <c r="OU30" s="16"/>
      <c r="OV30" s="16"/>
      <c r="OW30" s="16"/>
      <c r="OX30" s="16"/>
      <c r="OY30" s="16"/>
      <c r="OZ30" s="16"/>
      <c r="PA30" s="16"/>
      <c r="PB30" s="16"/>
      <c r="PC30" s="16"/>
      <c r="PD30" s="16"/>
      <c r="PE30" s="16"/>
      <c r="PF30" s="16"/>
      <c r="PG30" s="16"/>
      <c r="PH30" s="16"/>
      <c r="PI30" s="16"/>
      <c r="PJ30" s="16"/>
      <c r="PK30" s="16"/>
      <c r="PL30" s="16"/>
      <c r="PM30" s="16"/>
      <c r="PN30" s="16"/>
      <c r="PO30" s="16"/>
      <c r="PP30" s="16"/>
      <c r="PQ30" s="16"/>
      <c r="PR30" s="16"/>
      <c r="PS30" s="16"/>
      <c r="PT30" s="16"/>
      <c r="PU30" s="16"/>
      <c r="PV30" s="16"/>
      <c r="PW30" s="16"/>
      <c r="PX30" s="16"/>
      <c r="PY30" s="16"/>
      <c r="PZ30" s="16"/>
      <c r="QA30" s="16"/>
      <c r="QB30" s="16"/>
      <c r="QC30" s="16"/>
      <c r="QD30" s="16"/>
      <c r="QE30" s="16"/>
      <c r="QF30" s="16"/>
      <c r="QG30" s="16"/>
      <c r="QH30" s="16"/>
      <c r="QI30" s="16"/>
      <c r="QJ30" s="16"/>
      <c r="QK30" s="16"/>
      <c r="QL30" s="16"/>
      <c r="QM30" s="16"/>
      <c r="QN30" s="16"/>
      <c r="QO30" s="16"/>
      <c r="QP30" s="16"/>
      <c r="QQ30" s="16"/>
      <c r="QR30" s="16"/>
      <c r="QS30" s="16"/>
      <c r="QT30" s="16"/>
      <c r="QU30" s="16"/>
      <c r="QV30" s="16"/>
      <c r="QW30" s="16"/>
      <c r="QX30" s="16"/>
      <c r="QY30" s="16"/>
      <c r="QZ30" s="16"/>
      <c r="RA30" s="16"/>
      <c r="RB30" s="16"/>
      <c r="RC30" s="16"/>
      <c r="RD30" s="16"/>
      <c r="RE30" s="16"/>
      <c r="RF30" s="16"/>
      <c r="RG30" s="16"/>
      <c r="RH30" s="16"/>
      <c r="RI30" s="16"/>
      <c r="RJ30" s="16"/>
      <c r="RK30" s="16"/>
      <c r="RL30" s="16"/>
      <c r="RM30" s="16"/>
      <c r="RN30" s="16"/>
      <c r="RO30" s="16"/>
      <c r="RP30" s="16"/>
      <c r="RQ30" s="16"/>
      <c r="RR30" s="16"/>
      <c r="RS30" s="16"/>
      <c r="RT30" s="16"/>
      <c r="RU30" s="16"/>
      <c r="RV30" s="16"/>
      <c r="RW30" s="16"/>
      <c r="RX30" s="16"/>
      <c r="RY30" s="16"/>
      <c r="RZ30" s="16"/>
      <c r="SA30" s="16"/>
      <c r="SB30" s="16"/>
      <c r="SC30" s="16"/>
      <c r="SD30" s="16"/>
      <c r="SE30" s="16"/>
      <c r="SF30" s="16"/>
      <c r="SG30" s="16"/>
      <c r="SH30" s="16"/>
      <c r="SI30" s="16"/>
      <c r="SJ30" s="16"/>
      <c r="SK30" s="16"/>
      <c r="SL30" s="16"/>
      <c r="SM30" s="16"/>
      <c r="SN30" s="16"/>
      <c r="SO30" s="16"/>
      <c r="SP30" s="16"/>
      <c r="SQ30" s="16"/>
      <c r="SR30" s="16"/>
      <c r="SS30" s="16"/>
      <c r="ST30" s="16"/>
      <c r="SU30" s="16"/>
      <c r="SV30" s="16"/>
      <c r="SW30" s="16"/>
      <c r="SX30" s="16"/>
      <c r="SY30" s="16"/>
      <c r="SZ30" s="16"/>
      <c r="TA30" s="16"/>
      <c r="TB30" s="16"/>
      <c r="TC30" s="16"/>
      <c r="TD30" s="16"/>
      <c r="TE30" s="16"/>
      <c r="TF30" s="16"/>
      <c r="TG30" s="16"/>
      <c r="TH30" s="16"/>
      <c r="TI30" s="16"/>
      <c r="TJ30" s="16"/>
      <c r="TK30" s="16"/>
      <c r="TL30" s="16"/>
      <c r="TM30" s="16"/>
      <c r="TN30" s="16"/>
      <c r="TO30" s="16"/>
      <c r="TP30" s="16"/>
      <c r="TQ30" s="16"/>
      <c r="TR30" s="16"/>
      <c r="TS30" s="16"/>
      <c r="TT30" s="16"/>
      <c r="TU30" s="16"/>
      <c r="TV30" s="16"/>
      <c r="TW30" s="16"/>
      <c r="TX30" s="16"/>
      <c r="TY30" s="16"/>
      <c r="TZ30" s="16"/>
      <c r="UA30" s="16"/>
      <c r="UB30" s="16"/>
      <c r="UC30" s="16"/>
      <c r="UD30" s="16"/>
      <c r="UE30" s="16"/>
      <c r="UF30" s="16"/>
      <c r="UG30" s="16"/>
      <c r="UH30" s="16"/>
      <c r="UI30" s="16"/>
      <c r="UJ30" s="16"/>
      <c r="UK30" s="16"/>
      <c r="UL30" s="16"/>
      <c r="UM30" s="16"/>
      <c r="UN30" s="16"/>
      <c r="UO30" s="16"/>
      <c r="UP30" s="16"/>
      <c r="UQ30" s="16"/>
      <c r="UR30" s="16"/>
      <c r="US30" s="16"/>
      <c r="UT30" s="16"/>
      <c r="UU30" s="16"/>
      <c r="UV30" s="16"/>
      <c r="UW30" s="16"/>
      <c r="UX30" s="16"/>
      <c r="UY30" s="16"/>
      <c r="UZ30" s="16"/>
      <c r="VA30" s="16"/>
      <c r="VB30" s="16"/>
      <c r="VC30" s="16"/>
      <c r="VD30" s="16"/>
      <c r="VE30" s="16"/>
      <c r="VF30" s="16"/>
      <c r="VG30" s="16"/>
      <c r="VH30" s="16"/>
      <c r="VI30" s="16"/>
      <c r="VJ30" s="16"/>
      <c r="VK30" s="16"/>
      <c r="VL30" s="16"/>
      <c r="VM30" s="16"/>
      <c r="VN30" s="16"/>
      <c r="VO30" s="16"/>
      <c r="VP30" s="16"/>
      <c r="VQ30" s="16"/>
      <c r="VR30" s="16"/>
      <c r="VS30" s="16"/>
      <c r="VT30" s="16"/>
      <c r="VU30" s="16"/>
      <c r="VV30" s="16"/>
      <c r="VW30" s="16"/>
      <c r="VX30" s="16"/>
      <c r="VY30" s="16"/>
      <c r="VZ30" s="16"/>
      <c r="WA30" s="16"/>
      <c r="WB30" s="16"/>
      <c r="WC30" s="16"/>
      <c r="WD30" s="16"/>
      <c r="WE30" s="16"/>
      <c r="WF30" s="16"/>
      <c r="WG30" s="16"/>
      <c r="WH30" s="16"/>
      <c r="WI30" s="16"/>
      <c r="WJ30" s="16"/>
      <c r="WK30" s="16"/>
      <c r="WL30" s="16"/>
      <c r="WM30" s="16"/>
      <c r="WN30" s="16"/>
      <c r="WO30" s="16"/>
      <c r="WP30" s="16"/>
      <c r="WQ30" s="16"/>
      <c r="WR30" s="16"/>
      <c r="WS30" s="16"/>
      <c r="WT30" s="16"/>
      <c r="WU30" s="16"/>
      <c r="WV30" s="16"/>
      <c r="WW30" s="16"/>
      <c r="WX30" s="16"/>
      <c r="WY30" s="16"/>
      <c r="WZ30" s="16"/>
      <c r="XA30" s="16"/>
      <c r="XB30" s="16"/>
      <c r="XC30" s="16"/>
      <c r="XD30" s="16"/>
      <c r="XE30" s="16"/>
      <c r="XF30" s="16"/>
      <c r="XG30" s="16"/>
      <c r="XH30" s="16"/>
      <c r="XI30" s="16"/>
      <c r="XJ30" s="16"/>
      <c r="XK30" s="16"/>
      <c r="XL30" s="16"/>
      <c r="XM30" s="16"/>
      <c r="XN30" s="16"/>
      <c r="XO30" s="16"/>
      <c r="XP30" s="16"/>
      <c r="XQ30" s="16"/>
      <c r="XR30" s="16"/>
      <c r="XS30" s="16"/>
      <c r="XT30" s="16"/>
      <c r="XU30" s="16"/>
      <c r="XV30" s="16"/>
      <c r="XW30" s="16"/>
      <c r="XX30" s="16"/>
      <c r="XY30" s="16"/>
      <c r="XZ30" s="16"/>
      <c r="YA30" s="16"/>
      <c r="YB30" s="16"/>
      <c r="YC30" s="16"/>
      <c r="YD30" s="16"/>
      <c r="YE30" s="16"/>
      <c r="YF30" s="16"/>
      <c r="YG30" s="16"/>
      <c r="YH30" s="16"/>
      <c r="YI30" s="16"/>
      <c r="YJ30" s="16"/>
      <c r="YK30" s="16"/>
      <c r="YL30" s="16"/>
      <c r="YM30" s="16"/>
      <c r="YN30" s="16"/>
      <c r="YO30" s="16"/>
      <c r="YP30" s="16"/>
      <c r="YQ30" s="16"/>
      <c r="YR30" s="16"/>
      <c r="YS30" s="16"/>
      <c r="YT30" s="16"/>
      <c r="YU30" s="16"/>
      <c r="YV30" s="16"/>
      <c r="YW30" s="16"/>
      <c r="YX30" s="16"/>
      <c r="YY30" s="16"/>
      <c r="YZ30" s="16"/>
      <c r="ZA30" s="16"/>
      <c r="ZB30" s="16"/>
      <c r="ZC30" s="16"/>
      <c r="ZD30" s="16"/>
      <c r="ZE30" s="16"/>
      <c r="ZF30" s="16"/>
      <c r="ZG30" s="16"/>
      <c r="ZH30" s="16"/>
      <c r="ZI30" s="16"/>
      <c r="ZJ30" s="16"/>
      <c r="ZK30" s="16"/>
      <c r="ZL30" s="16"/>
      <c r="ZM30" s="16"/>
      <c r="ZN30" s="16"/>
      <c r="ZO30" s="16"/>
      <c r="ZP30" s="16"/>
      <c r="ZQ30" s="16"/>
      <c r="ZR30" s="16"/>
      <c r="ZS30" s="16"/>
      <c r="ZT30" s="16"/>
      <c r="ZU30" s="16"/>
      <c r="ZV30" s="16"/>
      <c r="ZW30" s="16"/>
      <c r="ZX30" s="16"/>
      <c r="ZY30" s="16"/>
      <c r="ZZ30" s="16"/>
      <c r="AAA30" s="16"/>
      <c r="AAB30" s="16"/>
      <c r="AAC30" s="16"/>
      <c r="AAD30" s="16"/>
      <c r="AAE30" s="16"/>
      <c r="AAF30" s="16"/>
      <c r="AAG30" s="16"/>
      <c r="AAH30" s="16"/>
      <c r="AAI30" s="16"/>
      <c r="AAJ30" s="16"/>
      <c r="AAK30" s="16"/>
      <c r="AAL30" s="16"/>
      <c r="AAM30" s="16"/>
      <c r="AAN30" s="16"/>
      <c r="AAO30" s="16"/>
      <c r="AAP30" s="16"/>
      <c r="AAQ30" s="16"/>
      <c r="AAR30" s="16"/>
      <c r="AAS30" s="16"/>
      <c r="AAT30" s="16"/>
      <c r="AAU30" s="16"/>
      <c r="AAV30" s="16"/>
      <c r="AAW30" s="16"/>
      <c r="AAX30" s="16"/>
      <c r="AAY30" s="16"/>
      <c r="AAZ30" s="16"/>
      <c r="ABA30" s="16"/>
      <c r="ABB30" s="16"/>
      <c r="ABC30" s="16"/>
      <c r="ABD30" s="16"/>
      <c r="ABE30" s="16"/>
      <c r="ABF30" s="16"/>
      <c r="ABG30" s="16"/>
      <c r="ABH30" s="16"/>
      <c r="ABI30" s="16"/>
      <c r="ABJ30" s="16"/>
      <c r="ABK30" s="16"/>
      <c r="ABL30" s="16"/>
      <c r="ABM30" s="16"/>
      <c r="ABN30" s="16"/>
      <c r="ABO30" s="16"/>
      <c r="ABP30" s="16"/>
      <c r="ABQ30" s="16"/>
      <c r="ABR30" s="16"/>
      <c r="ABS30" s="16"/>
      <c r="ABT30" s="16"/>
    </row>
    <row r="31" spans="1:748" s="15" customFormat="1" ht="18" customHeight="1" x14ac:dyDescent="0.2">
      <c r="A31" s="20"/>
      <c r="B31" s="242"/>
      <c r="C31" s="243"/>
      <c r="D31" s="243"/>
      <c r="E31" s="16"/>
      <c r="F31" s="16"/>
      <c r="G31" s="16"/>
      <c r="H31" s="16"/>
      <c r="I31" s="16"/>
      <c r="J31" s="16"/>
      <c r="K31" s="16"/>
      <c r="L31" s="16"/>
      <c r="M31" s="243"/>
      <c r="N31" s="243"/>
      <c r="O31" s="243"/>
      <c r="P31" s="243"/>
      <c r="Q31" s="243"/>
      <c r="R31" s="243"/>
      <c r="S31" s="243"/>
      <c r="T31" s="243"/>
      <c r="U31" s="243"/>
      <c r="V31" s="243"/>
      <c r="W31" s="243"/>
      <c r="X31" s="243"/>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6"/>
      <c r="GA31" s="16"/>
      <c r="GB31" s="16"/>
      <c r="GC31" s="16"/>
      <c r="GD31" s="16"/>
      <c r="GE31" s="16"/>
      <c r="GF31" s="16"/>
      <c r="GG31" s="16"/>
      <c r="GH31" s="16"/>
      <c r="GI31" s="16"/>
      <c r="GJ31" s="16"/>
      <c r="GK31" s="16"/>
      <c r="GL31" s="16"/>
      <c r="GM31" s="16"/>
      <c r="GN31" s="16"/>
      <c r="GO31" s="16"/>
      <c r="GP31" s="16"/>
      <c r="GQ31" s="16"/>
      <c r="GR31" s="16"/>
      <c r="GS31" s="16"/>
      <c r="GT31" s="16"/>
      <c r="GU31" s="16"/>
      <c r="GV31" s="16"/>
      <c r="GW31" s="16"/>
      <c r="GX31" s="16"/>
      <c r="GY31" s="16"/>
      <c r="GZ31" s="16"/>
      <c r="HA31" s="16"/>
      <c r="HB31" s="16"/>
      <c r="HC31" s="16"/>
      <c r="HD31" s="16"/>
      <c r="HE31" s="16"/>
      <c r="HF31" s="16"/>
      <c r="HG31" s="16"/>
      <c r="HH31" s="16"/>
      <c r="HI31" s="16"/>
      <c r="HJ31" s="16"/>
      <c r="HK31" s="16"/>
      <c r="HL31" s="16"/>
      <c r="HM31" s="16"/>
      <c r="HN31" s="16"/>
      <c r="HO31" s="16"/>
      <c r="HP31" s="16"/>
      <c r="HQ31" s="16"/>
      <c r="HR31" s="16"/>
      <c r="HS31" s="16"/>
      <c r="HT31" s="16"/>
      <c r="HU31" s="16"/>
      <c r="HV31" s="16"/>
      <c r="HW31" s="16"/>
      <c r="HX31" s="16"/>
      <c r="HY31" s="16"/>
      <c r="HZ31" s="16"/>
      <c r="IA31" s="16"/>
      <c r="IB31" s="16"/>
      <c r="IC31" s="16"/>
      <c r="ID31" s="16"/>
      <c r="IE31" s="16"/>
      <c r="IF31" s="16"/>
      <c r="IG31" s="16"/>
      <c r="IH31" s="16"/>
      <c r="II31" s="16"/>
      <c r="IJ31" s="16"/>
      <c r="IK31" s="16"/>
      <c r="IL31" s="16"/>
      <c r="IM31" s="16"/>
      <c r="IN31" s="16"/>
      <c r="IO31" s="16"/>
      <c r="IP31" s="16"/>
      <c r="IQ31" s="16"/>
      <c r="IR31" s="16"/>
      <c r="IS31" s="16"/>
      <c r="IT31" s="16"/>
      <c r="IU31" s="16"/>
      <c r="IV31" s="16"/>
      <c r="IW31" s="16"/>
      <c r="IX31" s="16"/>
      <c r="IY31" s="16"/>
      <c r="IZ31" s="16"/>
      <c r="JA31" s="16"/>
      <c r="JB31" s="16"/>
      <c r="JC31" s="16"/>
      <c r="JD31" s="16"/>
      <c r="JE31" s="16"/>
      <c r="JF31" s="16"/>
      <c r="JG31" s="16"/>
      <c r="JH31" s="16"/>
      <c r="JI31" s="16"/>
      <c r="JJ31" s="16"/>
      <c r="JK31" s="16"/>
      <c r="JL31" s="16"/>
      <c r="JM31" s="16"/>
      <c r="JN31" s="16"/>
      <c r="JO31" s="16"/>
      <c r="JP31" s="16"/>
      <c r="JQ31" s="16"/>
      <c r="JR31" s="16"/>
      <c r="JS31" s="16"/>
      <c r="JT31" s="16"/>
      <c r="JU31" s="16"/>
      <c r="JV31" s="16"/>
      <c r="JW31" s="16"/>
      <c r="JX31" s="16"/>
      <c r="JY31" s="16"/>
      <c r="JZ31" s="16"/>
      <c r="KA31" s="16"/>
      <c r="KB31" s="16"/>
      <c r="KC31" s="16"/>
      <c r="KD31" s="16"/>
      <c r="KE31" s="16"/>
      <c r="KF31" s="16"/>
      <c r="KG31" s="16"/>
      <c r="KH31" s="16"/>
      <c r="KI31" s="16"/>
      <c r="KJ31" s="16"/>
      <c r="KK31" s="16"/>
      <c r="KL31" s="16"/>
      <c r="KM31" s="16"/>
      <c r="KN31" s="16"/>
      <c r="KO31" s="16"/>
      <c r="KP31" s="16"/>
      <c r="KQ31" s="16"/>
      <c r="KR31" s="16"/>
      <c r="KS31" s="16"/>
      <c r="KT31" s="16"/>
      <c r="KU31" s="16"/>
      <c r="KV31" s="16"/>
      <c r="KW31" s="16"/>
      <c r="KX31" s="16"/>
      <c r="KY31" s="16"/>
      <c r="KZ31" s="16"/>
      <c r="LA31" s="16"/>
      <c r="LB31" s="16"/>
      <c r="LC31" s="16"/>
      <c r="LD31" s="16"/>
      <c r="LE31" s="16"/>
      <c r="LF31" s="16"/>
      <c r="LG31" s="16"/>
      <c r="LH31" s="16"/>
      <c r="LI31" s="16"/>
      <c r="LJ31" s="16"/>
      <c r="LK31" s="16"/>
      <c r="LL31" s="16"/>
      <c r="LM31" s="16"/>
      <c r="LN31" s="16"/>
      <c r="LO31" s="16"/>
      <c r="LP31" s="16"/>
      <c r="LQ31" s="16"/>
      <c r="LR31" s="16"/>
      <c r="LS31" s="16"/>
      <c r="LT31" s="16"/>
      <c r="LU31" s="16"/>
      <c r="LV31" s="16"/>
      <c r="LW31" s="16"/>
      <c r="LX31" s="16"/>
      <c r="LY31" s="16"/>
      <c r="LZ31" s="16"/>
      <c r="MA31" s="16"/>
      <c r="MB31" s="16"/>
      <c r="MC31" s="16"/>
      <c r="MD31" s="16"/>
      <c r="ME31" s="16"/>
      <c r="MF31" s="16"/>
      <c r="MG31" s="16"/>
      <c r="MH31" s="16"/>
      <c r="MI31" s="16"/>
      <c r="MJ31" s="16"/>
      <c r="MK31" s="16"/>
      <c r="ML31" s="16"/>
      <c r="MM31" s="16"/>
      <c r="MN31" s="16"/>
      <c r="MO31" s="16"/>
      <c r="MP31" s="16"/>
      <c r="MQ31" s="16"/>
      <c r="MR31" s="16"/>
      <c r="MS31" s="16"/>
      <c r="MT31" s="16"/>
      <c r="MU31" s="16"/>
      <c r="MV31" s="16"/>
      <c r="MW31" s="16"/>
      <c r="MX31" s="16"/>
      <c r="MY31" s="16"/>
      <c r="MZ31" s="16"/>
      <c r="NA31" s="16"/>
      <c r="NB31" s="16"/>
      <c r="NC31" s="16"/>
      <c r="ND31" s="16"/>
      <c r="NE31" s="16"/>
      <c r="NF31" s="16"/>
      <c r="NG31" s="16"/>
      <c r="NH31" s="16"/>
      <c r="NI31" s="16"/>
      <c r="NJ31" s="16"/>
      <c r="NK31" s="16"/>
      <c r="NL31" s="16"/>
      <c r="NM31" s="16"/>
      <c r="NN31" s="16"/>
      <c r="NO31" s="16"/>
      <c r="NP31" s="16"/>
      <c r="NQ31" s="16"/>
      <c r="NR31" s="16"/>
      <c r="NS31" s="16"/>
      <c r="NT31" s="16"/>
      <c r="NU31" s="16"/>
      <c r="NV31" s="16"/>
      <c r="NW31" s="16"/>
      <c r="NX31" s="16"/>
      <c r="NY31" s="16"/>
      <c r="NZ31" s="16"/>
      <c r="OA31" s="16"/>
      <c r="OB31" s="16"/>
      <c r="OC31" s="16"/>
      <c r="OD31" s="16"/>
      <c r="OE31" s="16"/>
      <c r="OF31" s="16"/>
      <c r="OG31" s="16"/>
      <c r="OH31" s="16"/>
      <c r="OI31" s="16"/>
      <c r="OJ31" s="16"/>
      <c r="OK31" s="16"/>
      <c r="OL31" s="16"/>
      <c r="OM31" s="16"/>
      <c r="ON31" s="16"/>
      <c r="OO31" s="16"/>
      <c r="OP31" s="16"/>
      <c r="OQ31" s="16"/>
      <c r="OR31" s="16"/>
      <c r="OS31" s="16"/>
      <c r="OT31" s="16"/>
      <c r="OU31" s="16"/>
      <c r="OV31" s="16"/>
      <c r="OW31" s="16"/>
      <c r="OX31" s="16"/>
      <c r="OY31" s="16"/>
      <c r="OZ31" s="16"/>
      <c r="PA31" s="16"/>
      <c r="PB31" s="16"/>
      <c r="PC31" s="16"/>
      <c r="PD31" s="16"/>
      <c r="PE31" s="16"/>
      <c r="PF31" s="16"/>
      <c r="PG31" s="16"/>
      <c r="PH31" s="16"/>
      <c r="PI31" s="16"/>
      <c r="PJ31" s="16"/>
      <c r="PK31" s="16"/>
      <c r="PL31" s="16"/>
      <c r="PM31" s="16"/>
      <c r="PN31" s="16"/>
      <c r="PO31" s="16"/>
      <c r="PP31" s="16"/>
      <c r="PQ31" s="16"/>
      <c r="PR31" s="16"/>
      <c r="PS31" s="16"/>
      <c r="PT31" s="16"/>
      <c r="PU31" s="16"/>
      <c r="PV31" s="16"/>
      <c r="PW31" s="16"/>
      <c r="PX31" s="16"/>
      <c r="PY31" s="16"/>
      <c r="PZ31" s="16"/>
      <c r="QA31" s="16"/>
      <c r="QB31" s="16"/>
      <c r="QC31" s="16"/>
      <c r="QD31" s="16"/>
      <c r="QE31" s="16"/>
      <c r="QF31" s="16"/>
      <c r="QG31" s="16"/>
      <c r="QH31" s="16"/>
      <c r="QI31" s="16"/>
      <c r="QJ31" s="16"/>
      <c r="QK31" s="16"/>
      <c r="QL31" s="16"/>
      <c r="QM31" s="16"/>
      <c r="QN31" s="16"/>
      <c r="QO31" s="16"/>
      <c r="QP31" s="16"/>
      <c r="QQ31" s="16"/>
      <c r="QR31" s="16"/>
      <c r="QS31" s="16"/>
      <c r="QT31" s="16"/>
      <c r="QU31" s="16"/>
      <c r="QV31" s="16"/>
      <c r="QW31" s="16"/>
      <c r="QX31" s="16"/>
      <c r="QY31" s="16"/>
      <c r="QZ31" s="16"/>
      <c r="RA31" s="16"/>
      <c r="RB31" s="16"/>
      <c r="RC31" s="16"/>
      <c r="RD31" s="16"/>
      <c r="RE31" s="16"/>
      <c r="RF31" s="16"/>
      <c r="RG31" s="16"/>
      <c r="RH31" s="16"/>
      <c r="RI31" s="16"/>
      <c r="RJ31" s="16"/>
      <c r="RK31" s="16"/>
      <c r="RL31" s="16"/>
      <c r="RM31" s="16"/>
      <c r="RN31" s="16"/>
      <c r="RO31" s="16"/>
      <c r="RP31" s="16"/>
      <c r="RQ31" s="16"/>
      <c r="RR31" s="16"/>
      <c r="RS31" s="16"/>
      <c r="RT31" s="16"/>
      <c r="RU31" s="16"/>
      <c r="RV31" s="16"/>
      <c r="RW31" s="16"/>
      <c r="RX31" s="16"/>
      <c r="RY31" s="16"/>
      <c r="RZ31" s="16"/>
      <c r="SA31" s="16"/>
      <c r="SB31" s="16"/>
      <c r="SC31" s="16"/>
      <c r="SD31" s="16"/>
      <c r="SE31" s="16"/>
      <c r="SF31" s="16"/>
      <c r="SG31" s="16"/>
      <c r="SH31" s="16"/>
      <c r="SI31" s="16"/>
      <c r="SJ31" s="16"/>
      <c r="SK31" s="16"/>
      <c r="SL31" s="16"/>
      <c r="SM31" s="16"/>
      <c r="SN31" s="16"/>
      <c r="SO31" s="16"/>
      <c r="SP31" s="16"/>
      <c r="SQ31" s="16"/>
      <c r="SR31" s="16"/>
      <c r="SS31" s="16"/>
      <c r="ST31" s="16"/>
      <c r="SU31" s="16"/>
      <c r="SV31" s="16"/>
      <c r="SW31" s="16"/>
      <c r="SX31" s="16"/>
      <c r="SY31" s="16"/>
      <c r="SZ31" s="16"/>
      <c r="TA31" s="16"/>
      <c r="TB31" s="16"/>
      <c r="TC31" s="16"/>
      <c r="TD31" s="16"/>
      <c r="TE31" s="16"/>
      <c r="TF31" s="16"/>
      <c r="TG31" s="16"/>
      <c r="TH31" s="16"/>
      <c r="TI31" s="16"/>
      <c r="TJ31" s="16"/>
      <c r="TK31" s="16"/>
      <c r="TL31" s="16"/>
      <c r="TM31" s="16"/>
      <c r="TN31" s="16"/>
      <c r="TO31" s="16"/>
      <c r="TP31" s="16"/>
      <c r="TQ31" s="16"/>
      <c r="TR31" s="16"/>
      <c r="TS31" s="16"/>
      <c r="TT31" s="16"/>
      <c r="TU31" s="16"/>
      <c r="TV31" s="16"/>
      <c r="TW31" s="16"/>
      <c r="TX31" s="16"/>
      <c r="TY31" s="16"/>
      <c r="TZ31" s="16"/>
      <c r="UA31" s="16"/>
      <c r="UB31" s="16"/>
      <c r="UC31" s="16"/>
      <c r="UD31" s="16"/>
      <c r="UE31" s="16"/>
      <c r="UF31" s="16"/>
      <c r="UG31" s="16"/>
      <c r="UH31" s="16"/>
      <c r="UI31" s="16"/>
      <c r="UJ31" s="16"/>
      <c r="UK31" s="16"/>
      <c r="UL31" s="16"/>
      <c r="UM31" s="16"/>
      <c r="UN31" s="16"/>
      <c r="UO31" s="16"/>
      <c r="UP31" s="16"/>
      <c r="UQ31" s="16"/>
      <c r="UR31" s="16"/>
      <c r="US31" s="16"/>
      <c r="UT31" s="16"/>
      <c r="UU31" s="16"/>
      <c r="UV31" s="16"/>
      <c r="UW31" s="16"/>
      <c r="UX31" s="16"/>
      <c r="UY31" s="16"/>
      <c r="UZ31" s="16"/>
      <c r="VA31" s="16"/>
      <c r="VB31" s="16"/>
      <c r="VC31" s="16"/>
      <c r="VD31" s="16"/>
      <c r="VE31" s="16"/>
      <c r="VF31" s="16"/>
      <c r="VG31" s="16"/>
      <c r="VH31" s="16"/>
      <c r="VI31" s="16"/>
      <c r="VJ31" s="16"/>
      <c r="VK31" s="16"/>
      <c r="VL31" s="16"/>
      <c r="VM31" s="16"/>
      <c r="VN31" s="16"/>
      <c r="VO31" s="16"/>
      <c r="VP31" s="16"/>
      <c r="VQ31" s="16"/>
      <c r="VR31" s="16"/>
      <c r="VS31" s="16"/>
      <c r="VT31" s="16"/>
      <c r="VU31" s="16"/>
      <c r="VV31" s="16"/>
      <c r="VW31" s="16"/>
      <c r="VX31" s="16"/>
      <c r="VY31" s="16"/>
      <c r="VZ31" s="16"/>
      <c r="WA31" s="16"/>
      <c r="WB31" s="16"/>
      <c r="WC31" s="16"/>
      <c r="WD31" s="16"/>
      <c r="WE31" s="16"/>
      <c r="WF31" s="16"/>
      <c r="WG31" s="16"/>
      <c r="WH31" s="16"/>
      <c r="WI31" s="16"/>
      <c r="WJ31" s="16"/>
      <c r="WK31" s="16"/>
      <c r="WL31" s="16"/>
      <c r="WM31" s="16"/>
      <c r="WN31" s="16"/>
      <c r="WO31" s="16"/>
      <c r="WP31" s="16"/>
      <c r="WQ31" s="16"/>
      <c r="WR31" s="16"/>
      <c r="WS31" s="16"/>
      <c r="WT31" s="16"/>
      <c r="WU31" s="16"/>
      <c r="WV31" s="16"/>
      <c r="WW31" s="16"/>
      <c r="WX31" s="16"/>
      <c r="WY31" s="16"/>
      <c r="WZ31" s="16"/>
      <c r="XA31" s="16"/>
      <c r="XB31" s="16"/>
      <c r="XC31" s="16"/>
      <c r="XD31" s="16"/>
      <c r="XE31" s="16"/>
      <c r="XF31" s="16"/>
      <c r="XG31" s="16"/>
      <c r="XH31" s="16"/>
      <c r="XI31" s="16"/>
      <c r="XJ31" s="16"/>
      <c r="XK31" s="16"/>
      <c r="XL31" s="16"/>
      <c r="XM31" s="16"/>
      <c r="XN31" s="16"/>
      <c r="XO31" s="16"/>
      <c r="XP31" s="16"/>
      <c r="XQ31" s="16"/>
      <c r="XR31" s="16"/>
      <c r="XS31" s="16"/>
      <c r="XT31" s="16"/>
      <c r="XU31" s="16"/>
      <c r="XV31" s="16"/>
      <c r="XW31" s="16"/>
      <c r="XX31" s="16"/>
      <c r="XY31" s="16"/>
      <c r="XZ31" s="16"/>
      <c r="YA31" s="16"/>
      <c r="YB31" s="16"/>
      <c r="YC31" s="16"/>
      <c r="YD31" s="16"/>
      <c r="YE31" s="16"/>
      <c r="YF31" s="16"/>
      <c r="YG31" s="16"/>
      <c r="YH31" s="16"/>
      <c r="YI31" s="16"/>
      <c r="YJ31" s="16"/>
      <c r="YK31" s="16"/>
      <c r="YL31" s="16"/>
      <c r="YM31" s="16"/>
      <c r="YN31" s="16"/>
      <c r="YO31" s="16"/>
      <c r="YP31" s="16"/>
      <c r="YQ31" s="16"/>
      <c r="YR31" s="16"/>
      <c r="YS31" s="16"/>
      <c r="YT31" s="16"/>
      <c r="YU31" s="16"/>
      <c r="YV31" s="16"/>
      <c r="YW31" s="16"/>
      <c r="YX31" s="16"/>
      <c r="YY31" s="16"/>
      <c r="YZ31" s="16"/>
      <c r="ZA31" s="16"/>
      <c r="ZB31" s="16"/>
      <c r="ZC31" s="16"/>
      <c r="ZD31" s="16"/>
      <c r="ZE31" s="16"/>
      <c r="ZF31" s="16"/>
      <c r="ZG31" s="16"/>
      <c r="ZH31" s="16"/>
      <c r="ZI31" s="16"/>
      <c r="ZJ31" s="16"/>
      <c r="ZK31" s="16"/>
      <c r="ZL31" s="16"/>
      <c r="ZM31" s="16"/>
      <c r="ZN31" s="16"/>
      <c r="ZO31" s="16"/>
      <c r="ZP31" s="16"/>
      <c r="ZQ31" s="16"/>
      <c r="ZR31" s="16"/>
      <c r="ZS31" s="16"/>
      <c r="ZT31" s="16"/>
      <c r="ZU31" s="16"/>
      <c r="ZV31" s="16"/>
      <c r="ZW31" s="16"/>
      <c r="ZX31" s="16"/>
      <c r="ZY31" s="16"/>
      <c r="ZZ31" s="16"/>
      <c r="AAA31" s="16"/>
      <c r="AAB31" s="16"/>
      <c r="AAC31" s="16"/>
      <c r="AAD31" s="16"/>
      <c r="AAE31" s="16"/>
      <c r="AAF31" s="16"/>
      <c r="AAG31" s="16"/>
      <c r="AAH31" s="16"/>
      <c r="AAI31" s="16"/>
      <c r="AAJ31" s="16"/>
      <c r="AAK31" s="16"/>
      <c r="AAL31" s="16"/>
      <c r="AAM31" s="16"/>
      <c r="AAN31" s="16"/>
      <c r="AAO31" s="16"/>
      <c r="AAP31" s="16"/>
      <c r="AAQ31" s="16"/>
      <c r="AAR31" s="16"/>
      <c r="AAS31" s="16"/>
      <c r="AAT31" s="16"/>
      <c r="AAU31" s="16"/>
      <c r="AAV31" s="16"/>
      <c r="AAW31" s="16"/>
      <c r="AAX31" s="16"/>
      <c r="AAY31" s="16"/>
      <c r="AAZ31" s="16"/>
      <c r="ABA31" s="16"/>
      <c r="ABB31" s="16"/>
      <c r="ABC31" s="16"/>
      <c r="ABD31" s="16"/>
      <c r="ABE31" s="16"/>
      <c r="ABF31" s="16"/>
      <c r="ABG31" s="16"/>
      <c r="ABH31" s="16"/>
      <c r="ABI31" s="16"/>
      <c r="ABJ31" s="16"/>
      <c r="ABK31" s="16"/>
      <c r="ABL31" s="16"/>
      <c r="ABM31" s="16"/>
      <c r="ABN31" s="16"/>
      <c r="ABO31" s="16"/>
      <c r="ABP31" s="16"/>
      <c r="ABQ31" s="16"/>
      <c r="ABR31" s="16"/>
      <c r="ABS31" s="16"/>
      <c r="ABT31" s="16"/>
    </row>
    <row r="32" spans="1:748" x14ac:dyDescent="0.2">
      <c r="E32" s="16"/>
      <c r="F32" s="16"/>
      <c r="G32" s="16"/>
      <c r="H32" s="16"/>
      <c r="I32" s="16"/>
      <c r="J32" s="16"/>
      <c r="K32" s="16"/>
      <c r="L32" s="16"/>
    </row>
    <row r="33" spans="5:12" x14ac:dyDescent="0.2">
      <c r="E33" s="16"/>
      <c r="F33" s="16"/>
      <c r="G33" s="16"/>
      <c r="H33" s="16"/>
      <c r="I33" s="16"/>
      <c r="J33" s="16"/>
      <c r="K33" s="16"/>
      <c r="L33" s="16"/>
    </row>
    <row r="34" spans="5:12" x14ac:dyDescent="0.2">
      <c r="E34" s="16"/>
      <c r="F34" s="16"/>
      <c r="G34" s="16"/>
      <c r="H34" s="16"/>
      <c r="I34" s="16"/>
      <c r="J34" s="16"/>
      <c r="K34" s="16"/>
      <c r="L34" s="16"/>
    </row>
    <row r="35" spans="5:12" x14ac:dyDescent="0.2">
      <c r="E35" s="16"/>
      <c r="F35" s="16"/>
      <c r="G35" s="16"/>
      <c r="H35" s="16"/>
      <c r="I35" s="16"/>
      <c r="J35" s="16"/>
      <c r="K35" s="16"/>
      <c r="L35" s="16"/>
    </row>
    <row r="36" spans="5:12" x14ac:dyDescent="0.2">
      <c r="E36" s="16"/>
      <c r="F36" s="16"/>
      <c r="G36" s="16"/>
      <c r="H36" s="16"/>
      <c r="I36" s="16"/>
      <c r="J36" s="16"/>
      <c r="K36" s="16"/>
      <c r="L36" s="16"/>
    </row>
    <row r="37" spans="5:12" x14ac:dyDescent="0.2">
      <c r="E37" s="16"/>
      <c r="F37" s="16"/>
      <c r="G37" s="16"/>
      <c r="H37" s="16"/>
      <c r="I37" s="16"/>
      <c r="J37" s="16"/>
      <c r="K37" s="16"/>
      <c r="L37" s="16"/>
    </row>
    <row r="38" spans="5:12" x14ac:dyDescent="0.2">
      <c r="E38" s="16"/>
      <c r="F38" s="16"/>
      <c r="G38" s="16"/>
      <c r="H38" s="16"/>
      <c r="I38" s="16"/>
      <c r="J38" s="16"/>
      <c r="K38" s="16"/>
      <c r="L38" s="16"/>
    </row>
    <row r="39" spans="5:12" x14ac:dyDescent="0.2">
      <c r="E39" s="16"/>
      <c r="F39" s="16"/>
      <c r="G39" s="16"/>
      <c r="H39" s="16"/>
      <c r="I39" s="16"/>
      <c r="J39" s="16"/>
      <c r="K39" s="16"/>
      <c r="L39" s="16"/>
    </row>
    <row r="40" spans="5:12" x14ac:dyDescent="0.2">
      <c r="E40" s="16"/>
      <c r="F40" s="16"/>
      <c r="G40" s="16"/>
      <c r="H40" s="16"/>
      <c r="I40" s="16"/>
      <c r="J40" s="16"/>
      <c r="K40" s="16"/>
      <c r="L40" s="16"/>
    </row>
    <row r="41" spans="5:12" x14ac:dyDescent="0.2">
      <c r="E41" s="16"/>
      <c r="F41" s="16"/>
      <c r="G41" s="16"/>
      <c r="H41" s="16"/>
      <c r="I41" s="16"/>
      <c r="J41" s="16"/>
      <c r="K41" s="16"/>
      <c r="L41" s="16"/>
    </row>
    <row r="42" spans="5:12" x14ac:dyDescent="0.2">
      <c r="E42" s="16"/>
      <c r="F42" s="16"/>
      <c r="G42" s="16"/>
      <c r="H42" s="16"/>
      <c r="I42" s="16"/>
      <c r="J42" s="16"/>
      <c r="K42" s="16"/>
      <c r="L42" s="16"/>
    </row>
    <row r="43" spans="5:12" x14ac:dyDescent="0.2">
      <c r="E43" s="16"/>
      <c r="F43" s="16"/>
      <c r="G43" s="16"/>
      <c r="H43" s="16"/>
      <c r="I43" s="16"/>
      <c r="J43" s="16"/>
      <c r="K43" s="16"/>
      <c r="L43" s="16"/>
    </row>
    <row r="44" spans="5:12" x14ac:dyDescent="0.2">
      <c r="E44" s="16"/>
      <c r="F44" s="16"/>
      <c r="G44" s="16"/>
      <c r="H44" s="16"/>
      <c r="I44" s="16"/>
      <c r="J44" s="16"/>
      <c r="K44" s="16"/>
      <c r="L44" s="16"/>
    </row>
    <row r="45" spans="5:12" x14ac:dyDescent="0.2">
      <c r="E45" s="16"/>
      <c r="F45" s="16"/>
      <c r="G45" s="16"/>
      <c r="H45" s="16"/>
      <c r="I45" s="16"/>
      <c r="J45" s="16"/>
      <c r="K45" s="16"/>
      <c r="L45" s="16"/>
    </row>
    <row r="46" spans="5:12" x14ac:dyDescent="0.2">
      <c r="E46" s="16"/>
      <c r="F46" s="16"/>
      <c r="G46" s="16"/>
      <c r="H46" s="16"/>
      <c r="I46" s="16"/>
      <c r="J46" s="16"/>
      <c r="K46" s="16"/>
      <c r="L46" s="16"/>
    </row>
    <row r="47" spans="5:12" x14ac:dyDescent="0.2">
      <c r="E47" s="16"/>
      <c r="F47" s="16"/>
      <c r="G47" s="16"/>
      <c r="H47" s="16"/>
      <c r="I47" s="16"/>
      <c r="J47" s="16"/>
      <c r="K47" s="16"/>
      <c r="L47" s="16"/>
    </row>
    <row r="48" spans="5:12" x14ac:dyDescent="0.2">
      <c r="E48" s="16"/>
      <c r="F48" s="16"/>
      <c r="G48" s="16"/>
      <c r="H48" s="16"/>
      <c r="I48" s="16"/>
      <c r="J48" s="16"/>
      <c r="K48" s="16"/>
      <c r="L48" s="16"/>
    </row>
    <row r="49" spans="5:12" x14ac:dyDescent="0.2">
      <c r="E49" s="16"/>
      <c r="F49" s="16"/>
      <c r="G49" s="16"/>
      <c r="H49" s="16"/>
      <c r="I49" s="16"/>
      <c r="J49" s="16"/>
      <c r="K49" s="16"/>
      <c r="L49" s="16"/>
    </row>
    <row r="50" spans="5:12" x14ac:dyDescent="0.2">
      <c r="E50" s="16"/>
      <c r="F50" s="16"/>
      <c r="G50" s="16"/>
      <c r="H50" s="16"/>
      <c r="I50" s="16"/>
      <c r="J50" s="16"/>
      <c r="K50" s="16"/>
      <c r="L50" s="16"/>
    </row>
    <row r="51" spans="5:12" x14ac:dyDescent="0.2">
      <c r="E51" s="16"/>
      <c r="F51" s="16"/>
      <c r="G51" s="16"/>
      <c r="H51" s="16"/>
      <c r="I51" s="16"/>
      <c r="J51" s="16"/>
      <c r="K51" s="16"/>
      <c r="L51" s="16"/>
    </row>
    <row r="52" spans="5:12" x14ac:dyDescent="0.2">
      <c r="E52" s="16"/>
      <c r="F52" s="16"/>
      <c r="G52" s="16"/>
      <c r="H52" s="16"/>
      <c r="I52" s="16"/>
      <c r="J52" s="16"/>
      <c r="K52" s="16"/>
      <c r="L52" s="16"/>
    </row>
    <row r="53" spans="5:12" x14ac:dyDescent="0.2">
      <c r="E53" s="16"/>
      <c r="F53" s="16"/>
      <c r="G53" s="16"/>
      <c r="H53" s="16"/>
      <c r="I53" s="16"/>
      <c r="J53" s="16"/>
      <c r="K53" s="16"/>
      <c r="L53" s="16"/>
    </row>
    <row r="54" spans="5:12" x14ac:dyDescent="0.2">
      <c r="E54" s="16"/>
      <c r="F54" s="16"/>
      <c r="G54" s="16"/>
      <c r="H54" s="16"/>
      <c r="I54" s="16"/>
      <c r="J54" s="16"/>
      <c r="K54" s="16"/>
      <c r="L54" s="16"/>
    </row>
    <row r="55" spans="5:12" x14ac:dyDescent="0.2">
      <c r="E55" s="16"/>
      <c r="F55" s="16"/>
      <c r="G55" s="16"/>
      <c r="H55" s="16"/>
      <c r="I55" s="16"/>
      <c r="J55" s="16"/>
      <c r="K55" s="16"/>
      <c r="L55" s="16"/>
    </row>
    <row r="56" spans="5:12" x14ac:dyDescent="0.2">
      <c r="E56" s="16"/>
      <c r="F56" s="16"/>
      <c r="G56" s="16"/>
      <c r="H56" s="16"/>
      <c r="I56" s="16"/>
      <c r="J56" s="16"/>
      <c r="K56" s="16"/>
      <c r="L56" s="16"/>
    </row>
    <row r="57" spans="5:12" x14ac:dyDescent="0.2">
      <c r="E57" s="16"/>
      <c r="F57" s="16"/>
      <c r="G57" s="16"/>
      <c r="H57" s="16"/>
      <c r="I57" s="16"/>
      <c r="J57" s="16"/>
      <c r="K57" s="16"/>
      <c r="L57" s="16"/>
    </row>
    <row r="58" spans="5:12" x14ac:dyDescent="0.2">
      <c r="E58" s="16"/>
      <c r="F58" s="16"/>
      <c r="G58" s="16"/>
      <c r="H58" s="16"/>
      <c r="I58" s="16"/>
      <c r="J58" s="16"/>
      <c r="K58" s="16"/>
      <c r="L58" s="16"/>
    </row>
    <row r="59" spans="5:12" x14ac:dyDescent="0.2">
      <c r="E59" s="16"/>
      <c r="F59" s="16"/>
      <c r="G59" s="16"/>
      <c r="H59" s="16"/>
      <c r="I59" s="16"/>
      <c r="J59" s="16"/>
      <c r="K59" s="16"/>
      <c r="L59" s="16"/>
    </row>
    <row r="60" spans="5:12" x14ac:dyDescent="0.2">
      <c r="E60" s="16"/>
      <c r="F60" s="16"/>
      <c r="G60" s="16"/>
      <c r="H60" s="16"/>
      <c r="I60" s="16"/>
      <c r="J60" s="16"/>
      <c r="K60" s="16"/>
      <c r="L60" s="16"/>
    </row>
    <row r="61" spans="5:12" x14ac:dyDescent="0.2">
      <c r="E61" s="16"/>
      <c r="F61" s="16"/>
      <c r="G61" s="16"/>
      <c r="H61" s="16"/>
      <c r="I61" s="16"/>
      <c r="J61" s="16"/>
      <c r="K61" s="16"/>
      <c r="L61" s="16"/>
    </row>
    <row r="62" spans="5:12" x14ac:dyDescent="0.2">
      <c r="E62" s="16"/>
      <c r="F62" s="16"/>
      <c r="G62" s="16"/>
      <c r="H62" s="16"/>
      <c r="I62" s="16"/>
      <c r="J62" s="16"/>
      <c r="K62" s="16"/>
      <c r="L62" s="16"/>
    </row>
    <row r="63" spans="5:12" x14ac:dyDescent="0.2">
      <c r="E63" s="16"/>
      <c r="F63" s="16"/>
      <c r="G63" s="16"/>
      <c r="H63" s="16"/>
      <c r="I63" s="16"/>
      <c r="J63" s="16"/>
      <c r="K63" s="16"/>
      <c r="L63" s="16"/>
    </row>
    <row r="64" spans="5:12" x14ac:dyDescent="0.2">
      <c r="E64" s="16"/>
      <c r="F64" s="16"/>
      <c r="G64" s="16"/>
      <c r="H64" s="16"/>
      <c r="I64" s="16"/>
      <c r="J64" s="16"/>
      <c r="K64" s="16"/>
      <c r="L64" s="16"/>
    </row>
    <row r="65" spans="5:12" x14ac:dyDescent="0.2">
      <c r="E65" s="16"/>
      <c r="F65" s="16"/>
      <c r="G65" s="16"/>
      <c r="H65" s="16"/>
      <c r="I65" s="16"/>
      <c r="J65" s="16"/>
      <c r="K65" s="16"/>
      <c r="L65" s="16"/>
    </row>
    <row r="66" spans="5:12" x14ac:dyDescent="0.2">
      <c r="E66" s="16"/>
      <c r="F66" s="16"/>
      <c r="G66" s="16"/>
      <c r="H66" s="16"/>
      <c r="I66" s="16"/>
      <c r="J66" s="16"/>
      <c r="K66" s="16"/>
      <c r="L66" s="16"/>
    </row>
    <row r="67" spans="5:12" x14ac:dyDescent="0.2">
      <c r="E67" s="16"/>
      <c r="F67" s="16"/>
      <c r="G67" s="16"/>
      <c r="H67" s="16"/>
      <c r="I67" s="16"/>
      <c r="J67" s="16"/>
      <c r="K67" s="16"/>
      <c r="L67" s="16"/>
    </row>
    <row r="68" spans="5:12" x14ac:dyDescent="0.2">
      <c r="E68" s="16"/>
      <c r="F68" s="16"/>
      <c r="G68" s="16"/>
      <c r="H68" s="16"/>
      <c r="I68" s="16"/>
      <c r="J68" s="16"/>
      <c r="K68" s="16"/>
      <c r="L68" s="16"/>
    </row>
    <row r="69" spans="5:12" x14ac:dyDescent="0.2">
      <c r="E69" s="16"/>
      <c r="F69" s="16"/>
      <c r="G69" s="16"/>
      <c r="H69" s="16"/>
      <c r="I69" s="16"/>
      <c r="J69" s="16"/>
      <c r="K69" s="16"/>
      <c r="L69" s="16"/>
    </row>
    <row r="70" spans="5:12" x14ac:dyDescent="0.2">
      <c r="E70" s="16"/>
      <c r="F70" s="16"/>
      <c r="G70" s="16"/>
      <c r="H70" s="16"/>
      <c r="I70" s="16"/>
      <c r="J70" s="16"/>
      <c r="K70" s="16"/>
      <c r="L70" s="16"/>
    </row>
    <row r="71" spans="5:12" x14ac:dyDescent="0.2">
      <c r="E71" s="16"/>
      <c r="F71" s="16"/>
      <c r="G71" s="16"/>
      <c r="H71" s="16"/>
      <c r="I71" s="16"/>
      <c r="J71" s="16"/>
      <c r="K71" s="16"/>
      <c r="L71" s="16"/>
    </row>
    <row r="72" spans="5:12" x14ac:dyDescent="0.2">
      <c r="E72" s="16"/>
      <c r="F72" s="16"/>
      <c r="G72" s="16"/>
      <c r="H72" s="16"/>
      <c r="I72" s="16"/>
      <c r="J72" s="16"/>
      <c r="K72" s="16"/>
      <c r="L72" s="16"/>
    </row>
    <row r="73" spans="5:12" x14ac:dyDescent="0.2">
      <c r="E73" s="16"/>
      <c r="F73" s="16"/>
      <c r="G73" s="16"/>
      <c r="H73" s="16"/>
      <c r="I73" s="16"/>
      <c r="J73" s="16"/>
      <c r="K73" s="16"/>
      <c r="L73" s="16"/>
    </row>
    <row r="74" spans="5:12" x14ac:dyDescent="0.2">
      <c r="E74" s="16"/>
      <c r="F74" s="16"/>
      <c r="G74" s="16"/>
      <c r="H74" s="16"/>
      <c r="I74" s="16"/>
      <c r="J74" s="16"/>
      <c r="K74" s="16"/>
      <c r="L74" s="16"/>
    </row>
    <row r="75" spans="5:12" x14ac:dyDescent="0.2">
      <c r="E75" s="16"/>
      <c r="F75" s="16"/>
      <c r="G75" s="16"/>
      <c r="H75" s="16"/>
      <c r="I75" s="16"/>
      <c r="J75" s="16"/>
      <c r="K75" s="16"/>
      <c r="L75" s="16"/>
    </row>
    <row r="76" spans="5:12" x14ac:dyDescent="0.2">
      <c r="E76" s="16"/>
      <c r="F76" s="16"/>
      <c r="G76" s="16"/>
      <c r="H76" s="16"/>
      <c r="I76" s="16"/>
      <c r="J76" s="16"/>
      <c r="K76" s="16"/>
      <c r="L76" s="16"/>
    </row>
    <row r="77" spans="5:12" x14ac:dyDescent="0.2">
      <c r="E77" s="16"/>
      <c r="F77" s="16"/>
      <c r="G77" s="16"/>
      <c r="H77" s="16"/>
      <c r="I77" s="16"/>
      <c r="J77" s="16"/>
      <c r="K77" s="16"/>
      <c r="L77" s="16"/>
    </row>
    <row r="78" spans="5:12" x14ac:dyDescent="0.2">
      <c r="E78" s="16"/>
      <c r="F78" s="16"/>
      <c r="G78" s="16"/>
      <c r="H78" s="16"/>
      <c r="I78" s="16"/>
      <c r="J78" s="16"/>
      <c r="K78" s="16"/>
      <c r="L78" s="16"/>
    </row>
    <row r="79" spans="5:12" x14ac:dyDescent="0.2">
      <c r="E79" s="16"/>
      <c r="F79" s="16"/>
      <c r="G79" s="16"/>
      <c r="H79" s="16"/>
      <c r="I79" s="16"/>
      <c r="J79" s="16"/>
      <c r="K79" s="16"/>
      <c r="L79" s="16"/>
    </row>
    <row r="80" spans="5:12" x14ac:dyDescent="0.2">
      <c r="E80" s="16"/>
      <c r="F80" s="16"/>
      <c r="G80" s="16"/>
      <c r="H80" s="16"/>
      <c r="I80" s="16"/>
      <c r="J80" s="16"/>
      <c r="K80" s="16"/>
      <c r="L80" s="16"/>
    </row>
    <row r="81" spans="5:12" x14ac:dyDescent="0.2">
      <c r="E81" s="16"/>
      <c r="F81" s="16"/>
      <c r="G81" s="16"/>
      <c r="H81" s="16"/>
      <c r="I81" s="16"/>
      <c r="J81" s="16"/>
      <c r="K81" s="16"/>
      <c r="L81" s="16"/>
    </row>
    <row r="82" spans="5:12" x14ac:dyDescent="0.2">
      <c r="E82" s="16"/>
      <c r="F82" s="16"/>
      <c r="G82" s="16"/>
      <c r="H82" s="16"/>
      <c r="I82" s="16"/>
      <c r="J82" s="16"/>
      <c r="K82" s="16"/>
      <c r="L82" s="16"/>
    </row>
    <row r="83" spans="5:12" x14ac:dyDescent="0.2">
      <c r="E83" s="16"/>
      <c r="F83" s="16"/>
      <c r="G83" s="16"/>
      <c r="H83" s="16"/>
      <c r="I83" s="16"/>
      <c r="J83" s="16"/>
      <c r="K83" s="16"/>
      <c r="L83" s="16"/>
    </row>
    <row r="84" spans="5:12" x14ac:dyDescent="0.2">
      <c r="E84" s="16"/>
      <c r="F84" s="16"/>
      <c r="G84" s="16"/>
      <c r="H84" s="16"/>
      <c r="I84" s="16"/>
      <c r="J84" s="16"/>
      <c r="K84" s="16"/>
      <c r="L84" s="16"/>
    </row>
    <row r="85" spans="5:12" x14ac:dyDescent="0.2">
      <c r="E85" s="16"/>
      <c r="F85" s="16"/>
      <c r="G85" s="16"/>
      <c r="H85" s="16"/>
      <c r="I85" s="16"/>
      <c r="J85" s="16"/>
      <c r="K85" s="16"/>
      <c r="L85" s="16"/>
    </row>
    <row r="86" spans="5:12" x14ac:dyDescent="0.2">
      <c r="E86" s="16"/>
      <c r="F86" s="16"/>
      <c r="G86" s="16"/>
      <c r="H86" s="16"/>
      <c r="I86" s="16"/>
      <c r="J86" s="16"/>
      <c r="K86" s="16"/>
      <c r="L86" s="16"/>
    </row>
    <row r="87" spans="5:12" x14ac:dyDescent="0.2">
      <c r="E87" s="16"/>
      <c r="F87" s="16"/>
      <c r="G87" s="16"/>
      <c r="H87" s="16"/>
      <c r="I87" s="16"/>
      <c r="J87" s="16"/>
      <c r="K87" s="16"/>
      <c r="L87" s="16"/>
    </row>
    <row r="88" spans="5:12" x14ac:dyDescent="0.2">
      <c r="E88" s="16"/>
      <c r="F88" s="16"/>
      <c r="G88" s="16"/>
      <c r="H88" s="16"/>
      <c r="I88" s="16"/>
      <c r="J88" s="16"/>
      <c r="K88" s="16"/>
      <c r="L88" s="16"/>
    </row>
    <row r="89" spans="5:12" x14ac:dyDescent="0.2">
      <c r="E89" s="16"/>
      <c r="F89" s="16"/>
      <c r="G89" s="16"/>
      <c r="H89" s="16"/>
      <c r="I89" s="16"/>
      <c r="J89" s="16"/>
      <c r="K89" s="16"/>
      <c r="L89" s="16"/>
    </row>
    <row r="90" spans="5:12" x14ac:dyDescent="0.2">
      <c r="E90" s="16"/>
      <c r="F90" s="16"/>
      <c r="G90" s="16"/>
      <c r="H90" s="16"/>
      <c r="I90" s="16"/>
      <c r="J90" s="16"/>
      <c r="K90" s="16"/>
      <c r="L90" s="16"/>
    </row>
    <row r="91" spans="5:12" x14ac:dyDescent="0.2">
      <c r="E91" s="16"/>
      <c r="F91" s="16"/>
      <c r="G91" s="16"/>
      <c r="H91" s="16"/>
      <c r="I91" s="16"/>
      <c r="J91" s="16"/>
      <c r="K91" s="16"/>
      <c r="L91" s="16"/>
    </row>
    <row r="92" spans="5:12" x14ac:dyDescent="0.2">
      <c r="E92" s="16"/>
      <c r="F92" s="16"/>
      <c r="G92" s="16"/>
      <c r="H92" s="16"/>
      <c r="I92" s="16"/>
      <c r="J92" s="16"/>
      <c r="K92" s="16"/>
      <c r="L92" s="16"/>
    </row>
    <row r="93" spans="5:12" x14ac:dyDescent="0.2">
      <c r="E93" s="16"/>
      <c r="F93" s="16"/>
      <c r="G93" s="16"/>
      <c r="H93" s="16"/>
      <c r="I93" s="16"/>
      <c r="J93" s="16"/>
      <c r="K93" s="16"/>
      <c r="L93" s="16"/>
    </row>
    <row r="94" spans="5:12" x14ac:dyDescent="0.2">
      <c r="E94" s="16"/>
      <c r="F94" s="16"/>
      <c r="G94" s="16"/>
      <c r="H94" s="16"/>
      <c r="I94" s="16"/>
      <c r="J94" s="16"/>
      <c r="K94" s="16"/>
      <c r="L94" s="16"/>
    </row>
    <row r="95" spans="5:12" x14ac:dyDescent="0.2">
      <c r="E95" s="16"/>
      <c r="F95" s="16"/>
      <c r="G95" s="16"/>
      <c r="H95" s="16"/>
      <c r="I95" s="16"/>
      <c r="J95" s="16"/>
      <c r="K95" s="16"/>
      <c r="L95" s="16"/>
    </row>
    <row r="96" spans="5:12" x14ac:dyDescent="0.2">
      <c r="E96" s="16"/>
      <c r="F96" s="16"/>
      <c r="G96" s="16"/>
      <c r="H96" s="16"/>
      <c r="I96" s="16"/>
      <c r="J96" s="16"/>
      <c r="K96" s="16"/>
      <c r="L96" s="16"/>
    </row>
    <row r="97" spans="5:12" x14ac:dyDescent="0.2">
      <c r="E97" s="16"/>
      <c r="F97" s="16"/>
      <c r="G97" s="16"/>
      <c r="H97" s="16"/>
      <c r="I97" s="16"/>
      <c r="J97" s="16"/>
      <c r="K97" s="16"/>
      <c r="L97" s="16"/>
    </row>
    <row r="98" spans="5:12" x14ac:dyDescent="0.2">
      <c r="E98" s="16"/>
      <c r="F98" s="16"/>
      <c r="G98" s="16"/>
      <c r="H98" s="16"/>
      <c r="I98" s="16"/>
      <c r="J98" s="16"/>
      <c r="K98" s="16"/>
      <c r="L98" s="16"/>
    </row>
    <row r="99" spans="5:12" x14ac:dyDescent="0.2">
      <c r="E99" s="16"/>
      <c r="F99" s="16"/>
      <c r="G99" s="16"/>
      <c r="H99" s="16"/>
      <c r="I99" s="16"/>
      <c r="J99" s="16"/>
      <c r="K99" s="16"/>
      <c r="L99" s="16"/>
    </row>
    <row r="100" spans="5:12" x14ac:dyDescent="0.2">
      <c r="E100" s="16"/>
      <c r="F100" s="16"/>
      <c r="G100" s="16"/>
      <c r="H100" s="16"/>
      <c r="I100" s="16"/>
      <c r="J100" s="16"/>
      <c r="K100" s="16"/>
      <c r="L100" s="16"/>
    </row>
    <row r="101" spans="5:12" x14ac:dyDescent="0.2">
      <c r="E101" s="16"/>
      <c r="F101" s="16"/>
      <c r="G101" s="16"/>
      <c r="H101" s="16"/>
      <c r="I101" s="16"/>
      <c r="J101" s="16"/>
      <c r="K101" s="16"/>
      <c r="L101" s="16"/>
    </row>
    <row r="102" spans="5:12" x14ac:dyDescent="0.2">
      <c r="E102" s="16"/>
      <c r="F102" s="16"/>
      <c r="G102" s="16"/>
      <c r="H102" s="16"/>
      <c r="I102" s="16"/>
      <c r="J102" s="16"/>
      <c r="K102" s="16"/>
      <c r="L102" s="16"/>
    </row>
    <row r="103" spans="5:12" x14ac:dyDescent="0.2">
      <c r="E103" s="16"/>
      <c r="F103" s="16"/>
      <c r="G103" s="16"/>
      <c r="H103" s="16"/>
      <c r="I103" s="16"/>
      <c r="J103" s="16"/>
      <c r="K103" s="16"/>
      <c r="L103" s="16"/>
    </row>
    <row r="104" spans="5:12" x14ac:dyDescent="0.2">
      <c r="E104" s="16"/>
      <c r="F104" s="16"/>
      <c r="G104" s="16"/>
      <c r="H104" s="16"/>
      <c r="I104" s="16"/>
      <c r="J104" s="16"/>
      <c r="K104" s="16"/>
      <c r="L104" s="16"/>
    </row>
    <row r="105" spans="5:12" x14ac:dyDescent="0.2">
      <c r="E105" s="16"/>
      <c r="F105" s="16"/>
      <c r="G105" s="16"/>
      <c r="H105" s="16"/>
      <c r="I105" s="16"/>
      <c r="J105" s="16"/>
      <c r="K105" s="16"/>
      <c r="L105" s="16"/>
    </row>
    <row r="106" spans="5:12" x14ac:dyDescent="0.2">
      <c r="E106" s="16"/>
      <c r="F106" s="16"/>
      <c r="G106" s="16"/>
      <c r="H106" s="16"/>
      <c r="I106" s="16"/>
      <c r="J106" s="16"/>
      <c r="K106" s="16"/>
      <c r="L106" s="16"/>
    </row>
    <row r="107" spans="5:12" x14ac:dyDescent="0.2">
      <c r="E107" s="16"/>
      <c r="F107" s="16"/>
      <c r="G107" s="16"/>
      <c r="H107" s="16"/>
      <c r="I107" s="16"/>
      <c r="J107" s="16"/>
      <c r="K107" s="16"/>
      <c r="L107" s="16"/>
    </row>
    <row r="108" spans="5:12" x14ac:dyDescent="0.2">
      <c r="E108" s="16"/>
      <c r="F108" s="16"/>
      <c r="G108" s="16"/>
      <c r="H108" s="16"/>
      <c r="I108" s="16"/>
      <c r="J108" s="16"/>
      <c r="K108" s="16"/>
      <c r="L108" s="16"/>
    </row>
    <row r="109" spans="5:12" x14ac:dyDescent="0.2">
      <c r="E109" s="16"/>
      <c r="F109" s="16"/>
      <c r="G109" s="16"/>
      <c r="H109" s="16"/>
      <c r="I109" s="16"/>
      <c r="J109" s="16"/>
      <c r="K109" s="16"/>
      <c r="L109" s="16"/>
    </row>
    <row r="110" spans="5:12" x14ac:dyDescent="0.2">
      <c r="E110" s="16"/>
      <c r="F110" s="16"/>
      <c r="G110" s="16"/>
      <c r="H110" s="16"/>
      <c r="I110" s="16"/>
      <c r="J110" s="16"/>
      <c r="K110" s="16"/>
      <c r="L110" s="16"/>
    </row>
    <row r="111" spans="5:12" x14ac:dyDescent="0.2">
      <c r="E111" s="16"/>
      <c r="F111" s="16"/>
      <c r="G111" s="16"/>
      <c r="H111" s="16"/>
      <c r="I111" s="16"/>
      <c r="J111" s="16"/>
      <c r="K111" s="16"/>
      <c r="L111" s="16"/>
    </row>
    <row r="112" spans="5:12" x14ac:dyDescent="0.2">
      <c r="E112" s="16"/>
      <c r="F112" s="16"/>
      <c r="G112" s="16"/>
      <c r="H112" s="16"/>
      <c r="I112" s="16"/>
      <c r="J112" s="16"/>
      <c r="K112" s="16"/>
      <c r="L112" s="16"/>
    </row>
    <row r="113" spans="5:12" x14ac:dyDescent="0.2">
      <c r="E113" s="16"/>
      <c r="F113" s="16"/>
      <c r="G113" s="16"/>
      <c r="H113" s="16"/>
      <c r="I113" s="16"/>
      <c r="J113" s="16"/>
      <c r="K113" s="16"/>
      <c r="L113" s="16"/>
    </row>
    <row r="114" spans="5:12" x14ac:dyDescent="0.2">
      <c r="E114" s="16"/>
      <c r="F114" s="16"/>
      <c r="G114" s="16"/>
      <c r="H114" s="16"/>
      <c r="I114" s="16"/>
      <c r="J114" s="16"/>
      <c r="K114" s="16"/>
      <c r="L114" s="16"/>
    </row>
    <row r="115" spans="5:12" x14ac:dyDescent="0.2">
      <c r="E115" s="16"/>
      <c r="F115" s="16"/>
      <c r="G115" s="16"/>
      <c r="H115" s="16"/>
      <c r="I115" s="16"/>
      <c r="J115" s="16"/>
      <c r="K115" s="16"/>
      <c r="L115" s="16"/>
    </row>
    <row r="116" spans="5:12" x14ac:dyDescent="0.2">
      <c r="E116" s="16"/>
      <c r="F116" s="16"/>
      <c r="G116" s="16"/>
      <c r="H116" s="16"/>
      <c r="I116" s="16"/>
      <c r="J116" s="16"/>
      <c r="K116" s="16"/>
      <c r="L116" s="16"/>
    </row>
    <row r="117" spans="5:12" x14ac:dyDescent="0.2">
      <c r="E117" s="16"/>
      <c r="F117" s="16"/>
      <c r="G117" s="16"/>
      <c r="H117" s="16"/>
      <c r="I117" s="16"/>
      <c r="J117" s="16"/>
      <c r="K117" s="16"/>
      <c r="L117" s="16"/>
    </row>
    <row r="118" spans="5:12" x14ac:dyDescent="0.2">
      <c r="E118" s="16"/>
      <c r="F118" s="16"/>
      <c r="G118" s="16"/>
      <c r="H118" s="16"/>
      <c r="I118" s="16"/>
      <c r="J118" s="16"/>
      <c r="K118" s="16"/>
      <c r="L118" s="16"/>
    </row>
    <row r="119" spans="5:12" x14ac:dyDescent="0.2">
      <c r="E119" s="16"/>
      <c r="F119" s="16"/>
      <c r="G119" s="16"/>
      <c r="H119" s="16"/>
      <c r="I119" s="16"/>
      <c r="J119" s="16"/>
      <c r="K119" s="16"/>
      <c r="L119" s="16"/>
    </row>
    <row r="120" spans="5:12" x14ac:dyDescent="0.2">
      <c r="E120" s="16"/>
      <c r="F120" s="16"/>
      <c r="G120" s="16"/>
      <c r="H120" s="16"/>
      <c r="I120" s="16"/>
      <c r="J120" s="16"/>
      <c r="K120" s="16"/>
      <c r="L120" s="16"/>
    </row>
    <row r="121" spans="5:12" x14ac:dyDescent="0.2">
      <c r="E121" s="16"/>
      <c r="F121" s="16"/>
      <c r="G121" s="16"/>
      <c r="H121" s="16"/>
      <c r="I121" s="16"/>
      <c r="J121" s="16"/>
      <c r="K121" s="16"/>
      <c r="L121" s="16"/>
    </row>
    <row r="122" spans="5:12" x14ac:dyDescent="0.2">
      <c r="E122" s="16"/>
      <c r="F122" s="16"/>
      <c r="G122" s="16"/>
      <c r="H122" s="16"/>
      <c r="I122" s="16"/>
      <c r="J122" s="16"/>
      <c r="K122" s="16"/>
      <c r="L122" s="16"/>
    </row>
    <row r="123" spans="5:12" x14ac:dyDescent="0.2">
      <c r="E123" s="16"/>
      <c r="F123" s="16"/>
      <c r="G123" s="16"/>
      <c r="H123" s="16"/>
      <c r="I123" s="16"/>
      <c r="J123" s="16"/>
      <c r="K123" s="16"/>
      <c r="L123" s="16"/>
    </row>
    <row r="124" spans="5:12" x14ac:dyDescent="0.2">
      <c r="E124" s="16"/>
      <c r="F124" s="16"/>
      <c r="G124" s="16"/>
      <c r="H124" s="16"/>
      <c r="I124" s="16"/>
      <c r="J124" s="16"/>
      <c r="K124" s="16"/>
      <c r="L124" s="16"/>
    </row>
    <row r="125" spans="5:12" x14ac:dyDescent="0.2">
      <c r="E125" s="16"/>
      <c r="F125" s="16"/>
      <c r="G125" s="16"/>
      <c r="H125" s="16"/>
      <c r="I125" s="16"/>
      <c r="J125" s="16"/>
      <c r="K125" s="16"/>
      <c r="L125" s="16"/>
    </row>
    <row r="126" spans="5:12" x14ac:dyDescent="0.2">
      <c r="E126" s="16"/>
      <c r="F126" s="16"/>
      <c r="G126" s="16"/>
      <c r="H126" s="16"/>
      <c r="I126" s="16"/>
      <c r="J126" s="16"/>
      <c r="K126" s="16"/>
      <c r="L126" s="16"/>
    </row>
    <row r="127" spans="5:12" x14ac:dyDescent="0.2">
      <c r="E127" s="16"/>
      <c r="F127" s="16"/>
      <c r="G127" s="16"/>
      <c r="H127" s="16"/>
      <c r="I127" s="16"/>
      <c r="J127" s="16"/>
      <c r="K127" s="16"/>
      <c r="L127" s="16"/>
    </row>
    <row r="128" spans="5:12" x14ac:dyDescent="0.2">
      <c r="E128" s="16"/>
      <c r="F128" s="16"/>
      <c r="G128" s="16"/>
      <c r="H128" s="16"/>
      <c r="I128" s="16"/>
      <c r="J128" s="16"/>
      <c r="K128" s="16"/>
      <c r="L128" s="16"/>
    </row>
    <row r="129" spans="5:12" x14ac:dyDescent="0.2">
      <c r="E129" s="16"/>
      <c r="F129" s="16"/>
      <c r="G129" s="16"/>
      <c r="H129" s="16"/>
      <c r="I129" s="16"/>
      <c r="J129" s="16"/>
      <c r="K129" s="16"/>
      <c r="L129" s="16"/>
    </row>
    <row r="130" spans="5:12" x14ac:dyDescent="0.2">
      <c r="E130" s="16"/>
      <c r="F130" s="16"/>
      <c r="G130" s="16"/>
      <c r="H130" s="16"/>
      <c r="I130" s="16"/>
      <c r="J130" s="16"/>
      <c r="K130" s="16"/>
      <c r="L130" s="16"/>
    </row>
    <row r="131" spans="5:12" x14ac:dyDescent="0.2">
      <c r="E131" s="16"/>
      <c r="F131" s="16"/>
      <c r="G131" s="16"/>
      <c r="H131" s="16"/>
      <c r="I131" s="16"/>
      <c r="J131" s="16"/>
      <c r="K131" s="16"/>
      <c r="L131" s="16"/>
    </row>
    <row r="132" spans="5:12" x14ac:dyDescent="0.2">
      <c r="E132" s="16"/>
      <c r="F132" s="16"/>
      <c r="G132" s="16"/>
      <c r="H132" s="16"/>
      <c r="I132" s="16"/>
      <c r="J132" s="16"/>
      <c r="K132" s="16"/>
      <c r="L132" s="16"/>
    </row>
    <row r="133" spans="5:12" x14ac:dyDescent="0.2">
      <c r="E133" s="16"/>
      <c r="F133" s="16"/>
      <c r="G133" s="16"/>
      <c r="H133" s="16"/>
      <c r="I133" s="16"/>
      <c r="J133" s="16"/>
      <c r="K133" s="16"/>
      <c r="L133" s="16"/>
    </row>
    <row r="134" spans="5:12" x14ac:dyDescent="0.2">
      <c r="E134" s="16"/>
      <c r="F134" s="16"/>
      <c r="G134" s="16"/>
      <c r="H134" s="16"/>
      <c r="I134" s="16"/>
      <c r="J134" s="16"/>
      <c r="K134" s="16"/>
      <c r="L134" s="16"/>
    </row>
    <row r="135" spans="5:12" x14ac:dyDescent="0.2">
      <c r="E135" s="16"/>
      <c r="F135" s="16"/>
      <c r="G135" s="16"/>
      <c r="H135" s="16"/>
      <c r="I135" s="16"/>
      <c r="J135" s="16"/>
      <c r="K135" s="16"/>
      <c r="L135" s="16"/>
    </row>
    <row r="136" spans="5:12" x14ac:dyDescent="0.2">
      <c r="E136" s="16"/>
      <c r="F136" s="16"/>
      <c r="G136" s="16"/>
      <c r="H136" s="16"/>
      <c r="I136" s="16"/>
      <c r="J136" s="16"/>
      <c r="K136" s="16"/>
      <c r="L136" s="16"/>
    </row>
    <row r="137" spans="5:12" x14ac:dyDescent="0.2">
      <c r="E137" s="16"/>
      <c r="F137" s="16"/>
      <c r="G137" s="16"/>
      <c r="H137" s="16"/>
      <c r="I137" s="16"/>
      <c r="J137" s="16"/>
      <c r="K137" s="16"/>
      <c r="L137" s="16"/>
    </row>
    <row r="138" spans="5:12" x14ac:dyDescent="0.2">
      <c r="E138" s="16"/>
      <c r="F138" s="16"/>
      <c r="G138" s="16"/>
      <c r="H138" s="16"/>
      <c r="I138" s="16"/>
      <c r="J138" s="16"/>
      <c r="K138" s="16"/>
      <c r="L138" s="16"/>
    </row>
    <row r="139" spans="5:12" x14ac:dyDescent="0.2">
      <c r="E139" s="16"/>
      <c r="F139" s="16"/>
      <c r="G139" s="16"/>
      <c r="H139" s="16"/>
      <c r="I139" s="16"/>
      <c r="J139" s="16"/>
      <c r="K139" s="16"/>
      <c r="L139" s="16"/>
    </row>
    <row r="140" spans="5:12" x14ac:dyDescent="0.2">
      <c r="E140" s="16"/>
      <c r="F140" s="16"/>
      <c r="G140" s="16"/>
      <c r="H140" s="16"/>
      <c r="I140" s="16"/>
      <c r="J140" s="16"/>
      <c r="K140" s="16"/>
      <c r="L140" s="16"/>
    </row>
    <row r="141" spans="5:12" x14ac:dyDescent="0.2">
      <c r="E141" s="16"/>
      <c r="F141" s="16"/>
      <c r="G141" s="16"/>
      <c r="H141" s="16"/>
      <c r="I141" s="16"/>
      <c r="J141" s="16"/>
      <c r="K141" s="16"/>
      <c r="L141" s="16"/>
    </row>
    <row r="142" spans="5:12" x14ac:dyDescent="0.2">
      <c r="E142" s="16"/>
      <c r="F142" s="16"/>
      <c r="G142" s="16"/>
      <c r="H142" s="16"/>
      <c r="I142" s="16"/>
      <c r="J142" s="16"/>
      <c r="K142" s="16"/>
      <c r="L142" s="16"/>
    </row>
    <row r="143" spans="5:12" x14ac:dyDescent="0.2">
      <c r="E143" s="16"/>
      <c r="F143" s="16"/>
      <c r="G143" s="16"/>
      <c r="H143" s="16"/>
      <c r="I143" s="16"/>
      <c r="J143" s="16"/>
      <c r="K143" s="16"/>
      <c r="L143" s="16"/>
    </row>
    <row r="144" spans="5:12" x14ac:dyDescent="0.2">
      <c r="E144" s="16"/>
      <c r="F144" s="16"/>
      <c r="G144" s="16"/>
      <c r="H144" s="16"/>
      <c r="I144" s="16"/>
      <c r="J144" s="16"/>
      <c r="K144" s="16"/>
      <c r="L144" s="16"/>
    </row>
    <row r="145" spans="5:12" x14ac:dyDescent="0.2">
      <c r="E145" s="16"/>
      <c r="F145" s="16"/>
      <c r="G145" s="16"/>
      <c r="H145" s="16"/>
      <c r="I145" s="16"/>
      <c r="J145" s="16"/>
      <c r="K145" s="16"/>
      <c r="L145" s="16"/>
    </row>
    <row r="146" spans="5:12" x14ac:dyDescent="0.2">
      <c r="E146" s="16"/>
      <c r="F146" s="16"/>
      <c r="G146" s="16"/>
      <c r="H146" s="16"/>
      <c r="I146" s="16"/>
      <c r="J146" s="16"/>
      <c r="K146" s="16"/>
      <c r="L146" s="16"/>
    </row>
    <row r="147" spans="5:12" x14ac:dyDescent="0.2">
      <c r="E147" s="16"/>
      <c r="F147" s="16"/>
      <c r="G147" s="16"/>
      <c r="H147" s="16"/>
      <c r="I147" s="16"/>
      <c r="J147" s="16"/>
      <c r="K147" s="16"/>
      <c r="L147" s="16"/>
    </row>
    <row r="148" spans="5:12" x14ac:dyDescent="0.2">
      <c r="E148" s="16"/>
      <c r="F148" s="16"/>
      <c r="G148" s="16"/>
      <c r="H148" s="16"/>
      <c r="I148" s="16"/>
      <c r="J148" s="16"/>
      <c r="K148" s="16"/>
      <c r="L148" s="16"/>
    </row>
    <row r="149" spans="5:12" x14ac:dyDescent="0.2">
      <c r="E149" s="16"/>
      <c r="F149" s="16"/>
      <c r="G149" s="16"/>
      <c r="H149" s="16"/>
      <c r="I149" s="16"/>
      <c r="J149" s="16"/>
      <c r="K149" s="16"/>
      <c r="L149" s="16"/>
    </row>
    <row r="150" spans="5:12" x14ac:dyDescent="0.2">
      <c r="E150" s="16"/>
      <c r="F150" s="16"/>
      <c r="G150" s="16"/>
      <c r="H150" s="16"/>
      <c r="I150" s="16"/>
      <c r="J150" s="16"/>
      <c r="K150" s="16"/>
      <c r="L150" s="16"/>
    </row>
    <row r="151" spans="5:12" x14ac:dyDescent="0.2">
      <c r="E151" s="16"/>
      <c r="F151" s="16"/>
      <c r="G151" s="16"/>
      <c r="H151" s="16"/>
      <c r="I151" s="16"/>
      <c r="J151" s="16"/>
      <c r="K151" s="16"/>
      <c r="L151" s="16"/>
    </row>
    <row r="152" spans="5:12" x14ac:dyDescent="0.2">
      <c r="E152" s="16"/>
      <c r="F152" s="16"/>
      <c r="G152" s="16"/>
      <c r="H152" s="16"/>
      <c r="I152" s="16"/>
      <c r="J152" s="16"/>
      <c r="K152" s="16"/>
      <c r="L152" s="16"/>
    </row>
    <row r="153" spans="5:12" x14ac:dyDescent="0.2">
      <c r="E153" s="16"/>
      <c r="F153" s="16"/>
      <c r="G153" s="16"/>
      <c r="H153" s="16"/>
      <c r="I153" s="16"/>
      <c r="J153" s="16"/>
      <c r="K153" s="16"/>
      <c r="L153" s="16"/>
    </row>
    <row r="154" spans="5:12" x14ac:dyDescent="0.2">
      <c r="E154" s="16"/>
      <c r="F154" s="16"/>
      <c r="G154" s="16"/>
      <c r="H154" s="16"/>
      <c r="I154" s="16"/>
      <c r="J154" s="16"/>
      <c r="K154" s="16"/>
      <c r="L154" s="16"/>
    </row>
    <row r="155" spans="5:12" x14ac:dyDescent="0.2">
      <c r="E155" s="16"/>
      <c r="F155" s="16"/>
      <c r="G155" s="16"/>
      <c r="H155" s="16"/>
      <c r="I155" s="16"/>
      <c r="J155" s="16"/>
      <c r="K155" s="16"/>
      <c r="L155" s="16"/>
    </row>
    <row r="156" spans="5:12" x14ac:dyDescent="0.2">
      <c r="E156" s="16"/>
      <c r="F156" s="16"/>
      <c r="G156" s="16"/>
      <c r="H156" s="16"/>
      <c r="I156" s="16"/>
      <c r="J156" s="16"/>
      <c r="K156" s="16"/>
      <c r="L156" s="16"/>
    </row>
    <row r="157" spans="5:12" x14ac:dyDescent="0.2">
      <c r="E157" s="16"/>
      <c r="F157" s="16"/>
      <c r="G157" s="16"/>
      <c r="H157" s="16"/>
      <c r="I157" s="16"/>
      <c r="J157" s="16"/>
      <c r="K157" s="16"/>
      <c r="L157" s="16"/>
    </row>
    <row r="158" spans="5:12" x14ac:dyDescent="0.2">
      <c r="E158" s="16"/>
      <c r="F158" s="16"/>
      <c r="G158" s="16"/>
      <c r="H158" s="16"/>
      <c r="I158" s="16"/>
      <c r="J158" s="16"/>
      <c r="K158" s="16"/>
      <c r="L158" s="16"/>
    </row>
    <row r="159" spans="5:12" x14ac:dyDescent="0.2">
      <c r="E159" s="16"/>
      <c r="F159" s="16"/>
      <c r="G159" s="16"/>
      <c r="H159" s="16"/>
      <c r="I159" s="16"/>
      <c r="J159" s="16"/>
      <c r="K159" s="16"/>
      <c r="L159" s="16"/>
    </row>
    <row r="160" spans="5:12" x14ac:dyDescent="0.2">
      <c r="E160" s="16"/>
      <c r="F160" s="16"/>
      <c r="G160" s="16"/>
      <c r="H160" s="16"/>
      <c r="I160" s="16"/>
      <c r="J160" s="16"/>
      <c r="K160" s="16"/>
      <c r="L160" s="16"/>
    </row>
    <row r="161" spans="5:12" x14ac:dyDescent="0.2">
      <c r="E161" s="16"/>
      <c r="F161" s="16"/>
      <c r="G161" s="16"/>
      <c r="H161" s="16"/>
      <c r="I161" s="16"/>
      <c r="J161" s="16"/>
      <c r="K161" s="16"/>
      <c r="L161" s="16"/>
    </row>
    <row r="162" spans="5:12" x14ac:dyDescent="0.2">
      <c r="E162" s="16"/>
      <c r="F162" s="16"/>
      <c r="G162" s="16"/>
      <c r="H162" s="16"/>
      <c r="I162" s="16"/>
      <c r="J162" s="16"/>
      <c r="K162" s="16"/>
      <c r="L162" s="16"/>
    </row>
    <row r="163" spans="5:12" x14ac:dyDescent="0.2">
      <c r="E163" s="16"/>
      <c r="F163" s="16"/>
      <c r="G163" s="16"/>
      <c r="H163" s="16"/>
      <c r="I163" s="16"/>
      <c r="J163" s="16"/>
      <c r="K163" s="16"/>
      <c r="L163" s="16"/>
    </row>
    <row r="164" spans="5:12" x14ac:dyDescent="0.2">
      <c r="E164" s="16"/>
      <c r="F164" s="16"/>
      <c r="G164" s="16"/>
      <c r="H164" s="16"/>
      <c r="I164" s="16"/>
      <c r="J164" s="16"/>
      <c r="K164" s="16"/>
      <c r="L164" s="16"/>
    </row>
    <row r="165" spans="5:12" x14ac:dyDescent="0.2">
      <c r="E165" s="16"/>
      <c r="F165" s="16"/>
      <c r="G165" s="16"/>
      <c r="H165" s="16"/>
      <c r="I165" s="16"/>
      <c r="J165" s="16"/>
      <c r="K165" s="16"/>
      <c r="L165" s="16"/>
    </row>
    <row r="166" spans="5:12" x14ac:dyDescent="0.2">
      <c r="E166" s="16"/>
      <c r="F166" s="16"/>
      <c r="G166" s="16"/>
      <c r="H166" s="16"/>
      <c r="I166" s="16"/>
      <c r="J166" s="16"/>
      <c r="K166" s="16"/>
      <c r="L166" s="16"/>
    </row>
    <row r="167" spans="5:12" x14ac:dyDescent="0.2">
      <c r="E167" s="16"/>
      <c r="F167" s="16"/>
      <c r="G167" s="16"/>
      <c r="H167" s="16"/>
      <c r="I167" s="16"/>
      <c r="J167" s="16"/>
      <c r="K167" s="16"/>
      <c r="L167" s="16"/>
    </row>
    <row r="168" spans="5:12" x14ac:dyDescent="0.2">
      <c r="E168" s="16"/>
      <c r="F168" s="16"/>
      <c r="G168" s="16"/>
      <c r="H168" s="16"/>
      <c r="I168" s="16"/>
      <c r="J168" s="16"/>
      <c r="K168" s="16"/>
      <c r="L168" s="16"/>
    </row>
    <row r="169" spans="5:12" x14ac:dyDescent="0.2">
      <c r="E169" s="16"/>
      <c r="F169" s="16"/>
      <c r="G169" s="16"/>
      <c r="H169" s="16"/>
      <c r="I169" s="16"/>
      <c r="J169" s="16"/>
      <c r="K169" s="16"/>
      <c r="L169" s="16"/>
    </row>
    <row r="170" spans="5:12" x14ac:dyDescent="0.2">
      <c r="E170" s="16"/>
      <c r="F170" s="16"/>
      <c r="G170" s="16"/>
      <c r="H170" s="16"/>
      <c r="I170" s="16"/>
      <c r="J170" s="16"/>
      <c r="K170" s="16"/>
      <c r="L170" s="16"/>
    </row>
    <row r="171" spans="5:12" x14ac:dyDescent="0.2">
      <c r="E171" s="16"/>
      <c r="F171" s="16"/>
      <c r="G171" s="16"/>
      <c r="H171" s="16"/>
      <c r="I171" s="16"/>
      <c r="J171" s="16"/>
      <c r="K171" s="16"/>
      <c r="L171" s="16"/>
    </row>
    <row r="172" spans="5:12" x14ac:dyDescent="0.2">
      <c r="E172" s="16"/>
      <c r="F172" s="16"/>
      <c r="G172" s="16"/>
      <c r="H172" s="16"/>
      <c r="I172" s="16"/>
      <c r="J172" s="16"/>
      <c r="K172" s="16"/>
      <c r="L172" s="16"/>
    </row>
    <row r="173" spans="5:12" x14ac:dyDescent="0.2">
      <c r="E173" s="16"/>
      <c r="F173" s="16"/>
      <c r="G173" s="16"/>
      <c r="H173" s="16"/>
      <c r="I173" s="16"/>
      <c r="J173" s="16"/>
      <c r="K173" s="16"/>
      <c r="L173" s="16"/>
    </row>
    <row r="174" spans="5:12" x14ac:dyDescent="0.2">
      <c r="E174" s="16"/>
      <c r="F174" s="16"/>
      <c r="G174" s="16"/>
      <c r="H174" s="16"/>
      <c r="I174" s="16"/>
      <c r="J174" s="16"/>
      <c r="K174" s="16"/>
      <c r="L174" s="16"/>
    </row>
    <row r="175" spans="5:12" x14ac:dyDescent="0.2">
      <c r="E175" s="16"/>
      <c r="F175" s="16"/>
      <c r="G175" s="16"/>
      <c r="H175" s="16"/>
      <c r="I175" s="16"/>
      <c r="J175" s="16"/>
      <c r="K175" s="16"/>
      <c r="L175" s="16"/>
    </row>
    <row r="176" spans="5:12" x14ac:dyDescent="0.2">
      <c r="E176" s="16"/>
      <c r="F176" s="16"/>
      <c r="G176" s="16"/>
      <c r="H176" s="16"/>
      <c r="I176" s="16"/>
      <c r="J176" s="16"/>
      <c r="K176" s="16"/>
      <c r="L176" s="16"/>
    </row>
    <row r="177" spans="5:12" x14ac:dyDescent="0.2">
      <c r="E177" s="16"/>
      <c r="F177" s="16"/>
      <c r="G177" s="16"/>
      <c r="H177" s="16"/>
      <c r="I177" s="16"/>
      <c r="J177" s="16"/>
      <c r="K177" s="16"/>
      <c r="L177" s="16"/>
    </row>
    <row r="178" spans="5:12" x14ac:dyDescent="0.2">
      <c r="E178" s="16"/>
      <c r="F178" s="16"/>
      <c r="G178" s="16"/>
      <c r="H178" s="16"/>
      <c r="I178" s="16"/>
      <c r="J178" s="16"/>
      <c r="K178" s="16"/>
      <c r="L178" s="16"/>
    </row>
    <row r="179" spans="5:12" x14ac:dyDescent="0.2">
      <c r="E179" s="16"/>
      <c r="F179" s="16"/>
      <c r="G179" s="16"/>
      <c r="H179" s="16"/>
      <c r="I179" s="16"/>
      <c r="J179" s="16"/>
      <c r="K179" s="16"/>
      <c r="L179" s="16"/>
    </row>
    <row r="180" spans="5:12" x14ac:dyDescent="0.2">
      <c r="E180" s="16"/>
      <c r="F180" s="16"/>
      <c r="G180" s="16"/>
      <c r="H180" s="16"/>
      <c r="I180" s="16"/>
      <c r="J180" s="16"/>
      <c r="K180" s="16"/>
      <c r="L180" s="16"/>
    </row>
    <row r="181" spans="5:12" x14ac:dyDescent="0.2">
      <c r="E181" s="16"/>
      <c r="F181" s="16"/>
      <c r="G181" s="16"/>
      <c r="H181" s="16"/>
      <c r="I181" s="16"/>
      <c r="J181" s="16"/>
      <c r="K181" s="16"/>
      <c r="L181" s="16"/>
    </row>
    <row r="182" spans="5:12" x14ac:dyDescent="0.2">
      <c r="E182" s="16"/>
      <c r="F182" s="16"/>
      <c r="G182" s="16"/>
      <c r="H182" s="16"/>
      <c r="I182" s="16"/>
      <c r="J182" s="16"/>
      <c r="K182" s="16"/>
      <c r="L182" s="16"/>
    </row>
    <row r="183" spans="5:12" x14ac:dyDescent="0.2">
      <c r="E183" s="16"/>
      <c r="F183" s="16"/>
      <c r="G183" s="16"/>
      <c r="H183" s="16"/>
      <c r="I183" s="16"/>
      <c r="J183" s="16"/>
      <c r="K183" s="16"/>
      <c r="L183" s="16"/>
    </row>
    <row r="184" spans="5:12" x14ac:dyDescent="0.2">
      <c r="E184" s="16"/>
      <c r="F184" s="16"/>
      <c r="G184" s="16"/>
      <c r="H184" s="16"/>
      <c r="I184" s="16"/>
      <c r="J184" s="16"/>
      <c r="K184" s="16"/>
      <c r="L184" s="16"/>
    </row>
    <row r="185" spans="5:12" x14ac:dyDescent="0.2">
      <c r="E185" s="16"/>
      <c r="F185" s="16"/>
      <c r="G185" s="16"/>
      <c r="H185" s="16"/>
      <c r="I185" s="16"/>
      <c r="J185" s="16"/>
      <c r="K185" s="16"/>
      <c r="L185" s="16"/>
    </row>
    <row r="186" spans="5:12" x14ac:dyDescent="0.2">
      <c r="E186" s="16"/>
      <c r="F186" s="16"/>
      <c r="G186" s="16"/>
      <c r="H186" s="16"/>
      <c r="I186" s="16"/>
      <c r="J186" s="16"/>
      <c r="K186" s="16"/>
      <c r="L186" s="16"/>
    </row>
    <row r="187" spans="5:12" x14ac:dyDescent="0.2">
      <c r="E187" s="16"/>
      <c r="F187" s="16"/>
      <c r="G187" s="16"/>
      <c r="H187" s="16"/>
      <c r="I187" s="16"/>
      <c r="J187" s="16"/>
      <c r="K187" s="16"/>
      <c r="L187" s="16"/>
    </row>
    <row r="188" spans="5:12" x14ac:dyDescent="0.2">
      <c r="E188" s="16"/>
      <c r="F188" s="16"/>
      <c r="G188" s="16"/>
      <c r="H188" s="16"/>
      <c r="I188" s="16"/>
      <c r="J188" s="16"/>
      <c r="K188" s="16"/>
      <c r="L188" s="16"/>
    </row>
    <row r="189" spans="5:12" x14ac:dyDescent="0.2">
      <c r="E189" s="16"/>
      <c r="F189" s="16"/>
      <c r="G189" s="16"/>
      <c r="H189" s="16"/>
      <c r="I189" s="16"/>
      <c r="J189" s="16"/>
      <c r="K189" s="16"/>
      <c r="L189" s="16"/>
    </row>
    <row r="190" spans="5:12" x14ac:dyDescent="0.2">
      <c r="E190" s="16"/>
      <c r="F190" s="16"/>
      <c r="G190" s="16"/>
      <c r="H190" s="16"/>
      <c r="I190" s="16"/>
      <c r="J190" s="16"/>
      <c r="K190" s="16"/>
      <c r="L190" s="16"/>
    </row>
    <row r="191" spans="5:12" x14ac:dyDescent="0.2">
      <c r="E191" s="16"/>
      <c r="F191" s="16"/>
      <c r="G191" s="16"/>
      <c r="H191" s="16"/>
      <c r="I191" s="16"/>
      <c r="J191" s="16"/>
      <c r="K191" s="16"/>
      <c r="L191" s="16"/>
    </row>
    <row r="192" spans="5:12" x14ac:dyDescent="0.2">
      <c r="E192" s="16"/>
      <c r="F192" s="16"/>
      <c r="G192" s="16"/>
      <c r="H192" s="16"/>
      <c r="I192" s="16"/>
      <c r="J192" s="16"/>
      <c r="K192" s="16"/>
      <c r="L192" s="16"/>
    </row>
    <row r="193" spans="5:12" x14ac:dyDescent="0.2">
      <c r="E193" s="16"/>
      <c r="F193" s="16"/>
      <c r="G193" s="16"/>
      <c r="H193" s="16"/>
      <c r="I193" s="16"/>
      <c r="J193" s="16"/>
      <c r="K193" s="16"/>
      <c r="L193" s="16"/>
    </row>
    <row r="194" spans="5:12" x14ac:dyDescent="0.2">
      <c r="E194" s="16"/>
      <c r="F194" s="16"/>
      <c r="G194" s="16"/>
      <c r="H194" s="16"/>
      <c r="I194" s="16"/>
      <c r="J194" s="16"/>
      <c r="K194" s="16"/>
      <c r="L194" s="16"/>
    </row>
    <row r="195" spans="5:12" x14ac:dyDescent="0.2">
      <c r="E195" s="16"/>
      <c r="F195" s="16"/>
      <c r="G195" s="16"/>
      <c r="H195" s="16"/>
      <c r="I195" s="16"/>
      <c r="J195" s="16"/>
      <c r="K195" s="16"/>
      <c r="L195" s="16"/>
    </row>
    <row r="196" spans="5:12" x14ac:dyDescent="0.2">
      <c r="E196" s="16"/>
      <c r="F196" s="16"/>
      <c r="G196" s="16"/>
      <c r="H196" s="16"/>
      <c r="I196" s="16"/>
      <c r="J196" s="16"/>
      <c r="K196" s="16"/>
      <c r="L196" s="16"/>
    </row>
    <row r="197" spans="5:12" x14ac:dyDescent="0.2">
      <c r="E197" s="16"/>
      <c r="F197" s="16"/>
      <c r="G197" s="16"/>
      <c r="H197" s="16"/>
      <c r="I197" s="16"/>
      <c r="J197" s="16"/>
      <c r="K197" s="16"/>
      <c r="L197" s="16"/>
    </row>
    <row r="198" spans="5:12" x14ac:dyDescent="0.2">
      <c r="E198" s="16"/>
      <c r="F198" s="16"/>
      <c r="G198" s="16"/>
      <c r="H198" s="16"/>
      <c r="I198" s="16"/>
      <c r="J198" s="16"/>
      <c r="K198" s="16"/>
      <c r="L198" s="16"/>
    </row>
    <row r="199" spans="5:12" x14ac:dyDescent="0.2">
      <c r="E199" s="16"/>
      <c r="F199" s="16"/>
      <c r="G199" s="16"/>
      <c r="H199" s="16"/>
      <c r="I199" s="16"/>
      <c r="J199" s="16"/>
      <c r="K199" s="16"/>
      <c r="L199" s="16"/>
    </row>
    <row r="200" spans="5:12" x14ac:dyDescent="0.2">
      <c r="E200" s="16"/>
      <c r="F200" s="16"/>
      <c r="G200" s="16"/>
      <c r="H200" s="16"/>
      <c r="I200" s="16"/>
      <c r="J200" s="16"/>
      <c r="K200" s="16"/>
      <c r="L200" s="16"/>
    </row>
    <row r="201" spans="5:12" x14ac:dyDescent="0.2">
      <c r="E201" s="16"/>
      <c r="F201" s="16"/>
      <c r="G201" s="16"/>
      <c r="H201" s="16"/>
      <c r="I201" s="16"/>
      <c r="J201" s="16"/>
      <c r="K201" s="16"/>
      <c r="L201" s="16"/>
    </row>
    <row r="202" spans="5:12" x14ac:dyDescent="0.2">
      <c r="E202" s="16"/>
      <c r="F202" s="16"/>
      <c r="G202" s="16"/>
      <c r="H202" s="16"/>
      <c r="I202" s="16"/>
      <c r="J202" s="16"/>
      <c r="K202" s="16"/>
      <c r="L202" s="16"/>
    </row>
    <row r="203" spans="5:12" x14ac:dyDescent="0.2">
      <c r="E203" s="16"/>
      <c r="F203" s="16"/>
      <c r="G203" s="16"/>
      <c r="H203" s="16"/>
      <c r="I203" s="16"/>
      <c r="J203" s="16"/>
      <c r="K203" s="16"/>
      <c r="L203" s="16"/>
    </row>
    <row r="204" spans="5:12" x14ac:dyDescent="0.2">
      <c r="E204" s="16"/>
      <c r="F204" s="16"/>
      <c r="G204" s="16"/>
      <c r="H204" s="16"/>
      <c r="I204" s="16"/>
      <c r="J204" s="16"/>
      <c r="K204" s="16"/>
      <c r="L204" s="16"/>
    </row>
    <row r="205" spans="5:12" x14ac:dyDescent="0.2">
      <c r="E205" s="16"/>
      <c r="F205" s="16"/>
      <c r="G205" s="16"/>
      <c r="H205" s="16"/>
      <c r="I205" s="16"/>
      <c r="J205" s="16"/>
      <c r="K205" s="16"/>
      <c r="L205" s="16"/>
    </row>
    <row r="206" spans="5:12" x14ac:dyDescent="0.2">
      <c r="E206" s="16"/>
      <c r="F206" s="16"/>
      <c r="G206" s="16"/>
      <c r="H206" s="16"/>
      <c r="I206" s="16"/>
      <c r="J206" s="16"/>
      <c r="K206" s="16"/>
      <c r="L206" s="16"/>
    </row>
    <row r="207" spans="5:12" x14ac:dyDescent="0.2">
      <c r="E207" s="16"/>
      <c r="F207" s="16"/>
      <c r="G207" s="16"/>
      <c r="H207" s="16"/>
      <c r="I207" s="16"/>
      <c r="J207" s="16"/>
      <c r="K207" s="16"/>
      <c r="L207" s="16"/>
    </row>
    <row r="208" spans="5:12" x14ac:dyDescent="0.2">
      <c r="E208" s="16"/>
      <c r="F208" s="16"/>
      <c r="G208" s="16"/>
      <c r="H208" s="16"/>
      <c r="I208" s="16"/>
      <c r="J208" s="16"/>
      <c r="K208" s="16"/>
      <c r="L208" s="16"/>
    </row>
    <row r="209" spans="5:12" x14ac:dyDescent="0.2">
      <c r="E209" s="16"/>
      <c r="F209" s="16"/>
      <c r="G209" s="16"/>
      <c r="H209" s="16"/>
      <c r="I209" s="16"/>
      <c r="J209" s="16"/>
      <c r="K209" s="16"/>
      <c r="L209" s="16"/>
    </row>
    <row r="210" spans="5:12" x14ac:dyDescent="0.2">
      <c r="E210" s="16"/>
      <c r="F210" s="16"/>
      <c r="G210" s="16"/>
      <c r="H210" s="16"/>
      <c r="I210" s="16"/>
      <c r="J210" s="16"/>
      <c r="K210" s="16"/>
      <c r="L210" s="16"/>
    </row>
    <row r="211" spans="5:12" x14ac:dyDescent="0.2">
      <c r="E211" s="16"/>
      <c r="F211" s="16"/>
      <c r="G211" s="16"/>
      <c r="H211" s="16"/>
      <c r="I211" s="16"/>
      <c r="J211" s="16"/>
      <c r="K211" s="16"/>
      <c r="L211" s="16"/>
    </row>
    <row r="212" spans="5:12" x14ac:dyDescent="0.2">
      <c r="E212" s="16"/>
      <c r="F212" s="16"/>
      <c r="G212" s="16"/>
      <c r="H212" s="16"/>
      <c r="I212" s="16"/>
      <c r="J212" s="16"/>
      <c r="K212" s="16"/>
      <c r="L212" s="16"/>
    </row>
    <row r="213" spans="5:12" x14ac:dyDescent="0.2">
      <c r="E213" s="16"/>
      <c r="F213" s="16"/>
      <c r="G213" s="16"/>
      <c r="H213" s="16"/>
      <c r="I213" s="16"/>
      <c r="J213" s="16"/>
      <c r="K213" s="16"/>
      <c r="L213" s="16"/>
    </row>
    <row r="214" spans="5:12" x14ac:dyDescent="0.2">
      <c r="E214" s="16"/>
      <c r="F214" s="16"/>
      <c r="G214" s="16"/>
      <c r="H214" s="16"/>
      <c r="I214" s="16"/>
      <c r="J214" s="16"/>
      <c r="K214" s="16"/>
      <c r="L214" s="16"/>
    </row>
    <row r="215" spans="5:12" x14ac:dyDescent="0.2">
      <c r="E215" s="16"/>
      <c r="F215" s="16"/>
      <c r="G215" s="16"/>
      <c r="H215" s="16"/>
      <c r="I215" s="16"/>
      <c r="J215" s="16"/>
      <c r="K215" s="16"/>
      <c r="L215" s="16"/>
    </row>
    <row r="216" spans="5:12" x14ac:dyDescent="0.2">
      <c r="E216" s="16"/>
      <c r="F216" s="16"/>
      <c r="G216" s="16"/>
      <c r="H216" s="16"/>
      <c r="I216" s="16"/>
      <c r="J216" s="16"/>
      <c r="K216" s="16"/>
      <c r="L216" s="16"/>
    </row>
    <row r="217" spans="5:12" x14ac:dyDescent="0.2">
      <c r="E217" s="16"/>
      <c r="F217" s="16"/>
      <c r="G217" s="16"/>
      <c r="H217" s="16"/>
      <c r="I217" s="16"/>
      <c r="J217" s="16"/>
      <c r="K217" s="16"/>
      <c r="L217" s="16"/>
    </row>
    <row r="218" spans="5:12" x14ac:dyDescent="0.2">
      <c r="E218" s="16"/>
      <c r="F218" s="16"/>
      <c r="G218" s="16"/>
      <c r="H218" s="16"/>
      <c r="I218" s="16"/>
      <c r="J218" s="16"/>
      <c r="K218" s="16"/>
      <c r="L218" s="16"/>
    </row>
    <row r="219" spans="5:12" x14ac:dyDescent="0.2">
      <c r="E219" s="16"/>
      <c r="F219" s="16"/>
      <c r="G219" s="16"/>
      <c r="H219" s="16"/>
      <c r="I219" s="16"/>
      <c r="J219" s="16"/>
      <c r="K219" s="16"/>
      <c r="L219" s="16"/>
    </row>
    <row r="220" spans="5:12" x14ac:dyDescent="0.2">
      <c r="E220" s="16"/>
      <c r="F220" s="16"/>
      <c r="G220" s="16"/>
      <c r="H220" s="16"/>
      <c r="I220" s="16"/>
      <c r="J220" s="16"/>
      <c r="K220" s="16"/>
      <c r="L220" s="16"/>
    </row>
    <row r="221" spans="5:12" x14ac:dyDescent="0.2">
      <c r="E221" s="16"/>
      <c r="F221" s="16"/>
      <c r="G221" s="16"/>
      <c r="H221" s="16"/>
      <c r="I221" s="16"/>
      <c r="J221" s="16"/>
      <c r="K221" s="16"/>
      <c r="L221" s="16"/>
    </row>
    <row r="222" spans="5:12" x14ac:dyDescent="0.2">
      <c r="E222" s="16"/>
      <c r="F222" s="16"/>
      <c r="G222" s="16"/>
      <c r="H222" s="16"/>
      <c r="I222" s="16"/>
      <c r="J222" s="16"/>
      <c r="K222" s="16"/>
      <c r="L222" s="16"/>
    </row>
    <row r="223" spans="5:12" x14ac:dyDescent="0.2">
      <c r="E223" s="16"/>
      <c r="F223" s="16"/>
      <c r="G223" s="16"/>
      <c r="H223" s="16"/>
      <c r="I223" s="16"/>
      <c r="J223" s="16"/>
      <c r="K223" s="16"/>
      <c r="L223" s="16"/>
    </row>
    <row r="224" spans="5:12" x14ac:dyDescent="0.2">
      <c r="E224" s="16"/>
      <c r="F224" s="16"/>
      <c r="G224" s="16"/>
      <c r="H224" s="16"/>
      <c r="I224" s="16"/>
      <c r="J224" s="16"/>
      <c r="K224" s="16"/>
      <c r="L224" s="16"/>
    </row>
    <row r="225" spans="5:12" x14ac:dyDescent="0.2">
      <c r="E225" s="16"/>
      <c r="F225" s="16"/>
      <c r="G225" s="16"/>
      <c r="H225" s="16"/>
      <c r="I225" s="16"/>
      <c r="J225" s="16"/>
      <c r="K225" s="16"/>
      <c r="L225" s="16"/>
    </row>
    <row r="226" spans="5:12" x14ac:dyDescent="0.2">
      <c r="E226" s="16"/>
      <c r="F226" s="16"/>
      <c r="G226" s="16"/>
      <c r="H226" s="16"/>
      <c r="I226" s="16"/>
      <c r="J226" s="16"/>
      <c r="K226" s="16"/>
      <c r="L226" s="16"/>
    </row>
    <row r="227" spans="5:12" x14ac:dyDescent="0.2">
      <c r="E227" s="16"/>
      <c r="F227" s="16"/>
      <c r="G227" s="16"/>
      <c r="H227" s="16"/>
      <c r="I227" s="16"/>
      <c r="J227" s="16"/>
      <c r="K227" s="16"/>
      <c r="L227" s="16"/>
    </row>
    <row r="228" spans="5:12" x14ac:dyDescent="0.2">
      <c r="E228" s="16"/>
      <c r="F228" s="16"/>
      <c r="G228" s="16"/>
      <c r="H228" s="16"/>
      <c r="I228" s="16"/>
      <c r="J228" s="16"/>
      <c r="K228" s="16"/>
      <c r="L228" s="16"/>
    </row>
    <row r="229" spans="5:12" x14ac:dyDescent="0.2">
      <c r="E229" s="16"/>
      <c r="F229" s="16"/>
      <c r="G229" s="16"/>
      <c r="H229" s="16"/>
      <c r="I229" s="16"/>
      <c r="J229" s="16"/>
      <c r="K229" s="16"/>
      <c r="L229" s="16"/>
    </row>
    <row r="230" spans="5:12" x14ac:dyDescent="0.2">
      <c r="E230" s="16"/>
      <c r="F230" s="16"/>
      <c r="G230" s="16"/>
      <c r="H230" s="16"/>
      <c r="I230" s="16"/>
      <c r="J230" s="16"/>
      <c r="K230" s="16"/>
      <c r="L230" s="16"/>
    </row>
    <row r="231" spans="5:12" x14ac:dyDescent="0.2">
      <c r="E231" s="16"/>
      <c r="F231" s="16"/>
      <c r="G231" s="16"/>
      <c r="H231" s="16"/>
      <c r="I231" s="16"/>
      <c r="J231" s="16"/>
      <c r="K231" s="16"/>
      <c r="L231" s="16"/>
    </row>
    <row r="232" spans="5:12" x14ac:dyDescent="0.2">
      <c r="E232" s="16"/>
      <c r="F232" s="16"/>
      <c r="G232" s="16"/>
      <c r="H232" s="16"/>
      <c r="I232" s="16"/>
      <c r="J232" s="16"/>
      <c r="K232" s="16"/>
      <c r="L232" s="16"/>
    </row>
    <row r="233" spans="5:12" x14ac:dyDescent="0.2">
      <c r="E233" s="16"/>
      <c r="F233" s="16"/>
      <c r="G233" s="16"/>
      <c r="H233" s="16"/>
      <c r="I233" s="16"/>
      <c r="J233" s="16"/>
      <c r="K233" s="16"/>
      <c r="L233" s="16"/>
    </row>
    <row r="234" spans="5:12" x14ac:dyDescent="0.2">
      <c r="E234" s="16"/>
      <c r="F234" s="16"/>
      <c r="G234" s="16"/>
      <c r="H234" s="16"/>
      <c r="I234" s="16"/>
      <c r="J234" s="16"/>
      <c r="K234" s="16"/>
      <c r="L234" s="16"/>
    </row>
    <row r="235" spans="5:12" x14ac:dyDescent="0.2">
      <c r="E235" s="16"/>
      <c r="F235" s="16"/>
      <c r="G235" s="16"/>
      <c r="H235" s="16"/>
      <c r="I235" s="16"/>
      <c r="J235" s="16"/>
      <c r="K235" s="16"/>
      <c r="L235" s="16"/>
    </row>
    <row r="236" spans="5:12" x14ac:dyDescent="0.2">
      <c r="E236" s="16"/>
      <c r="F236" s="16"/>
      <c r="G236" s="16"/>
      <c r="H236" s="16"/>
      <c r="I236" s="16"/>
      <c r="J236" s="16"/>
      <c r="K236" s="16"/>
      <c r="L236" s="16"/>
    </row>
    <row r="237" spans="5:12" x14ac:dyDescent="0.2">
      <c r="E237" s="16"/>
      <c r="F237" s="16"/>
      <c r="G237" s="16"/>
      <c r="H237" s="16"/>
      <c r="I237" s="16"/>
      <c r="J237" s="16"/>
      <c r="K237" s="16"/>
      <c r="L237" s="16"/>
    </row>
    <row r="238" spans="5:12" x14ac:dyDescent="0.2">
      <c r="E238" s="16"/>
      <c r="F238" s="16"/>
      <c r="G238" s="16"/>
      <c r="H238" s="16"/>
      <c r="I238" s="16"/>
      <c r="J238" s="16"/>
      <c r="K238" s="16"/>
      <c r="L238" s="16"/>
    </row>
    <row r="239" spans="5:12" x14ac:dyDescent="0.2">
      <c r="E239" s="16"/>
      <c r="F239" s="16"/>
      <c r="G239" s="16"/>
      <c r="H239" s="16"/>
      <c r="I239" s="16"/>
      <c r="J239" s="16"/>
      <c r="K239" s="16"/>
      <c r="L239" s="16"/>
    </row>
    <row r="240" spans="5:12" x14ac:dyDescent="0.2">
      <c r="E240" s="16"/>
      <c r="F240" s="16"/>
      <c r="G240" s="16"/>
      <c r="H240" s="16"/>
      <c r="I240" s="16"/>
      <c r="J240" s="16"/>
      <c r="K240" s="16"/>
      <c r="L240" s="16"/>
    </row>
    <row r="241" spans="5:12" x14ac:dyDescent="0.2">
      <c r="E241" s="16"/>
      <c r="F241" s="16"/>
      <c r="G241" s="16"/>
      <c r="H241" s="16"/>
      <c r="I241" s="16"/>
      <c r="J241" s="16"/>
      <c r="K241" s="16"/>
      <c r="L241" s="16"/>
    </row>
    <row r="242" spans="5:12" x14ac:dyDescent="0.2">
      <c r="E242" s="16"/>
      <c r="F242" s="16"/>
      <c r="G242" s="16"/>
      <c r="H242" s="16"/>
      <c r="I242" s="16"/>
      <c r="J242" s="16"/>
      <c r="K242" s="16"/>
      <c r="L242" s="16"/>
    </row>
    <row r="243" spans="5:12" x14ac:dyDescent="0.2">
      <c r="E243" s="16"/>
      <c r="F243" s="16"/>
      <c r="G243" s="16"/>
      <c r="H243" s="16"/>
      <c r="I243" s="16"/>
      <c r="J243" s="16"/>
      <c r="K243" s="16"/>
      <c r="L243" s="16"/>
    </row>
    <row r="244" spans="5:12" x14ac:dyDescent="0.2">
      <c r="E244" s="16"/>
      <c r="F244" s="16"/>
      <c r="G244" s="16"/>
      <c r="H244" s="16"/>
      <c r="I244" s="16"/>
      <c r="J244" s="16"/>
      <c r="K244" s="16"/>
      <c r="L244" s="16"/>
    </row>
    <row r="245" spans="5:12" x14ac:dyDescent="0.2">
      <c r="E245" s="16"/>
      <c r="F245" s="16"/>
      <c r="G245" s="16"/>
      <c r="H245" s="16"/>
      <c r="I245" s="16"/>
      <c r="J245" s="16"/>
      <c r="K245" s="16"/>
      <c r="L245" s="16"/>
    </row>
    <row r="246" spans="5:12" x14ac:dyDescent="0.2">
      <c r="E246" s="16"/>
      <c r="F246" s="16"/>
      <c r="G246" s="16"/>
      <c r="H246" s="16"/>
      <c r="I246" s="16"/>
      <c r="J246" s="16"/>
      <c r="K246" s="16"/>
      <c r="L246" s="16"/>
    </row>
    <row r="247" spans="5:12" x14ac:dyDescent="0.2">
      <c r="E247" s="16"/>
      <c r="F247" s="16"/>
      <c r="G247" s="16"/>
      <c r="H247" s="16"/>
      <c r="I247" s="16"/>
      <c r="J247" s="16"/>
      <c r="K247" s="16"/>
      <c r="L247" s="16"/>
    </row>
    <row r="248" spans="5:12" x14ac:dyDescent="0.2">
      <c r="E248" s="16"/>
      <c r="F248" s="16"/>
      <c r="G248" s="16"/>
      <c r="H248" s="16"/>
      <c r="I248" s="16"/>
      <c r="J248" s="16"/>
      <c r="K248" s="16"/>
      <c r="L248" s="16"/>
    </row>
    <row r="249" spans="5:12" x14ac:dyDescent="0.2">
      <c r="E249" s="16"/>
      <c r="F249" s="16"/>
      <c r="G249" s="16"/>
      <c r="H249" s="16"/>
      <c r="I249" s="16"/>
      <c r="J249" s="16"/>
      <c r="K249" s="16"/>
      <c r="L249" s="16"/>
    </row>
    <row r="250" spans="5:12" x14ac:dyDescent="0.2">
      <c r="E250" s="16"/>
      <c r="F250" s="16"/>
      <c r="G250" s="16"/>
      <c r="H250" s="16"/>
      <c r="I250" s="16"/>
      <c r="J250" s="16"/>
      <c r="K250" s="16"/>
      <c r="L250" s="16"/>
    </row>
    <row r="251" spans="5:12" x14ac:dyDescent="0.2">
      <c r="E251" s="16"/>
      <c r="F251" s="16"/>
      <c r="G251" s="16"/>
      <c r="H251" s="16"/>
      <c r="I251" s="16"/>
      <c r="J251" s="16"/>
      <c r="K251" s="16"/>
      <c r="L251" s="16"/>
    </row>
    <row r="252" spans="5:12" x14ac:dyDescent="0.2">
      <c r="E252" s="16"/>
      <c r="F252" s="16"/>
      <c r="G252" s="16"/>
      <c r="H252" s="16"/>
      <c r="I252" s="16"/>
      <c r="J252" s="16"/>
      <c r="K252" s="16"/>
      <c r="L252" s="16"/>
    </row>
    <row r="253" spans="5:12" x14ac:dyDescent="0.2">
      <c r="E253" s="16"/>
      <c r="F253" s="16"/>
      <c r="G253" s="16"/>
      <c r="H253" s="16"/>
      <c r="I253" s="16"/>
      <c r="J253" s="16"/>
      <c r="K253" s="16"/>
      <c r="L253" s="16"/>
    </row>
    <row r="254" spans="5:12" x14ac:dyDescent="0.2">
      <c r="E254" s="16"/>
      <c r="F254" s="16"/>
      <c r="G254" s="16"/>
      <c r="H254" s="16"/>
      <c r="I254" s="16"/>
      <c r="J254" s="16"/>
      <c r="K254" s="16"/>
      <c r="L254" s="16"/>
    </row>
    <row r="255" spans="5:12" x14ac:dyDescent="0.2">
      <c r="E255" s="16"/>
      <c r="F255" s="16"/>
      <c r="G255" s="16"/>
      <c r="H255" s="16"/>
      <c r="I255" s="16"/>
      <c r="J255" s="16"/>
      <c r="K255" s="16"/>
      <c r="L255" s="16"/>
    </row>
    <row r="256" spans="5:12" x14ac:dyDescent="0.2">
      <c r="E256" s="16"/>
      <c r="F256" s="16"/>
      <c r="G256" s="16"/>
      <c r="H256" s="16"/>
      <c r="I256" s="16"/>
      <c r="J256" s="16"/>
      <c r="K256" s="16"/>
      <c r="L256" s="16"/>
    </row>
    <row r="257" spans="5:12" x14ac:dyDescent="0.2">
      <c r="E257" s="16"/>
      <c r="F257" s="16"/>
      <c r="G257" s="16"/>
      <c r="H257" s="16"/>
      <c r="I257" s="16"/>
      <c r="J257" s="16"/>
      <c r="K257" s="16"/>
      <c r="L257" s="16"/>
    </row>
    <row r="258" spans="5:12" x14ac:dyDescent="0.2">
      <c r="E258" s="16"/>
      <c r="F258" s="16"/>
      <c r="G258" s="16"/>
      <c r="H258" s="16"/>
      <c r="I258" s="16"/>
      <c r="J258" s="16"/>
      <c r="K258" s="16"/>
      <c r="L258" s="16"/>
    </row>
    <row r="259" spans="5:12" x14ac:dyDescent="0.2">
      <c r="E259" s="16"/>
      <c r="F259" s="16"/>
      <c r="G259" s="16"/>
      <c r="H259" s="16"/>
      <c r="I259" s="16"/>
      <c r="J259" s="16"/>
      <c r="K259" s="16"/>
      <c r="L259" s="16"/>
    </row>
    <row r="260" spans="5:12" x14ac:dyDescent="0.2">
      <c r="E260" s="16"/>
      <c r="F260" s="16"/>
      <c r="G260" s="16"/>
      <c r="H260" s="16"/>
      <c r="I260" s="16"/>
      <c r="J260" s="16"/>
      <c r="K260" s="16"/>
      <c r="L260" s="16"/>
    </row>
    <row r="261" spans="5:12" x14ac:dyDescent="0.2">
      <c r="E261" s="16"/>
      <c r="F261" s="16"/>
      <c r="G261" s="16"/>
      <c r="H261" s="16"/>
      <c r="I261" s="16"/>
      <c r="J261" s="16"/>
      <c r="K261" s="16"/>
      <c r="L261" s="16"/>
    </row>
    <row r="262" spans="5:12" x14ac:dyDescent="0.2">
      <c r="E262" s="16"/>
      <c r="F262" s="16"/>
      <c r="G262" s="16"/>
      <c r="H262" s="16"/>
      <c r="I262" s="16"/>
      <c r="J262" s="16"/>
      <c r="K262" s="16"/>
      <c r="L262" s="16"/>
    </row>
    <row r="263" spans="5:12" x14ac:dyDescent="0.2">
      <c r="E263" s="16"/>
      <c r="F263" s="16"/>
      <c r="G263" s="16"/>
      <c r="H263" s="16"/>
      <c r="I263" s="16"/>
      <c r="J263" s="16"/>
      <c r="K263" s="16"/>
      <c r="L263" s="16"/>
    </row>
    <row r="264" spans="5:12" x14ac:dyDescent="0.2">
      <c r="E264" s="16"/>
      <c r="F264" s="16"/>
      <c r="G264" s="16"/>
      <c r="H264" s="16"/>
      <c r="I264" s="16"/>
      <c r="J264" s="16"/>
      <c r="K264" s="16"/>
      <c r="L264" s="16"/>
    </row>
    <row r="265" spans="5:12" x14ac:dyDescent="0.2">
      <c r="E265" s="16"/>
      <c r="F265" s="16"/>
      <c r="G265" s="16"/>
      <c r="H265" s="16"/>
      <c r="I265" s="16"/>
      <c r="J265" s="16"/>
      <c r="K265" s="16"/>
      <c r="L265" s="16"/>
    </row>
    <row r="266" spans="5:12" x14ac:dyDescent="0.2">
      <c r="E266" s="16"/>
      <c r="F266" s="16"/>
      <c r="G266" s="16"/>
      <c r="H266" s="16"/>
      <c r="I266" s="16"/>
      <c r="J266" s="16"/>
      <c r="K266" s="16"/>
      <c r="L266" s="16"/>
    </row>
    <row r="267" spans="5:12" x14ac:dyDescent="0.2">
      <c r="E267" s="16"/>
      <c r="F267" s="16"/>
      <c r="G267" s="16"/>
      <c r="H267" s="16"/>
      <c r="I267" s="16"/>
      <c r="J267" s="16"/>
      <c r="K267" s="16"/>
      <c r="L267" s="16"/>
    </row>
    <row r="268" spans="5:12" x14ac:dyDescent="0.2">
      <c r="E268" s="16"/>
      <c r="F268" s="16"/>
      <c r="G268" s="16"/>
      <c r="H268" s="16"/>
      <c r="I268" s="16"/>
      <c r="J268" s="16"/>
      <c r="K268" s="16"/>
      <c r="L268" s="16"/>
    </row>
    <row r="269" spans="5:12" x14ac:dyDescent="0.2">
      <c r="E269" s="16"/>
      <c r="F269" s="16"/>
      <c r="G269" s="16"/>
      <c r="H269" s="16"/>
      <c r="I269" s="16"/>
      <c r="J269" s="16"/>
      <c r="K269" s="16"/>
      <c r="L269" s="16"/>
    </row>
    <row r="270" spans="5:12" x14ac:dyDescent="0.2">
      <c r="E270" s="16"/>
      <c r="F270" s="16"/>
      <c r="G270" s="16"/>
      <c r="H270" s="16"/>
      <c r="I270" s="16"/>
      <c r="J270" s="16"/>
      <c r="K270" s="16"/>
      <c r="L270" s="16"/>
    </row>
    <row r="271" spans="5:12" x14ac:dyDescent="0.2">
      <c r="E271" s="16"/>
      <c r="F271" s="16"/>
      <c r="G271" s="16"/>
      <c r="H271" s="16"/>
      <c r="I271" s="16"/>
      <c r="J271" s="16"/>
      <c r="K271" s="16"/>
      <c r="L271" s="16"/>
    </row>
    <row r="272" spans="5:12" x14ac:dyDescent="0.2">
      <c r="E272" s="16"/>
      <c r="F272" s="16"/>
      <c r="G272" s="16"/>
      <c r="H272" s="16"/>
      <c r="I272" s="16"/>
      <c r="J272" s="16"/>
      <c r="K272" s="16"/>
      <c r="L272" s="16"/>
    </row>
    <row r="273" spans="5:12" x14ac:dyDescent="0.2">
      <c r="E273" s="16"/>
      <c r="F273" s="16"/>
      <c r="G273" s="16"/>
      <c r="H273" s="16"/>
      <c r="I273" s="16"/>
      <c r="J273" s="16"/>
      <c r="K273" s="16"/>
      <c r="L273" s="16"/>
    </row>
    <row r="274" spans="5:12" x14ac:dyDescent="0.2">
      <c r="E274" s="16"/>
      <c r="F274" s="16"/>
      <c r="G274" s="16"/>
      <c r="H274" s="16"/>
      <c r="I274" s="16"/>
      <c r="J274" s="16"/>
      <c r="K274" s="16"/>
      <c r="L274" s="16"/>
    </row>
    <row r="275" spans="5:12" x14ac:dyDescent="0.2">
      <c r="E275" s="16"/>
      <c r="F275" s="16"/>
      <c r="G275" s="16"/>
      <c r="H275" s="16"/>
      <c r="I275" s="16"/>
      <c r="J275" s="16"/>
      <c r="K275" s="16"/>
      <c r="L275" s="16"/>
    </row>
    <row r="276" spans="5:12" x14ac:dyDescent="0.2">
      <c r="E276" s="16"/>
      <c r="F276" s="16"/>
      <c r="G276" s="16"/>
      <c r="H276" s="16"/>
      <c r="I276" s="16"/>
      <c r="J276" s="16"/>
      <c r="K276" s="16"/>
      <c r="L276" s="16"/>
    </row>
    <row r="277" spans="5:12" x14ac:dyDescent="0.2">
      <c r="E277" s="16"/>
      <c r="F277" s="16"/>
      <c r="G277" s="16"/>
      <c r="H277" s="16"/>
      <c r="I277" s="16"/>
      <c r="J277" s="16"/>
      <c r="K277" s="16"/>
      <c r="L277" s="16"/>
    </row>
    <row r="278" spans="5:12" x14ac:dyDescent="0.2">
      <c r="E278" s="16"/>
      <c r="F278" s="16"/>
      <c r="G278" s="16"/>
      <c r="H278" s="16"/>
      <c r="I278" s="16"/>
      <c r="J278" s="16"/>
      <c r="K278" s="16"/>
      <c r="L278" s="16"/>
    </row>
    <row r="279" spans="5:12" x14ac:dyDescent="0.2">
      <c r="E279" s="16"/>
      <c r="F279" s="16"/>
      <c r="G279" s="16"/>
      <c r="H279" s="16"/>
      <c r="I279" s="16"/>
      <c r="J279" s="16"/>
      <c r="K279" s="16"/>
      <c r="L279" s="16"/>
    </row>
    <row r="280" spans="5:12" x14ac:dyDescent="0.2">
      <c r="E280" s="16"/>
      <c r="F280" s="16"/>
      <c r="G280" s="16"/>
      <c r="H280" s="16"/>
      <c r="I280" s="16"/>
      <c r="J280" s="16"/>
      <c r="K280" s="16"/>
      <c r="L280" s="16"/>
    </row>
    <row r="281" spans="5:12" x14ac:dyDescent="0.2">
      <c r="E281" s="16"/>
      <c r="F281" s="16"/>
      <c r="G281" s="16"/>
      <c r="H281" s="16"/>
      <c r="I281" s="16"/>
      <c r="J281" s="16"/>
      <c r="K281" s="16"/>
      <c r="L281" s="16"/>
    </row>
    <row r="282" spans="5:12" x14ac:dyDescent="0.2">
      <c r="E282" s="16"/>
      <c r="F282" s="16"/>
      <c r="G282" s="16"/>
      <c r="H282" s="16"/>
      <c r="I282" s="16"/>
      <c r="J282" s="16"/>
      <c r="K282" s="16"/>
      <c r="L282" s="16"/>
    </row>
    <row r="283" spans="5:12" x14ac:dyDescent="0.2">
      <c r="E283" s="16"/>
      <c r="F283" s="16"/>
      <c r="G283" s="16"/>
      <c r="H283" s="16"/>
      <c r="I283" s="16"/>
      <c r="J283" s="16"/>
      <c r="K283" s="16"/>
      <c r="L283" s="16"/>
    </row>
    <row r="284" spans="5:12" x14ac:dyDescent="0.2">
      <c r="E284" s="16"/>
      <c r="F284" s="16"/>
      <c r="G284" s="16"/>
      <c r="H284" s="16"/>
      <c r="I284" s="16"/>
      <c r="J284" s="16"/>
      <c r="K284" s="16"/>
      <c r="L284" s="16"/>
    </row>
    <row r="285" spans="5:12" x14ac:dyDescent="0.2">
      <c r="E285" s="16"/>
      <c r="F285" s="16"/>
      <c r="G285" s="16"/>
      <c r="H285" s="16"/>
      <c r="I285" s="16"/>
      <c r="J285" s="16"/>
      <c r="K285" s="16"/>
      <c r="L285" s="16"/>
    </row>
    <row r="286" spans="5:12" x14ac:dyDescent="0.2">
      <c r="E286" s="16"/>
      <c r="F286" s="16"/>
      <c r="G286" s="16"/>
      <c r="H286" s="16"/>
      <c r="I286" s="16"/>
      <c r="J286" s="16"/>
      <c r="K286" s="16"/>
      <c r="L286" s="16"/>
    </row>
    <row r="287" spans="5:12" x14ac:dyDescent="0.2">
      <c r="E287" s="16"/>
      <c r="F287" s="16"/>
      <c r="G287" s="16"/>
      <c r="H287" s="16"/>
      <c r="I287" s="16"/>
      <c r="J287" s="16"/>
      <c r="K287" s="16"/>
      <c r="L287" s="16"/>
    </row>
    <row r="288" spans="5:12" x14ac:dyDescent="0.2">
      <c r="E288" s="16"/>
      <c r="F288" s="16"/>
      <c r="G288" s="16"/>
      <c r="H288" s="16"/>
      <c r="I288" s="16"/>
      <c r="J288" s="16"/>
      <c r="K288" s="16"/>
      <c r="L288" s="16"/>
    </row>
    <row r="289" spans="5:12" x14ac:dyDescent="0.2">
      <c r="E289" s="16"/>
      <c r="F289" s="16"/>
      <c r="G289" s="16"/>
      <c r="H289" s="16"/>
      <c r="I289" s="16"/>
      <c r="J289" s="16"/>
      <c r="K289" s="16"/>
      <c r="L289" s="16"/>
    </row>
    <row r="290" spans="5:12" x14ac:dyDescent="0.2">
      <c r="E290" s="16"/>
      <c r="F290" s="16"/>
      <c r="G290" s="16"/>
      <c r="H290" s="16"/>
      <c r="I290" s="16"/>
      <c r="J290" s="16"/>
      <c r="K290" s="16"/>
      <c r="L290" s="16"/>
    </row>
    <row r="291" spans="5:12" x14ac:dyDescent="0.2">
      <c r="E291" s="16"/>
      <c r="F291" s="16"/>
      <c r="G291" s="16"/>
      <c r="H291" s="16"/>
      <c r="I291" s="16"/>
      <c r="J291" s="16"/>
      <c r="K291" s="16"/>
      <c r="L291" s="16"/>
    </row>
    <row r="292" spans="5:12" x14ac:dyDescent="0.2">
      <c r="E292" s="16"/>
      <c r="F292" s="16"/>
      <c r="G292" s="16"/>
      <c r="H292" s="16"/>
      <c r="I292" s="16"/>
      <c r="J292" s="16"/>
      <c r="K292" s="16"/>
      <c r="L292" s="16"/>
    </row>
    <row r="293" spans="5:12" x14ac:dyDescent="0.2">
      <c r="E293" s="16"/>
      <c r="F293" s="16"/>
      <c r="G293" s="16"/>
      <c r="H293" s="16"/>
      <c r="I293" s="16"/>
      <c r="J293" s="16"/>
      <c r="K293" s="16"/>
      <c r="L293" s="16"/>
    </row>
    <row r="294" spans="5:12" x14ac:dyDescent="0.2">
      <c r="E294" s="16"/>
      <c r="F294" s="16"/>
      <c r="G294" s="16"/>
      <c r="H294" s="16"/>
      <c r="I294" s="16"/>
      <c r="J294" s="16"/>
      <c r="K294" s="16"/>
      <c r="L294" s="16"/>
    </row>
    <row r="295" spans="5:12" x14ac:dyDescent="0.2">
      <c r="E295" s="16"/>
      <c r="F295" s="16"/>
      <c r="G295" s="16"/>
      <c r="H295" s="16"/>
      <c r="I295" s="16"/>
      <c r="J295" s="16"/>
      <c r="K295" s="16"/>
      <c r="L295" s="16"/>
    </row>
    <row r="296" spans="5:12" x14ac:dyDescent="0.2">
      <c r="E296" s="16"/>
      <c r="F296" s="16"/>
      <c r="G296" s="16"/>
      <c r="H296" s="16"/>
      <c r="I296" s="16"/>
      <c r="J296" s="16"/>
      <c r="K296" s="16"/>
      <c r="L296" s="16"/>
    </row>
    <row r="297" spans="5:12" x14ac:dyDescent="0.2">
      <c r="E297" s="16"/>
      <c r="F297" s="16"/>
      <c r="G297" s="16"/>
      <c r="H297" s="16"/>
      <c r="I297" s="16"/>
      <c r="J297" s="16"/>
      <c r="K297" s="16"/>
      <c r="L297" s="16"/>
    </row>
    <row r="298" spans="5:12" x14ac:dyDescent="0.2">
      <c r="E298" s="16"/>
      <c r="F298" s="16"/>
      <c r="G298" s="16"/>
      <c r="H298" s="16"/>
      <c r="I298" s="16"/>
      <c r="J298" s="16"/>
      <c r="K298" s="16"/>
      <c r="L298" s="16"/>
    </row>
    <row r="299" spans="5:12" x14ac:dyDescent="0.2">
      <c r="E299" s="16"/>
      <c r="F299" s="16"/>
      <c r="G299" s="16"/>
      <c r="H299" s="16"/>
      <c r="I299" s="16"/>
      <c r="J299" s="16"/>
      <c r="K299" s="16"/>
      <c r="L299" s="16"/>
    </row>
    <row r="300" spans="5:12" x14ac:dyDescent="0.2">
      <c r="E300" s="16"/>
      <c r="F300" s="16"/>
      <c r="G300" s="16"/>
      <c r="H300" s="16"/>
      <c r="I300" s="16"/>
      <c r="J300" s="16"/>
      <c r="K300" s="16"/>
      <c r="L300" s="16"/>
    </row>
    <row r="301" spans="5:12" x14ac:dyDescent="0.2">
      <c r="E301" s="16"/>
      <c r="F301" s="16"/>
      <c r="G301" s="16"/>
      <c r="H301" s="16"/>
      <c r="I301" s="16"/>
      <c r="J301" s="16"/>
      <c r="K301" s="16"/>
      <c r="L301" s="16"/>
    </row>
    <row r="302" spans="5:12" x14ac:dyDescent="0.2">
      <c r="E302" s="16"/>
      <c r="F302" s="16"/>
      <c r="G302" s="16"/>
      <c r="H302" s="16"/>
      <c r="I302" s="16"/>
      <c r="J302" s="16"/>
      <c r="K302" s="16"/>
      <c r="L302" s="16"/>
    </row>
    <row r="303" spans="5:12" x14ac:dyDescent="0.2">
      <c r="E303" s="16"/>
      <c r="F303" s="16"/>
      <c r="G303" s="16"/>
      <c r="H303" s="16"/>
      <c r="I303" s="16"/>
      <c r="J303" s="16"/>
      <c r="K303" s="16"/>
      <c r="L303" s="16"/>
    </row>
    <row r="304" spans="5:12" x14ac:dyDescent="0.2">
      <c r="E304" s="16"/>
      <c r="F304" s="16"/>
      <c r="G304" s="16"/>
      <c r="H304" s="16"/>
      <c r="I304" s="16"/>
      <c r="J304" s="16"/>
      <c r="K304" s="16"/>
      <c r="L304" s="16"/>
    </row>
    <row r="305" spans="5:12" x14ac:dyDescent="0.2">
      <c r="E305" s="16"/>
      <c r="F305" s="16"/>
      <c r="G305" s="16"/>
      <c r="H305" s="16"/>
      <c r="I305" s="16"/>
      <c r="J305" s="16"/>
      <c r="K305" s="16"/>
      <c r="L305" s="16"/>
    </row>
    <row r="306" spans="5:12" x14ac:dyDescent="0.2">
      <c r="E306" s="16"/>
      <c r="F306" s="16"/>
      <c r="G306" s="16"/>
      <c r="H306" s="16"/>
      <c r="I306" s="16"/>
      <c r="J306" s="16"/>
      <c r="K306" s="16"/>
      <c r="L306" s="16"/>
    </row>
    <row r="307" spans="5:12" x14ac:dyDescent="0.2">
      <c r="E307" s="16"/>
      <c r="F307" s="16"/>
      <c r="G307" s="16"/>
      <c r="H307" s="16"/>
      <c r="I307" s="16"/>
      <c r="J307" s="16"/>
      <c r="K307" s="16"/>
      <c r="L307" s="16"/>
    </row>
    <row r="308" spans="5:12" x14ac:dyDescent="0.2">
      <c r="E308" s="16"/>
      <c r="F308" s="16"/>
      <c r="G308" s="16"/>
      <c r="H308" s="16"/>
      <c r="I308" s="16"/>
      <c r="J308" s="16"/>
      <c r="K308" s="16"/>
      <c r="L308" s="16"/>
    </row>
    <row r="309" spans="5:12" x14ac:dyDescent="0.2">
      <c r="E309" s="16"/>
      <c r="F309" s="16"/>
      <c r="G309" s="16"/>
      <c r="H309" s="16"/>
      <c r="I309" s="16"/>
      <c r="J309" s="16"/>
      <c r="K309" s="16"/>
      <c r="L309" s="16"/>
    </row>
    <row r="310" spans="5:12" x14ac:dyDescent="0.2">
      <c r="E310" s="16"/>
      <c r="F310" s="16"/>
      <c r="G310" s="16"/>
      <c r="H310" s="16"/>
      <c r="I310" s="16"/>
      <c r="J310" s="16"/>
      <c r="K310" s="16"/>
      <c r="L310" s="16"/>
    </row>
    <row r="311" spans="5:12" x14ac:dyDescent="0.2">
      <c r="E311" s="16"/>
      <c r="F311" s="16"/>
      <c r="G311" s="16"/>
      <c r="H311" s="16"/>
      <c r="I311" s="16"/>
      <c r="J311" s="16"/>
      <c r="K311" s="16"/>
      <c r="L311" s="16"/>
    </row>
    <row r="312" spans="5:12" x14ac:dyDescent="0.2">
      <c r="E312" s="16"/>
      <c r="F312" s="16"/>
      <c r="G312" s="16"/>
      <c r="H312" s="16"/>
      <c r="I312" s="16"/>
      <c r="J312" s="16"/>
      <c r="K312" s="16"/>
      <c r="L312" s="16"/>
    </row>
    <row r="313" spans="5:12" x14ac:dyDescent="0.2">
      <c r="E313" s="16"/>
      <c r="F313" s="16"/>
      <c r="G313" s="16"/>
      <c r="H313" s="16"/>
      <c r="I313" s="16"/>
      <c r="J313" s="16"/>
      <c r="K313" s="16"/>
      <c r="L313" s="16"/>
    </row>
    <row r="314" spans="5:12" x14ac:dyDescent="0.2">
      <c r="E314" s="16"/>
      <c r="F314" s="16"/>
      <c r="G314" s="16"/>
      <c r="H314" s="16"/>
      <c r="I314" s="16"/>
      <c r="J314" s="16"/>
      <c r="K314" s="16"/>
      <c r="L314" s="16"/>
    </row>
    <row r="315" spans="5:12" x14ac:dyDescent="0.2">
      <c r="E315" s="16"/>
      <c r="F315" s="16"/>
      <c r="G315" s="16"/>
      <c r="H315" s="16"/>
      <c r="I315" s="16"/>
      <c r="J315" s="16"/>
      <c r="K315" s="16"/>
      <c r="L315" s="16"/>
    </row>
    <row r="316" spans="5:12" x14ac:dyDescent="0.2">
      <c r="E316" s="16"/>
      <c r="F316" s="16"/>
      <c r="G316" s="16"/>
      <c r="H316" s="16"/>
      <c r="I316" s="16"/>
      <c r="J316" s="16"/>
      <c r="K316" s="16"/>
      <c r="L316" s="16"/>
    </row>
    <row r="317" spans="5:12" x14ac:dyDescent="0.2">
      <c r="E317" s="16"/>
      <c r="F317" s="16"/>
      <c r="G317" s="16"/>
      <c r="H317" s="16"/>
      <c r="I317" s="16"/>
      <c r="J317" s="16"/>
      <c r="K317" s="16"/>
      <c r="L317" s="16"/>
    </row>
    <row r="318" spans="5:12" x14ac:dyDescent="0.2">
      <c r="E318" s="16"/>
      <c r="F318" s="16"/>
      <c r="G318" s="16"/>
      <c r="H318" s="16"/>
      <c r="I318" s="16"/>
      <c r="J318" s="16"/>
      <c r="K318" s="16"/>
      <c r="L318" s="16"/>
    </row>
    <row r="319" spans="5:12" x14ac:dyDescent="0.2">
      <c r="E319" s="16"/>
      <c r="F319" s="16"/>
      <c r="G319" s="16"/>
      <c r="H319" s="16"/>
      <c r="I319" s="16"/>
      <c r="J319" s="16"/>
      <c r="K319" s="16"/>
      <c r="L319" s="16"/>
    </row>
    <row r="320" spans="5:12" x14ac:dyDescent="0.2">
      <c r="E320" s="16"/>
      <c r="F320" s="16"/>
      <c r="G320" s="16"/>
      <c r="H320" s="16"/>
      <c r="I320" s="16"/>
      <c r="J320" s="16"/>
      <c r="K320" s="16"/>
      <c r="L320" s="16"/>
    </row>
    <row r="321" spans="5:12" x14ac:dyDescent="0.2">
      <c r="E321" s="16"/>
      <c r="F321" s="16"/>
      <c r="G321" s="16"/>
      <c r="H321" s="16"/>
      <c r="I321" s="16"/>
      <c r="J321" s="16"/>
      <c r="K321" s="16"/>
      <c r="L321" s="16"/>
    </row>
    <row r="322" spans="5:12" x14ac:dyDescent="0.2">
      <c r="E322" s="16"/>
      <c r="F322" s="16"/>
      <c r="G322" s="16"/>
      <c r="H322" s="16"/>
      <c r="I322" s="16"/>
      <c r="J322" s="16"/>
      <c r="K322" s="16"/>
      <c r="L322" s="16"/>
    </row>
    <row r="323" spans="5:12" x14ac:dyDescent="0.2">
      <c r="E323" s="16"/>
      <c r="F323" s="16"/>
      <c r="G323" s="16"/>
      <c r="H323" s="16"/>
      <c r="I323" s="16"/>
      <c r="J323" s="16"/>
      <c r="K323" s="16"/>
      <c r="L323" s="16"/>
    </row>
    <row r="324" spans="5:12" x14ac:dyDescent="0.2">
      <c r="E324" s="16"/>
      <c r="F324" s="16"/>
      <c r="G324" s="16"/>
      <c r="H324" s="16"/>
      <c r="I324" s="16"/>
      <c r="J324" s="16"/>
      <c r="K324" s="16"/>
      <c r="L324" s="16"/>
    </row>
    <row r="325" spans="5:12" x14ac:dyDescent="0.2">
      <c r="E325" s="16"/>
      <c r="F325" s="16"/>
      <c r="G325" s="16"/>
      <c r="H325" s="16"/>
      <c r="I325" s="16"/>
      <c r="J325" s="16"/>
      <c r="K325" s="16"/>
      <c r="L325" s="16"/>
    </row>
    <row r="326" spans="5:12" x14ac:dyDescent="0.2">
      <c r="E326" s="16"/>
      <c r="F326" s="16"/>
      <c r="G326" s="16"/>
      <c r="H326" s="16"/>
      <c r="I326" s="16"/>
      <c r="J326" s="16"/>
      <c r="K326" s="16"/>
      <c r="L326" s="16"/>
    </row>
    <row r="327" spans="5:12" x14ac:dyDescent="0.2">
      <c r="E327" s="16"/>
      <c r="F327" s="16"/>
      <c r="G327" s="16"/>
      <c r="H327" s="16"/>
      <c r="I327" s="16"/>
      <c r="J327" s="16"/>
      <c r="K327" s="16"/>
      <c r="L327" s="16"/>
    </row>
    <row r="328" spans="5:12" x14ac:dyDescent="0.2">
      <c r="E328" s="16"/>
      <c r="F328" s="16"/>
      <c r="G328" s="16"/>
      <c r="H328" s="16"/>
      <c r="I328" s="16"/>
      <c r="J328" s="16"/>
      <c r="K328" s="16"/>
      <c r="L328" s="16"/>
    </row>
    <row r="329" spans="5:12" x14ac:dyDescent="0.2">
      <c r="E329" s="16"/>
      <c r="F329" s="16"/>
      <c r="G329" s="16"/>
      <c r="H329" s="16"/>
      <c r="I329" s="16"/>
      <c r="J329" s="16"/>
      <c r="K329" s="16"/>
      <c r="L329" s="16"/>
    </row>
    <row r="330" spans="5:12" x14ac:dyDescent="0.2">
      <c r="E330" s="16"/>
      <c r="F330" s="16"/>
      <c r="G330" s="16"/>
      <c r="H330" s="16"/>
      <c r="I330" s="16"/>
      <c r="J330" s="16"/>
      <c r="K330" s="16"/>
      <c r="L330" s="16"/>
    </row>
    <row r="331" spans="5:12" x14ac:dyDescent="0.2">
      <c r="E331" s="16"/>
      <c r="F331" s="16"/>
      <c r="G331" s="16"/>
      <c r="H331" s="16"/>
      <c r="I331" s="16"/>
      <c r="J331" s="16"/>
      <c r="K331" s="16"/>
      <c r="L331" s="16"/>
    </row>
    <row r="332" spans="5:12" x14ac:dyDescent="0.2">
      <c r="E332" s="16"/>
      <c r="F332" s="16"/>
      <c r="G332" s="16"/>
      <c r="H332" s="16"/>
      <c r="I332" s="16"/>
      <c r="J332" s="16"/>
      <c r="K332" s="16"/>
      <c r="L332" s="16"/>
    </row>
    <row r="333" spans="5:12" x14ac:dyDescent="0.2">
      <c r="E333" s="16"/>
      <c r="F333" s="16"/>
      <c r="G333" s="16"/>
      <c r="H333" s="16"/>
      <c r="I333" s="16"/>
      <c r="J333" s="16"/>
      <c r="K333" s="16"/>
      <c r="L333" s="16"/>
    </row>
    <row r="334" spans="5:12" x14ac:dyDescent="0.2">
      <c r="E334" s="16"/>
      <c r="F334" s="16"/>
      <c r="G334" s="16"/>
      <c r="H334" s="16"/>
      <c r="I334" s="16"/>
      <c r="J334" s="16"/>
      <c r="K334" s="16"/>
      <c r="L334" s="16"/>
    </row>
    <row r="335" spans="5:12" x14ac:dyDescent="0.2">
      <c r="E335" s="16"/>
      <c r="F335" s="16"/>
      <c r="G335" s="16"/>
      <c r="H335" s="16"/>
      <c r="I335" s="16"/>
      <c r="J335" s="16"/>
      <c r="K335" s="16"/>
      <c r="L335" s="16"/>
    </row>
    <row r="336" spans="5:12" x14ac:dyDescent="0.2">
      <c r="E336" s="16"/>
      <c r="F336" s="16"/>
      <c r="G336" s="16"/>
      <c r="H336" s="16"/>
      <c r="I336" s="16"/>
      <c r="J336" s="16"/>
      <c r="K336" s="16"/>
      <c r="L336" s="16"/>
    </row>
    <row r="337" spans="5:12" x14ac:dyDescent="0.2">
      <c r="E337" s="16"/>
      <c r="F337" s="16"/>
      <c r="G337" s="16"/>
      <c r="H337" s="16"/>
      <c r="I337" s="16"/>
      <c r="J337" s="16"/>
      <c r="K337" s="16"/>
      <c r="L337" s="16"/>
    </row>
    <row r="338" spans="5:12" x14ac:dyDescent="0.2">
      <c r="E338" s="16"/>
      <c r="F338" s="16"/>
      <c r="G338" s="16"/>
      <c r="H338" s="16"/>
      <c r="I338" s="16"/>
      <c r="J338" s="16"/>
      <c r="K338" s="16"/>
      <c r="L338" s="16"/>
    </row>
    <row r="339" spans="5:12" x14ac:dyDescent="0.2">
      <c r="E339" s="16"/>
      <c r="F339" s="16"/>
      <c r="G339" s="16"/>
      <c r="H339" s="16"/>
      <c r="I339" s="16"/>
      <c r="J339" s="16"/>
      <c r="K339" s="16"/>
      <c r="L339" s="16"/>
    </row>
    <row r="340" spans="5:12" x14ac:dyDescent="0.2">
      <c r="E340" s="16"/>
      <c r="F340" s="16"/>
      <c r="G340" s="16"/>
      <c r="H340" s="16"/>
      <c r="I340" s="16"/>
      <c r="J340" s="16"/>
      <c r="K340" s="16"/>
      <c r="L340" s="16"/>
    </row>
    <row r="341" spans="5:12" x14ac:dyDescent="0.2">
      <c r="E341" s="16"/>
      <c r="F341" s="16"/>
      <c r="G341" s="16"/>
      <c r="H341" s="16"/>
      <c r="I341" s="16"/>
      <c r="J341" s="16"/>
      <c r="K341" s="16"/>
      <c r="L341" s="16"/>
    </row>
    <row r="342" spans="5:12" x14ac:dyDescent="0.2">
      <c r="E342" s="16"/>
      <c r="F342" s="16"/>
      <c r="G342" s="16"/>
      <c r="H342" s="16"/>
      <c r="I342" s="16"/>
      <c r="J342" s="16"/>
      <c r="K342" s="16"/>
      <c r="L342" s="16"/>
    </row>
    <row r="343" spans="5:12" x14ac:dyDescent="0.2">
      <c r="E343" s="16"/>
      <c r="F343" s="16"/>
      <c r="G343" s="16"/>
      <c r="H343" s="16"/>
      <c r="I343" s="16"/>
      <c r="J343" s="16"/>
      <c r="K343" s="16"/>
      <c r="L343" s="16"/>
    </row>
    <row r="344" spans="5:12" x14ac:dyDescent="0.2">
      <c r="E344" s="16"/>
      <c r="F344" s="16"/>
      <c r="G344" s="16"/>
      <c r="H344" s="16"/>
      <c r="I344" s="16"/>
      <c r="J344" s="16"/>
      <c r="K344" s="16"/>
      <c r="L344" s="16"/>
    </row>
    <row r="345" spans="5:12" x14ac:dyDescent="0.2">
      <c r="E345" s="16"/>
      <c r="F345" s="16"/>
      <c r="G345" s="16"/>
      <c r="H345" s="16"/>
      <c r="I345" s="16"/>
      <c r="J345" s="16"/>
      <c r="K345" s="16"/>
      <c r="L345" s="16"/>
    </row>
    <row r="346" spans="5:12" x14ac:dyDescent="0.2">
      <c r="E346" s="16"/>
      <c r="F346" s="16"/>
      <c r="G346" s="16"/>
      <c r="H346" s="16"/>
      <c r="I346" s="16"/>
      <c r="J346" s="16"/>
      <c r="K346" s="16"/>
      <c r="L346" s="16"/>
    </row>
    <row r="347" spans="5:12" x14ac:dyDescent="0.2">
      <c r="E347" s="16"/>
      <c r="F347" s="16"/>
      <c r="G347" s="16"/>
      <c r="H347" s="16"/>
      <c r="I347" s="16"/>
      <c r="J347" s="16"/>
      <c r="K347" s="16"/>
      <c r="L347" s="16"/>
    </row>
    <row r="348" spans="5:12" x14ac:dyDescent="0.2">
      <c r="E348" s="16"/>
      <c r="F348" s="16"/>
      <c r="G348" s="16"/>
      <c r="H348" s="16"/>
      <c r="I348" s="16"/>
      <c r="J348" s="16"/>
      <c r="K348" s="16"/>
      <c r="L348" s="16"/>
    </row>
    <row r="349" spans="5:12" x14ac:dyDescent="0.2">
      <c r="E349" s="16"/>
      <c r="F349" s="16"/>
      <c r="G349" s="16"/>
      <c r="H349" s="16"/>
      <c r="I349" s="16"/>
      <c r="J349" s="16"/>
      <c r="K349" s="16"/>
      <c r="L349" s="16"/>
    </row>
    <row r="350" spans="5:12" x14ac:dyDescent="0.2">
      <c r="E350" s="16"/>
      <c r="F350" s="16"/>
      <c r="G350" s="16"/>
      <c r="H350" s="16"/>
      <c r="I350" s="16"/>
      <c r="J350" s="16"/>
      <c r="K350" s="16"/>
      <c r="L350" s="16"/>
    </row>
    <row r="351" spans="5:12" x14ac:dyDescent="0.2">
      <c r="E351" s="16"/>
      <c r="F351" s="16"/>
      <c r="G351" s="16"/>
      <c r="H351" s="16"/>
      <c r="I351" s="16"/>
      <c r="J351" s="16"/>
      <c r="K351" s="16"/>
      <c r="L351" s="16"/>
    </row>
    <row r="352" spans="5:12" x14ac:dyDescent="0.2">
      <c r="E352" s="16"/>
      <c r="F352" s="16"/>
      <c r="G352" s="16"/>
      <c r="H352" s="16"/>
      <c r="I352" s="16"/>
      <c r="J352" s="16"/>
      <c r="K352" s="16"/>
      <c r="L352" s="16"/>
    </row>
    <row r="353" spans="5:12" x14ac:dyDescent="0.2">
      <c r="E353" s="16"/>
      <c r="F353" s="16"/>
      <c r="G353" s="16"/>
      <c r="H353" s="16"/>
      <c r="I353" s="16"/>
      <c r="J353" s="16"/>
      <c r="K353" s="16"/>
      <c r="L353" s="16"/>
    </row>
    <row r="354" spans="5:12" x14ac:dyDescent="0.2">
      <c r="E354" s="16"/>
      <c r="F354" s="16"/>
      <c r="G354" s="16"/>
      <c r="H354" s="16"/>
      <c r="I354" s="16"/>
      <c r="J354" s="16"/>
      <c r="K354" s="16"/>
      <c r="L354" s="16"/>
    </row>
    <row r="355" spans="5:12" x14ac:dyDescent="0.2">
      <c r="E355" s="16"/>
      <c r="F355" s="16"/>
      <c r="G355" s="16"/>
      <c r="H355" s="16"/>
      <c r="I355" s="16"/>
      <c r="J355" s="16"/>
      <c r="K355" s="16"/>
      <c r="L355" s="16"/>
    </row>
    <row r="356" spans="5:12" x14ac:dyDescent="0.2">
      <c r="E356" s="16"/>
      <c r="F356" s="16"/>
      <c r="G356" s="16"/>
      <c r="H356" s="16"/>
      <c r="I356" s="16"/>
      <c r="J356" s="16"/>
      <c r="K356" s="16"/>
      <c r="L356" s="16"/>
    </row>
    <row r="357" spans="5:12" x14ac:dyDescent="0.2">
      <c r="E357" s="16"/>
      <c r="F357" s="16"/>
      <c r="G357" s="16"/>
      <c r="H357" s="16"/>
      <c r="I357" s="16"/>
      <c r="J357" s="16"/>
      <c r="K357" s="16"/>
      <c r="L357" s="16"/>
    </row>
    <row r="358" spans="5:12" x14ac:dyDescent="0.2">
      <c r="E358" s="16"/>
      <c r="F358" s="16"/>
      <c r="G358" s="16"/>
      <c r="H358" s="16"/>
      <c r="I358" s="16"/>
      <c r="J358" s="16"/>
      <c r="K358" s="16"/>
      <c r="L358" s="16"/>
    </row>
    <row r="359" spans="5:12" x14ac:dyDescent="0.2">
      <c r="E359" s="16"/>
      <c r="F359" s="16"/>
      <c r="G359" s="16"/>
      <c r="H359" s="16"/>
      <c r="I359" s="16"/>
      <c r="J359" s="16"/>
      <c r="K359" s="16"/>
      <c r="L359" s="16"/>
    </row>
    <row r="360" spans="5:12" x14ac:dyDescent="0.2">
      <c r="E360" s="16"/>
      <c r="F360" s="16"/>
      <c r="G360" s="16"/>
      <c r="H360" s="16"/>
      <c r="I360" s="16"/>
      <c r="J360" s="16"/>
      <c r="K360" s="16"/>
      <c r="L360" s="16"/>
    </row>
    <row r="361" spans="5:12" x14ac:dyDescent="0.2">
      <c r="E361" s="16"/>
      <c r="F361" s="16"/>
      <c r="G361" s="16"/>
      <c r="H361" s="16"/>
      <c r="I361" s="16"/>
      <c r="J361" s="16"/>
      <c r="K361" s="16"/>
      <c r="L361" s="16"/>
    </row>
    <row r="362" spans="5:12" x14ac:dyDescent="0.2">
      <c r="E362" s="16"/>
      <c r="F362" s="16"/>
      <c r="G362" s="16"/>
      <c r="H362" s="16"/>
      <c r="I362" s="16"/>
      <c r="J362" s="16"/>
      <c r="K362" s="16"/>
      <c r="L362" s="16"/>
    </row>
    <row r="363" spans="5:12" x14ac:dyDescent="0.2">
      <c r="E363" s="16"/>
      <c r="F363" s="16"/>
      <c r="G363" s="16"/>
      <c r="H363" s="16"/>
      <c r="I363" s="16"/>
      <c r="J363" s="16"/>
      <c r="K363" s="16"/>
      <c r="L363" s="16"/>
    </row>
    <row r="364" spans="5:12" x14ac:dyDescent="0.2">
      <c r="E364" s="16"/>
      <c r="F364" s="16"/>
      <c r="G364" s="16"/>
      <c r="H364" s="16"/>
      <c r="I364" s="16"/>
      <c r="J364" s="16"/>
      <c r="K364" s="16"/>
      <c r="L364" s="16"/>
    </row>
    <row r="365" spans="5:12" x14ac:dyDescent="0.2">
      <c r="E365" s="16"/>
      <c r="F365" s="16"/>
      <c r="G365" s="16"/>
      <c r="H365" s="16"/>
      <c r="I365" s="16"/>
      <c r="J365" s="16"/>
      <c r="K365" s="16"/>
      <c r="L365" s="16"/>
    </row>
    <row r="366" spans="5:12" x14ac:dyDescent="0.2">
      <c r="E366" s="16"/>
      <c r="F366" s="16"/>
      <c r="G366" s="16"/>
      <c r="H366" s="16"/>
      <c r="I366" s="16"/>
      <c r="J366" s="16"/>
      <c r="K366" s="16"/>
      <c r="L366" s="16"/>
    </row>
    <row r="367" spans="5:12" x14ac:dyDescent="0.2">
      <c r="E367" s="16"/>
      <c r="F367" s="16"/>
      <c r="G367" s="16"/>
      <c r="H367" s="16"/>
      <c r="I367" s="16"/>
      <c r="J367" s="16"/>
      <c r="K367" s="16"/>
      <c r="L367" s="16"/>
    </row>
    <row r="368" spans="5:12" x14ac:dyDescent="0.2">
      <c r="E368" s="16"/>
      <c r="F368" s="16"/>
      <c r="G368" s="16"/>
      <c r="H368" s="16"/>
      <c r="I368" s="16"/>
      <c r="J368" s="16"/>
      <c r="K368" s="16"/>
      <c r="L368" s="16"/>
    </row>
    <row r="369" spans="5:12" x14ac:dyDescent="0.2">
      <c r="E369" s="16"/>
      <c r="F369" s="16"/>
      <c r="G369" s="16"/>
      <c r="H369" s="16"/>
      <c r="I369" s="16"/>
      <c r="J369" s="16"/>
      <c r="K369" s="16"/>
      <c r="L369" s="16"/>
    </row>
    <row r="370" spans="5:12" x14ac:dyDescent="0.2">
      <c r="E370" s="16"/>
      <c r="F370" s="16"/>
      <c r="G370" s="16"/>
      <c r="H370" s="16"/>
      <c r="I370" s="16"/>
      <c r="J370" s="16"/>
      <c r="K370" s="16"/>
      <c r="L370" s="16"/>
    </row>
    <row r="371" spans="5:12" x14ac:dyDescent="0.2">
      <c r="E371" s="16"/>
      <c r="F371" s="16"/>
      <c r="G371" s="16"/>
      <c r="H371" s="16"/>
      <c r="I371" s="16"/>
      <c r="J371" s="16"/>
      <c r="K371" s="16"/>
      <c r="L371" s="16"/>
    </row>
    <row r="372" spans="5:12" x14ac:dyDescent="0.2">
      <c r="E372" s="16"/>
      <c r="F372" s="16"/>
      <c r="G372" s="16"/>
      <c r="H372" s="16"/>
      <c r="I372" s="16"/>
      <c r="J372" s="16"/>
      <c r="K372" s="16"/>
      <c r="L372" s="16"/>
    </row>
    <row r="373" spans="5:12" x14ac:dyDescent="0.2">
      <c r="E373" s="16"/>
      <c r="F373" s="16"/>
      <c r="G373" s="16"/>
      <c r="H373" s="16"/>
      <c r="I373" s="16"/>
      <c r="J373" s="16"/>
      <c r="K373" s="16"/>
      <c r="L373" s="16"/>
    </row>
    <row r="374" spans="5:12" x14ac:dyDescent="0.2">
      <c r="E374" s="16"/>
      <c r="F374" s="16"/>
      <c r="G374" s="16"/>
      <c r="H374" s="16"/>
      <c r="I374" s="16"/>
      <c r="J374" s="16"/>
      <c r="K374" s="16"/>
      <c r="L374" s="16"/>
    </row>
    <row r="375" spans="5:12" x14ac:dyDescent="0.2">
      <c r="E375" s="16"/>
      <c r="F375" s="16"/>
      <c r="G375" s="16"/>
      <c r="H375" s="16"/>
      <c r="I375" s="16"/>
      <c r="J375" s="16"/>
      <c r="K375" s="16"/>
      <c r="L375" s="16"/>
    </row>
    <row r="376" spans="5:12" x14ac:dyDescent="0.2">
      <c r="E376" s="16"/>
      <c r="F376" s="16"/>
      <c r="G376" s="16"/>
      <c r="H376" s="16"/>
      <c r="I376" s="16"/>
      <c r="J376" s="16"/>
      <c r="K376" s="16"/>
      <c r="L376" s="16"/>
    </row>
    <row r="377" spans="5:12" x14ac:dyDescent="0.2">
      <c r="E377" s="16"/>
      <c r="F377" s="16"/>
      <c r="G377" s="16"/>
      <c r="H377" s="16"/>
      <c r="I377" s="16"/>
      <c r="J377" s="16"/>
      <c r="K377" s="16"/>
      <c r="L377" s="16"/>
    </row>
    <row r="378" spans="5:12" x14ac:dyDescent="0.2">
      <c r="E378" s="16"/>
      <c r="F378" s="16"/>
      <c r="G378" s="16"/>
      <c r="H378" s="16"/>
      <c r="I378" s="16"/>
      <c r="J378" s="16"/>
      <c r="K378" s="16"/>
      <c r="L378" s="16"/>
    </row>
    <row r="379" spans="5:12" x14ac:dyDescent="0.2">
      <c r="E379" s="16"/>
      <c r="F379" s="16"/>
      <c r="G379" s="16"/>
      <c r="H379" s="16"/>
      <c r="I379" s="16"/>
      <c r="J379" s="16"/>
      <c r="K379" s="16"/>
      <c r="L379" s="16"/>
    </row>
    <row r="380" spans="5:12" x14ac:dyDescent="0.2">
      <c r="E380" s="16"/>
      <c r="F380" s="16"/>
      <c r="G380" s="16"/>
      <c r="H380" s="16"/>
      <c r="I380" s="16"/>
      <c r="J380" s="16"/>
      <c r="K380" s="16"/>
      <c r="L380" s="16"/>
    </row>
    <row r="381" spans="5:12" x14ac:dyDescent="0.2">
      <c r="E381" s="16"/>
      <c r="F381" s="16"/>
      <c r="G381" s="16"/>
      <c r="H381" s="16"/>
      <c r="I381" s="16"/>
      <c r="J381" s="16"/>
      <c r="K381" s="16"/>
      <c r="L381" s="16"/>
    </row>
    <row r="382" spans="5:12" x14ac:dyDescent="0.2">
      <c r="E382" s="16"/>
      <c r="F382" s="16"/>
      <c r="G382" s="16"/>
      <c r="H382" s="16"/>
      <c r="I382" s="16"/>
      <c r="J382" s="16"/>
      <c r="K382" s="16"/>
      <c r="L382" s="16"/>
    </row>
    <row r="383" spans="5:12" x14ac:dyDescent="0.2">
      <c r="E383" s="16"/>
      <c r="F383" s="16"/>
      <c r="G383" s="16"/>
      <c r="H383" s="16"/>
      <c r="I383" s="16"/>
      <c r="J383" s="16"/>
      <c r="K383" s="16"/>
      <c r="L383" s="16"/>
    </row>
    <row r="384" spans="5:12" x14ac:dyDescent="0.2">
      <c r="E384" s="16"/>
      <c r="F384" s="16"/>
      <c r="G384" s="16"/>
      <c r="H384" s="16"/>
      <c r="I384" s="16"/>
      <c r="J384" s="16"/>
      <c r="K384" s="16"/>
      <c r="L384" s="16"/>
    </row>
    <row r="385" spans="5:12" x14ac:dyDescent="0.2">
      <c r="E385" s="16"/>
      <c r="F385" s="16"/>
      <c r="G385" s="16"/>
      <c r="H385" s="16"/>
      <c r="I385" s="16"/>
      <c r="J385" s="16"/>
      <c r="K385" s="16"/>
      <c r="L385" s="16"/>
    </row>
    <row r="386" spans="5:12" x14ac:dyDescent="0.2">
      <c r="E386" s="16"/>
      <c r="F386" s="16"/>
      <c r="G386" s="16"/>
      <c r="H386" s="16"/>
      <c r="I386" s="16"/>
      <c r="J386" s="16"/>
      <c r="K386" s="16"/>
      <c r="L386" s="16"/>
    </row>
    <row r="387" spans="5:12" x14ac:dyDescent="0.2">
      <c r="E387" s="16"/>
      <c r="F387" s="16"/>
      <c r="G387" s="16"/>
      <c r="H387" s="16"/>
      <c r="I387" s="16"/>
      <c r="J387" s="16"/>
      <c r="K387" s="16"/>
      <c r="L387" s="16"/>
    </row>
    <row r="388" spans="5:12" x14ac:dyDescent="0.2">
      <c r="E388" s="16"/>
      <c r="F388" s="16"/>
      <c r="G388" s="16"/>
      <c r="H388" s="16"/>
      <c r="I388" s="16"/>
      <c r="J388" s="16"/>
      <c r="K388" s="16"/>
      <c r="L388" s="16"/>
    </row>
    <row r="389" spans="5:12" x14ac:dyDescent="0.2">
      <c r="E389" s="16"/>
      <c r="F389" s="16"/>
      <c r="G389" s="16"/>
      <c r="H389" s="16"/>
      <c r="I389" s="16"/>
      <c r="J389" s="16"/>
      <c r="K389" s="16"/>
      <c r="L389" s="16"/>
    </row>
    <row r="390" spans="5:12" x14ac:dyDescent="0.2">
      <c r="E390" s="16"/>
      <c r="F390" s="16"/>
      <c r="G390" s="16"/>
      <c r="H390" s="16"/>
      <c r="I390" s="16"/>
      <c r="J390" s="16"/>
      <c r="K390" s="16"/>
      <c r="L390" s="16"/>
    </row>
    <row r="391" spans="5:12" x14ac:dyDescent="0.2">
      <c r="E391" s="16"/>
      <c r="F391" s="16"/>
      <c r="G391" s="16"/>
      <c r="H391" s="16"/>
      <c r="I391" s="16"/>
      <c r="J391" s="16"/>
      <c r="K391" s="16"/>
      <c r="L391" s="16"/>
    </row>
    <row r="392" spans="5:12" x14ac:dyDescent="0.2">
      <c r="E392" s="16"/>
      <c r="F392" s="16"/>
      <c r="G392" s="16"/>
      <c r="H392" s="16"/>
      <c r="I392" s="16"/>
      <c r="J392" s="16"/>
      <c r="K392" s="16"/>
      <c r="L392" s="16"/>
    </row>
    <row r="393" spans="5:12" x14ac:dyDescent="0.2">
      <c r="E393" s="16"/>
      <c r="F393" s="16"/>
      <c r="G393" s="16"/>
      <c r="H393" s="16"/>
      <c r="I393" s="16"/>
      <c r="J393" s="16"/>
      <c r="K393" s="16"/>
      <c r="L393" s="16"/>
    </row>
    <row r="394" spans="5:12" x14ac:dyDescent="0.2">
      <c r="E394" s="16"/>
      <c r="F394" s="16"/>
      <c r="G394" s="16"/>
      <c r="H394" s="16"/>
      <c r="I394" s="16"/>
      <c r="J394" s="16"/>
      <c r="K394" s="16"/>
      <c r="L394" s="16"/>
    </row>
    <row r="395" spans="5:12" x14ac:dyDescent="0.2">
      <c r="E395" s="16"/>
      <c r="F395" s="16"/>
      <c r="G395" s="16"/>
      <c r="H395" s="16"/>
      <c r="I395" s="16"/>
      <c r="J395" s="16"/>
      <c r="K395" s="16"/>
      <c r="L395" s="16"/>
    </row>
    <row r="396" spans="5:12" x14ac:dyDescent="0.2">
      <c r="E396" s="16"/>
      <c r="F396" s="16"/>
      <c r="G396" s="16"/>
      <c r="H396" s="16"/>
      <c r="I396" s="16"/>
      <c r="J396" s="16"/>
      <c r="K396" s="16"/>
      <c r="L396" s="16"/>
    </row>
    <row r="397" spans="5:12" x14ac:dyDescent="0.2">
      <c r="E397" s="16"/>
      <c r="F397" s="16"/>
      <c r="G397" s="16"/>
      <c r="H397" s="16"/>
      <c r="I397" s="16"/>
      <c r="J397" s="16"/>
      <c r="K397" s="16"/>
      <c r="L397" s="16"/>
    </row>
    <row r="398" spans="5:12" x14ac:dyDescent="0.2">
      <c r="E398" s="16"/>
      <c r="F398" s="16"/>
      <c r="G398" s="16"/>
      <c r="H398" s="16"/>
      <c r="I398" s="16"/>
      <c r="J398" s="16"/>
      <c r="K398" s="16"/>
      <c r="L398" s="16"/>
    </row>
    <row r="399" spans="5:12" x14ac:dyDescent="0.2">
      <c r="E399" s="16"/>
      <c r="F399" s="16"/>
      <c r="G399" s="16"/>
      <c r="H399" s="16"/>
      <c r="I399" s="16"/>
      <c r="J399" s="16"/>
      <c r="K399" s="16"/>
      <c r="L399" s="16"/>
    </row>
    <row r="400" spans="5:12" x14ac:dyDescent="0.2">
      <c r="E400" s="16"/>
      <c r="F400" s="16"/>
      <c r="G400" s="16"/>
      <c r="H400" s="16"/>
      <c r="I400" s="16"/>
      <c r="J400" s="16"/>
      <c r="K400" s="16"/>
      <c r="L400" s="16"/>
    </row>
    <row r="401" spans="5:12" x14ac:dyDescent="0.2">
      <c r="E401" s="16"/>
      <c r="F401" s="16"/>
      <c r="G401" s="16"/>
      <c r="H401" s="16"/>
      <c r="I401" s="16"/>
      <c r="J401" s="16"/>
      <c r="K401" s="16"/>
      <c r="L401" s="16"/>
    </row>
    <row r="402" spans="5:12" x14ac:dyDescent="0.2">
      <c r="E402" s="16"/>
      <c r="F402" s="16"/>
      <c r="G402" s="16"/>
      <c r="H402" s="16"/>
      <c r="I402" s="16"/>
      <c r="J402" s="16"/>
      <c r="K402" s="16"/>
      <c r="L402" s="16"/>
    </row>
    <row r="403" spans="5:12" x14ac:dyDescent="0.2">
      <c r="E403" s="16"/>
      <c r="F403" s="16"/>
      <c r="G403" s="16"/>
      <c r="H403" s="16"/>
      <c r="I403" s="16"/>
      <c r="J403" s="16"/>
      <c r="K403" s="16"/>
      <c r="L403" s="16"/>
    </row>
    <row r="404" spans="5:12" x14ac:dyDescent="0.2">
      <c r="E404" s="16"/>
      <c r="F404" s="16"/>
      <c r="G404" s="16"/>
      <c r="H404" s="16"/>
      <c r="I404" s="16"/>
      <c r="J404" s="16"/>
      <c r="K404" s="16"/>
      <c r="L404" s="16"/>
    </row>
    <row r="405" spans="5:12" x14ac:dyDescent="0.2">
      <c r="E405" s="16"/>
      <c r="F405" s="16"/>
      <c r="G405" s="16"/>
      <c r="H405" s="16"/>
      <c r="I405" s="16"/>
      <c r="J405" s="16"/>
      <c r="K405" s="16"/>
      <c r="L405" s="16"/>
    </row>
    <row r="406" spans="5:12" x14ac:dyDescent="0.2">
      <c r="E406" s="16"/>
      <c r="F406" s="16"/>
      <c r="G406" s="16"/>
      <c r="H406" s="16"/>
      <c r="I406" s="16"/>
      <c r="J406" s="16"/>
      <c r="K406" s="16"/>
      <c r="L406" s="16"/>
    </row>
    <row r="407" spans="5:12" x14ac:dyDescent="0.2">
      <c r="E407" s="16"/>
      <c r="F407" s="16"/>
      <c r="G407" s="16"/>
      <c r="H407" s="16"/>
      <c r="I407" s="16"/>
      <c r="J407" s="16"/>
      <c r="K407" s="16"/>
      <c r="L407" s="16"/>
    </row>
    <row r="408" spans="5:12" x14ac:dyDescent="0.2">
      <c r="E408" s="16"/>
      <c r="F408" s="16"/>
      <c r="G408" s="16"/>
      <c r="H408" s="16"/>
      <c r="I408" s="16"/>
      <c r="J408" s="16"/>
      <c r="K408" s="16"/>
      <c r="L408" s="16"/>
    </row>
    <row r="409" spans="5:12" x14ac:dyDescent="0.2">
      <c r="E409" s="16"/>
      <c r="F409" s="16"/>
      <c r="G409" s="16"/>
      <c r="H409" s="16"/>
      <c r="I409" s="16"/>
      <c r="J409" s="16"/>
      <c r="K409" s="16"/>
      <c r="L409" s="16"/>
    </row>
    <row r="410" spans="5:12" x14ac:dyDescent="0.2">
      <c r="E410" s="16"/>
      <c r="F410" s="16"/>
      <c r="G410" s="16"/>
      <c r="H410" s="16"/>
      <c r="I410" s="16"/>
      <c r="J410" s="16"/>
      <c r="K410" s="16"/>
      <c r="L410" s="16"/>
    </row>
    <row r="411" spans="5:12" x14ac:dyDescent="0.2">
      <c r="E411" s="16"/>
      <c r="F411" s="16"/>
      <c r="G411" s="16"/>
      <c r="H411" s="16"/>
      <c r="I411" s="16"/>
      <c r="J411" s="16"/>
      <c r="K411" s="16"/>
      <c r="L411" s="16"/>
    </row>
    <row r="412" spans="5:12" x14ac:dyDescent="0.2">
      <c r="E412" s="16"/>
      <c r="F412" s="16"/>
      <c r="G412" s="16"/>
      <c r="H412" s="16"/>
      <c r="I412" s="16"/>
      <c r="J412" s="16"/>
      <c r="K412" s="16"/>
      <c r="L412" s="16"/>
    </row>
    <row r="413" spans="5:12" x14ac:dyDescent="0.2">
      <c r="E413" s="16"/>
      <c r="F413" s="16"/>
      <c r="G413" s="16"/>
      <c r="H413" s="16"/>
      <c r="I413" s="16"/>
      <c r="J413" s="16"/>
      <c r="K413" s="16"/>
      <c r="L413" s="16"/>
    </row>
    <row r="414" spans="5:12" x14ac:dyDescent="0.2">
      <c r="E414" s="16"/>
      <c r="F414" s="16"/>
      <c r="G414" s="16"/>
      <c r="H414" s="16"/>
      <c r="I414" s="16"/>
      <c r="J414" s="16"/>
      <c r="K414" s="16"/>
      <c r="L414" s="16"/>
    </row>
    <row r="415" spans="5:12" x14ac:dyDescent="0.2">
      <c r="E415" s="16"/>
      <c r="F415" s="16"/>
      <c r="G415" s="16"/>
      <c r="H415" s="16"/>
      <c r="I415" s="16"/>
      <c r="J415" s="16"/>
      <c r="K415" s="16"/>
      <c r="L415" s="16"/>
    </row>
    <row r="416" spans="5:12" x14ac:dyDescent="0.2">
      <c r="E416" s="16"/>
      <c r="F416" s="16"/>
      <c r="G416" s="16"/>
      <c r="H416" s="16"/>
      <c r="I416" s="16"/>
      <c r="J416" s="16"/>
      <c r="K416" s="16"/>
      <c r="L416" s="16"/>
    </row>
    <row r="417" spans="5:12" x14ac:dyDescent="0.2">
      <c r="E417" s="16"/>
      <c r="F417" s="16"/>
      <c r="G417" s="16"/>
      <c r="H417" s="16"/>
      <c r="I417" s="16"/>
      <c r="J417" s="16"/>
      <c r="K417" s="16"/>
      <c r="L417" s="16"/>
    </row>
    <row r="418" spans="5:12" x14ac:dyDescent="0.2">
      <c r="E418" s="16"/>
      <c r="F418" s="16"/>
      <c r="G418" s="16"/>
      <c r="H418" s="16"/>
      <c r="I418" s="16"/>
      <c r="J418" s="16"/>
      <c r="K418" s="16"/>
      <c r="L418" s="16"/>
    </row>
    <row r="419" spans="5:12" x14ac:dyDescent="0.2">
      <c r="E419" s="16"/>
      <c r="F419" s="16"/>
      <c r="G419" s="16"/>
      <c r="H419" s="16"/>
      <c r="I419" s="16"/>
      <c r="J419" s="16"/>
      <c r="K419" s="16"/>
      <c r="L419" s="16"/>
    </row>
    <row r="420" spans="5:12" x14ac:dyDescent="0.2">
      <c r="E420" s="16"/>
      <c r="F420" s="16"/>
      <c r="G420" s="16"/>
      <c r="H420" s="16"/>
      <c r="I420" s="16"/>
      <c r="J420" s="16"/>
      <c r="K420" s="16"/>
      <c r="L420" s="16"/>
    </row>
    <row r="421" spans="5:12" x14ac:dyDescent="0.2">
      <c r="E421" s="16"/>
      <c r="F421" s="16"/>
      <c r="G421" s="16"/>
      <c r="H421" s="16"/>
      <c r="I421" s="16"/>
      <c r="J421" s="16"/>
      <c r="K421" s="16"/>
      <c r="L421" s="16"/>
    </row>
    <row r="422" spans="5:12" x14ac:dyDescent="0.2">
      <c r="E422" s="16"/>
      <c r="F422" s="16"/>
      <c r="G422" s="16"/>
      <c r="H422" s="16"/>
      <c r="I422" s="16"/>
      <c r="J422" s="16"/>
      <c r="K422" s="16"/>
      <c r="L422" s="16"/>
    </row>
    <row r="423" spans="5:12" x14ac:dyDescent="0.2">
      <c r="E423" s="16"/>
      <c r="F423" s="16"/>
      <c r="G423" s="16"/>
      <c r="H423" s="16"/>
      <c r="I423" s="16"/>
      <c r="J423" s="16"/>
      <c r="K423" s="16"/>
      <c r="L423" s="16"/>
    </row>
    <row r="424" spans="5:12" x14ac:dyDescent="0.2">
      <c r="E424" s="16"/>
      <c r="F424" s="16"/>
      <c r="G424" s="16"/>
      <c r="H424" s="16"/>
      <c r="I424" s="16"/>
      <c r="J424" s="16"/>
      <c r="K424" s="16"/>
      <c r="L424" s="16"/>
    </row>
    <row r="425" spans="5:12" x14ac:dyDescent="0.2">
      <c r="E425" s="16"/>
      <c r="F425" s="16"/>
      <c r="G425" s="16"/>
      <c r="H425" s="16"/>
      <c r="I425" s="16"/>
      <c r="J425" s="16"/>
      <c r="K425" s="16"/>
      <c r="L425" s="16"/>
    </row>
    <row r="426" spans="5:12" x14ac:dyDescent="0.2">
      <c r="E426" s="16"/>
      <c r="F426" s="16"/>
      <c r="G426" s="16"/>
      <c r="H426" s="16"/>
      <c r="I426" s="16"/>
      <c r="J426" s="16"/>
      <c r="K426" s="16"/>
      <c r="L426" s="16"/>
    </row>
    <row r="427" spans="5:12" x14ac:dyDescent="0.2">
      <c r="E427" s="16"/>
      <c r="F427" s="16"/>
      <c r="G427" s="16"/>
      <c r="H427" s="16"/>
      <c r="I427" s="16"/>
      <c r="J427" s="16"/>
      <c r="K427" s="16"/>
      <c r="L427" s="16"/>
    </row>
    <row r="428" spans="5:12" x14ac:dyDescent="0.2">
      <c r="E428" s="16"/>
      <c r="F428" s="16"/>
      <c r="G428" s="16"/>
      <c r="H428" s="16"/>
      <c r="I428" s="16"/>
      <c r="J428" s="16"/>
      <c r="K428" s="16"/>
      <c r="L428" s="16"/>
    </row>
    <row r="429" spans="5:12" x14ac:dyDescent="0.2">
      <c r="E429" s="16"/>
      <c r="F429" s="16"/>
      <c r="G429" s="16"/>
      <c r="H429" s="16"/>
      <c r="I429" s="16"/>
      <c r="J429" s="16"/>
      <c r="K429" s="16"/>
      <c r="L429" s="16"/>
    </row>
    <row r="430" spans="5:12" x14ac:dyDescent="0.2">
      <c r="E430" s="16"/>
      <c r="F430" s="16"/>
      <c r="G430" s="16"/>
      <c r="H430" s="16"/>
      <c r="I430" s="16"/>
      <c r="J430" s="16"/>
      <c r="K430" s="16"/>
      <c r="L430" s="16"/>
    </row>
    <row r="431" spans="5:12" x14ac:dyDescent="0.2">
      <c r="E431" s="16"/>
      <c r="F431" s="16"/>
      <c r="G431" s="16"/>
      <c r="H431" s="16"/>
      <c r="I431" s="16"/>
      <c r="J431" s="16"/>
      <c r="K431" s="16"/>
      <c r="L431" s="16"/>
    </row>
    <row r="432" spans="5:12" x14ac:dyDescent="0.2">
      <c r="E432" s="16"/>
      <c r="F432" s="16"/>
      <c r="G432" s="16"/>
      <c r="H432" s="16"/>
      <c r="I432" s="16"/>
      <c r="J432" s="16"/>
      <c r="K432" s="16"/>
      <c r="L432" s="16"/>
    </row>
    <row r="433" spans="5:12" x14ac:dyDescent="0.2">
      <c r="E433" s="16"/>
      <c r="F433" s="16"/>
      <c r="G433" s="16"/>
      <c r="H433" s="16"/>
      <c r="I433" s="16"/>
      <c r="J433" s="16"/>
      <c r="K433" s="16"/>
      <c r="L433" s="16"/>
    </row>
    <row r="434" spans="5:12" x14ac:dyDescent="0.2">
      <c r="E434" s="16"/>
      <c r="F434" s="16"/>
      <c r="G434" s="16"/>
      <c r="H434" s="16"/>
      <c r="I434" s="16"/>
      <c r="J434" s="16"/>
      <c r="K434" s="16"/>
      <c r="L434" s="16"/>
    </row>
    <row r="435" spans="5:12" x14ac:dyDescent="0.2">
      <c r="E435" s="16"/>
      <c r="F435" s="16"/>
      <c r="G435" s="16"/>
      <c r="H435" s="16"/>
      <c r="I435" s="16"/>
      <c r="J435" s="16"/>
      <c r="K435" s="16"/>
      <c r="L435" s="16"/>
    </row>
    <row r="436" spans="5:12" x14ac:dyDescent="0.2">
      <c r="E436" s="16"/>
      <c r="F436" s="16"/>
      <c r="G436" s="16"/>
      <c r="H436" s="16"/>
      <c r="I436" s="16"/>
      <c r="J436" s="16"/>
      <c r="K436" s="16"/>
      <c r="L436" s="16"/>
    </row>
    <row r="437" spans="5:12" x14ac:dyDescent="0.2">
      <c r="E437" s="16"/>
      <c r="F437" s="16"/>
      <c r="G437" s="16"/>
      <c r="H437" s="16"/>
      <c r="I437" s="16"/>
      <c r="J437" s="16"/>
      <c r="K437" s="16"/>
      <c r="L437" s="16"/>
    </row>
    <row r="438" spans="5:12" x14ac:dyDescent="0.2">
      <c r="E438" s="16"/>
      <c r="F438" s="16"/>
      <c r="G438" s="16"/>
      <c r="H438" s="16"/>
      <c r="I438" s="16"/>
      <c r="J438" s="16"/>
      <c r="K438" s="16"/>
      <c r="L438" s="16"/>
    </row>
    <row r="439" spans="5:12" x14ac:dyDescent="0.2">
      <c r="E439" s="16"/>
      <c r="F439" s="16"/>
      <c r="G439" s="16"/>
      <c r="H439" s="16"/>
      <c r="I439" s="16"/>
      <c r="J439" s="16"/>
      <c r="K439" s="16"/>
      <c r="L439" s="16"/>
    </row>
    <row r="440" spans="5:12" x14ac:dyDescent="0.2">
      <c r="E440" s="16"/>
      <c r="F440" s="16"/>
      <c r="G440" s="16"/>
      <c r="H440" s="16"/>
      <c r="I440" s="16"/>
      <c r="J440" s="16"/>
      <c r="K440" s="16"/>
      <c r="L440" s="16"/>
    </row>
    <row r="441" spans="5:12" x14ac:dyDescent="0.2">
      <c r="E441" s="16"/>
      <c r="F441" s="16"/>
      <c r="G441" s="16"/>
      <c r="H441" s="16"/>
      <c r="I441" s="16"/>
      <c r="J441" s="16"/>
      <c r="K441" s="16"/>
      <c r="L441" s="16"/>
    </row>
    <row r="442" spans="5:12" x14ac:dyDescent="0.2">
      <c r="E442" s="16"/>
      <c r="F442" s="16"/>
      <c r="G442" s="16"/>
      <c r="H442" s="16"/>
      <c r="I442" s="16"/>
      <c r="J442" s="16"/>
      <c r="K442" s="16"/>
      <c r="L442" s="16"/>
    </row>
    <row r="443" spans="5:12" x14ac:dyDescent="0.2">
      <c r="E443" s="16"/>
      <c r="F443" s="16"/>
      <c r="G443" s="16"/>
      <c r="H443" s="16"/>
      <c r="I443" s="16"/>
      <c r="J443" s="16"/>
      <c r="K443" s="16"/>
      <c r="L443" s="16"/>
    </row>
    <row r="444" spans="5:12" x14ac:dyDescent="0.2">
      <c r="E444" s="16"/>
      <c r="F444" s="16"/>
      <c r="G444" s="16"/>
      <c r="H444" s="16"/>
      <c r="I444" s="16"/>
      <c r="J444" s="16"/>
      <c r="K444" s="16"/>
      <c r="L444" s="16"/>
    </row>
    <row r="445" spans="5:12" x14ac:dyDescent="0.2">
      <c r="E445" s="16"/>
      <c r="F445" s="16"/>
      <c r="G445" s="16"/>
      <c r="H445" s="16"/>
      <c r="I445" s="16"/>
      <c r="J445" s="16"/>
      <c r="K445" s="16"/>
      <c r="L445" s="16"/>
    </row>
    <row r="446" spans="5:12" x14ac:dyDescent="0.2">
      <c r="E446" s="16"/>
      <c r="F446" s="16"/>
      <c r="G446" s="16"/>
      <c r="H446" s="16"/>
      <c r="I446" s="16"/>
      <c r="J446" s="16"/>
      <c r="K446" s="16"/>
      <c r="L446" s="16"/>
    </row>
    <row r="447" spans="5:12" x14ac:dyDescent="0.2">
      <c r="E447" s="16"/>
      <c r="F447" s="16"/>
      <c r="G447" s="16"/>
      <c r="H447" s="16"/>
      <c r="I447" s="16"/>
      <c r="J447" s="16"/>
      <c r="K447" s="16"/>
      <c r="L447" s="16"/>
    </row>
    <row r="448" spans="5:12" x14ac:dyDescent="0.2">
      <c r="E448" s="16"/>
      <c r="F448" s="16"/>
      <c r="G448" s="16"/>
      <c r="H448" s="16"/>
      <c r="I448" s="16"/>
      <c r="J448" s="16"/>
      <c r="K448" s="16"/>
      <c r="L448" s="16"/>
    </row>
    <row r="449" spans="5:12" x14ac:dyDescent="0.2">
      <c r="E449" s="16"/>
      <c r="F449" s="16"/>
      <c r="G449" s="16"/>
      <c r="H449" s="16"/>
      <c r="I449" s="16"/>
      <c r="J449" s="16"/>
      <c r="K449" s="16"/>
      <c r="L449" s="16"/>
    </row>
    <row r="450" spans="5:12" x14ac:dyDescent="0.2">
      <c r="E450" s="16"/>
      <c r="F450" s="16"/>
      <c r="G450" s="16"/>
      <c r="H450" s="16"/>
      <c r="I450" s="16"/>
      <c r="J450" s="16"/>
      <c r="K450" s="16"/>
      <c r="L450" s="16"/>
    </row>
    <row r="451" spans="5:12" x14ac:dyDescent="0.2">
      <c r="E451" s="16"/>
      <c r="F451" s="16"/>
      <c r="G451" s="16"/>
      <c r="H451" s="16"/>
      <c r="I451" s="16"/>
      <c r="J451" s="16"/>
      <c r="K451" s="16"/>
      <c r="L451" s="16"/>
    </row>
    <row r="452" spans="5:12" x14ac:dyDescent="0.2">
      <c r="E452" s="16"/>
      <c r="F452" s="16"/>
      <c r="G452" s="16"/>
      <c r="H452" s="16"/>
      <c r="I452" s="16"/>
      <c r="J452" s="16"/>
      <c r="K452" s="16"/>
      <c r="L452" s="16"/>
    </row>
    <row r="453" spans="5:12" x14ac:dyDescent="0.2">
      <c r="E453" s="16"/>
      <c r="F453" s="16"/>
      <c r="G453" s="16"/>
      <c r="H453" s="16"/>
      <c r="I453" s="16"/>
      <c r="J453" s="16"/>
      <c r="K453" s="16"/>
      <c r="L453" s="16"/>
    </row>
    <row r="454" spans="5:12" x14ac:dyDescent="0.2">
      <c r="E454" s="16"/>
      <c r="F454" s="16"/>
      <c r="G454" s="16"/>
      <c r="H454" s="16"/>
      <c r="I454" s="16"/>
      <c r="J454" s="16"/>
      <c r="K454" s="16"/>
      <c r="L454" s="16"/>
    </row>
    <row r="455" spans="5:12" x14ac:dyDescent="0.2">
      <c r="E455" s="16"/>
      <c r="F455" s="16"/>
      <c r="G455" s="16"/>
      <c r="H455" s="16"/>
      <c r="I455" s="16"/>
      <c r="J455" s="16"/>
      <c r="K455" s="16"/>
      <c r="L455" s="16"/>
    </row>
    <row r="456" spans="5:12" x14ac:dyDescent="0.2">
      <c r="E456" s="16"/>
      <c r="F456" s="16"/>
      <c r="G456" s="16"/>
      <c r="H456" s="16"/>
      <c r="I456" s="16"/>
      <c r="J456" s="16"/>
      <c r="K456" s="16"/>
      <c r="L456" s="16"/>
    </row>
    <row r="457" spans="5:12" x14ac:dyDescent="0.2">
      <c r="E457" s="16"/>
      <c r="F457" s="16"/>
      <c r="G457" s="16"/>
      <c r="H457" s="16"/>
      <c r="I457" s="16"/>
      <c r="J457" s="16"/>
      <c r="K457" s="16"/>
      <c r="L457" s="16"/>
    </row>
    <row r="458" spans="5:12" x14ac:dyDescent="0.2">
      <c r="E458" s="16"/>
      <c r="F458" s="16"/>
      <c r="G458" s="16"/>
      <c r="H458" s="16"/>
      <c r="I458" s="16"/>
      <c r="J458" s="16"/>
      <c r="K458" s="16"/>
      <c r="L458" s="16"/>
    </row>
    <row r="459" spans="5:12" x14ac:dyDescent="0.2">
      <c r="E459" s="16"/>
      <c r="F459" s="16"/>
      <c r="G459" s="16"/>
      <c r="H459" s="16"/>
      <c r="I459" s="16"/>
      <c r="J459" s="16"/>
      <c r="K459" s="16"/>
      <c r="L459" s="16"/>
    </row>
    <row r="460" spans="5:12" x14ac:dyDescent="0.2">
      <c r="E460" s="16"/>
      <c r="F460" s="16"/>
      <c r="G460" s="16"/>
      <c r="H460" s="16"/>
      <c r="I460" s="16"/>
      <c r="J460" s="16"/>
      <c r="K460" s="16"/>
      <c r="L460" s="16"/>
    </row>
    <row r="461" spans="5:12" x14ac:dyDescent="0.2">
      <c r="E461" s="16"/>
      <c r="F461" s="16"/>
      <c r="G461" s="16"/>
      <c r="H461" s="16"/>
      <c r="I461" s="16"/>
      <c r="J461" s="16"/>
      <c r="K461" s="16"/>
      <c r="L461" s="16"/>
    </row>
    <row r="462" spans="5:12" x14ac:dyDescent="0.2">
      <c r="E462" s="16"/>
      <c r="F462" s="16"/>
      <c r="G462" s="16"/>
      <c r="H462" s="16"/>
      <c r="I462" s="16"/>
      <c r="J462" s="16"/>
      <c r="K462" s="16"/>
      <c r="L462" s="16"/>
    </row>
    <row r="463" spans="5:12" x14ac:dyDescent="0.2">
      <c r="E463" s="16"/>
      <c r="F463" s="16"/>
      <c r="G463" s="16"/>
      <c r="H463" s="16"/>
      <c r="I463" s="16"/>
      <c r="J463" s="16"/>
      <c r="K463" s="16"/>
      <c r="L463" s="16"/>
    </row>
    <row r="464" spans="5:12" x14ac:dyDescent="0.2">
      <c r="E464" s="16"/>
      <c r="F464" s="16"/>
      <c r="G464" s="16"/>
      <c r="H464" s="16"/>
      <c r="I464" s="16"/>
      <c r="J464" s="16"/>
      <c r="K464" s="16"/>
      <c r="L464" s="16"/>
    </row>
    <row r="465" spans="5:12" x14ac:dyDescent="0.2">
      <c r="E465" s="16"/>
      <c r="F465" s="16"/>
      <c r="G465" s="16"/>
      <c r="H465" s="16"/>
      <c r="I465" s="16"/>
      <c r="J465" s="16"/>
      <c r="K465" s="16"/>
      <c r="L465" s="16"/>
    </row>
    <row r="466" spans="5:12" x14ac:dyDescent="0.2">
      <c r="E466" s="16"/>
      <c r="F466" s="16"/>
      <c r="G466" s="16"/>
      <c r="H466" s="16"/>
      <c r="I466" s="16"/>
      <c r="J466" s="16"/>
      <c r="K466" s="16"/>
      <c r="L466" s="16"/>
    </row>
    <row r="467" spans="5:12" x14ac:dyDescent="0.2">
      <c r="E467" s="16"/>
      <c r="F467" s="16"/>
      <c r="G467" s="16"/>
      <c r="H467" s="16"/>
      <c r="I467" s="16"/>
      <c r="J467" s="16"/>
      <c r="K467" s="16"/>
      <c r="L467" s="16"/>
    </row>
    <row r="468" spans="5:12" x14ac:dyDescent="0.2">
      <c r="E468" s="16"/>
      <c r="F468" s="16"/>
      <c r="G468" s="16"/>
      <c r="H468" s="16"/>
      <c r="I468" s="16"/>
      <c r="J468" s="16"/>
      <c r="K468" s="16"/>
      <c r="L468" s="16"/>
    </row>
    <row r="469" spans="5:12" x14ac:dyDescent="0.2">
      <c r="E469" s="16"/>
      <c r="F469" s="16"/>
      <c r="G469" s="16"/>
      <c r="H469" s="16"/>
      <c r="I469" s="16"/>
      <c r="J469" s="16"/>
      <c r="K469" s="16"/>
      <c r="L469" s="16"/>
    </row>
    <row r="470" spans="5:12" x14ac:dyDescent="0.2">
      <c r="E470" s="16"/>
      <c r="F470" s="16"/>
      <c r="G470" s="16"/>
      <c r="H470" s="16"/>
      <c r="I470" s="16"/>
      <c r="J470" s="16"/>
      <c r="K470" s="16"/>
      <c r="L470" s="16"/>
    </row>
    <row r="471" spans="5:12" x14ac:dyDescent="0.2">
      <c r="E471" s="16"/>
      <c r="F471" s="16"/>
      <c r="G471" s="16"/>
      <c r="H471" s="16"/>
      <c r="I471" s="16"/>
      <c r="J471" s="16"/>
      <c r="K471" s="16"/>
      <c r="L471" s="16"/>
    </row>
    <row r="472" spans="5:12" x14ac:dyDescent="0.2">
      <c r="E472" s="16"/>
      <c r="F472" s="16"/>
      <c r="G472" s="16"/>
      <c r="H472" s="16"/>
      <c r="I472" s="16"/>
      <c r="J472" s="16"/>
      <c r="K472" s="16"/>
      <c r="L472" s="16"/>
    </row>
    <row r="473" spans="5:12" x14ac:dyDescent="0.2">
      <c r="E473" s="16"/>
      <c r="F473" s="16"/>
      <c r="G473" s="16"/>
      <c r="H473" s="16"/>
      <c r="I473" s="16"/>
      <c r="J473" s="16"/>
      <c r="K473" s="16"/>
      <c r="L473" s="16"/>
    </row>
    <row r="474" spans="5:12" x14ac:dyDescent="0.2">
      <c r="E474" s="16"/>
      <c r="F474" s="16"/>
      <c r="G474" s="16"/>
      <c r="H474" s="16"/>
      <c r="I474" s="16"/>
      <c r="J474" s="16"/>
      <c r="K474" s="16"/>
      <c r="L474" s="16"/>
    </row>
    <row r="475" spans="5:12" x14ac:dyDescent="0.2">
      <c r="E475" s="16"/>
      <c r="F475" s="16"/>
      <c r="G475" s="16"/>
      <c r="H475" s="16"/>
      <c r="I475" s="16"/>
      <c r="J475" s="16"/>
      <c r="K475" s="16"/>
      <c r="L475" s="16"/>
    </row>
    <row r="476" spans="5:12" x14ac:dyDescent="0.2">
      <c r="E476" s="16"/>
      <c r="F476" s="16"/>
      <c r="G476" s="16"/>
      <c r="H476" s="16"/>
      <c r="I476" s="16"/>
      <c r="J476" s="16"/>
      <c r="K476" s="16"/>
      <c r="L476" s="16"/>
    </row>
    <row r="477" spans="5:12" x14ac:dyDescent="0.2">
      <c r="E477" s="16"/>
      <c r="F477" s="16"/>
      <c r="G477" s="16"/>
      <c r="H477" s="16"/>
      <c r="I477" s="16"/>
      <c r="J477" s="16"/>
      <c r="K477" s="16"/>
      <c r="L477" s="16"/>
    </row>
    <row r="478" spans="5:12" x14ac:dyDescent="0.2">
      <c r="E478" s="16"/>
      <c r="F478" s="16"/>
      <c r="G478" s="16"/>
      <c r="H478" s="16"/>
      <c r="I478" s="16"/>
      <c r="J478" s="16"/>
      <c r="K478" s="16"/>
      <c r="L478" s="16"/>
    </row>
    <row r="479" spans="5:12" x14ac:dyDescent="0.2">
      <c r="E479" s="16"/>
      <c r="F479" s="16"/>
      <c r="G479" s="16"/>
      <c r="H479" s="16"/>
      <c r="I479" s="16"/>
      <c r="J479" s="16"/>
      <c r="K479" s="16"/>
      <c r="L479" s="16"/>
    </row>
    <row r="480" spans="5:12" x14ac:dyDescent="0.2">
      <c r="E480" s="16"/>
      <c r="F480" s="16"/>
      <c r="G480" s="16"/>
      <c r="H480" s="16"/>
      <c r="I480" s="16"/>
      <c r="J480" s="16"/>
      <c r="K480" s="16"/>
      <c r="L480" s="16"/>
    </row>
    <row r="481" spans="5:12" x14ac:dyDescent="0.2">
      <c r="E481" s="16"/>
      <c r="F481" s="16"/>
      <c r="G481" s="16"/>
      <c r="H481" s="16"/>
      <c r="I481" s="16"/>
      <c r="J481" s="16"/>
      <c r="K481" s="16"/>
      <c r="L481" s="16"/>
    </row>
    <row r="482" spans="5:12" x14ac:dyDescent="0.2">
      <c r="E482" s="16"/>
      <c r="F482" s="16"/>
      <c r="G482" s="16"/>
      <c r="H482" s="16"/>
      <c r="I482" s="16"/>
      <c r="J482" s="16"/>
      <c r="K482" s="16"/>
      <c r="L482" s="16"/>
    </row>
    <row r="483" spans="5:12" x14ac:dyDescent="0.2">
      <c r="E483" s="16"/>
      <c r="F483" s="16"/>
      <c r="G483" s="16"/>
      <c r="H483" s="16"/>
      <c r="I483" s="16"/>
      <c r="J483" s="16"/>
      <c r="K483" s="16"/>
      <c r="L483" s="16"/>
    </row>
    <row r="484" spans="5:12" x14ac:dyDescent="0.2">
      <c r="E484" s="16"/>
      <c r="F484" s="16"/>
      <c r="G484" s="16"/>
      <c r="H484" s="16"/>
      <c r="I484" s="16"/>
      <c r="J484" s="16"/>
      <c r="K484" s="16"/>
      <c r="L484" s="16"/>
    </row>
    <row r="485" spans="5:12" x14ac:dyDescent="0.2">
      <c r="E485" s="16"/>
      <c r="F485" s="16"/>
      <c r="G485" s="16"/>
      <c r="H485" s="16"/>
      <c r="I485" s="16"/>
      <c r="J485" s="16"/>
      <c r="K485" s="16"/>
      <c r="L485" s="16"/>
    </row>
    <row r="486" spans="5:12" x14ac:dyDescent="0.2">
      <c r="E486" s="16"/>
      <c r="F486" s="16"/>
      <c r="G486" s="16"/>
      <c r="H486" s="16"/>
      <c r="I486" s="16"/>
      <c r="J486" s="16"/>
      <c r="K486" s="16"/>
      <c r="L486" s="16"/>
    </row>
    <row r="487" spans="5:12" x14ac:dyDescent="0.2">
      <c r="E487" s="16"/>
      <c r="F487" s="16"/>
      <c r="G487" s="16"/>
      <c r="H487" s="16"/>
      <c r="I487" s="16"/>
      <c r="J487" s="16"/>
      <c r="K487" s="16"/>
      <c r="L487" s="16"/>
    </row>
    <row r="488" spans="5:12" x14ac:dyDescent="0.2">
      <c r="E488" s="16"/>
      <c r="F488" s="16"/>
      <c r="G488" s="16"/>
      <c r="H488" s="16"/>
      <c r="I488" s="16"/>
      <c r="J488" s="16"/>
      <c r="K488" s="16"/>
      <c r="L488" s="16"/>
    </row>
    <row r="489" spans="5:12" x14ac:dyDescent="0.2">
      <c r="E489" s="16"/>
      <c r="F489" s="16"/>
      <c r="G489" s="16"/>
      <c r="H489" s="16"/>
      <c r="I489" s="16"/>
      <c r="J489" s="16"/>
      <c r="K489" s="16"/>
      <c r="L489" s="16"/>
    </row>
    <row r="490" spans="5:12" x14ac:dyDescent="0.2">
      <c r="E490" s="16"/>
      <c r="F490" s="16"/>
      <c r="G490" s="16"/>
      <c r="H490" s="16"/>
      <c r="I490" s="16"/>
      <c r="J490" s="16"/>
      <c r="K490" s="16"/>
      <c r="L490" s="16"/>
    </row>
    <row r="491" spans="5:12" x14ac:dyDescent="0.2">
      <c r="E491" s="16"/>
      <c r="F491" s="16"/>
      <c r="G491" s="16"/>
      <c r="H491" s="16"/>
      <c r="I491" s="16"/>
      <c r="J491" s="16"/>
      <c r="K491" s="16"/>
      <c r="L491" s="16"/>
    </row>
    <row r="492" spans="5:12" x14ac:dyDescent="0.2">
      <c r="E492" s="16"/>
      <c r="F492" s="16"/>
      <c r="G492" s="16"/>
      <c r="H492" s="16"/>
      <c r="I492" s="16"/>
      <c r="J492" s="16"/>
      <c r="K492" s="16"/>
      <c r="L492" s="16"/>
    </row>
    <row r="493" spans="5:12" x14ac:dyDescent="0.2">
      <c r="E493" s="16"/>
      <c r="F493" s="16"/>
      <c r="G493" s="16"/>
      <c r="H493" s="16"/>
      <c r="I493" s="16"/>
      <c r="J493" s="16"/>
      <c r="K493" s="16"/>
      <c r="L493" s="16"/>
    </row>
    <row r="494" spans="5:12" x14ac:dyDescent="0.2">
      <c r="E494" s="16"/>
      <c r="F494" s="16"/>
      <c r="G494" s="16"/>
      <c r="H494" s="16"/>
      <c r="I494" s="16"/>
      <c r="J494" s="16"/>
      <c r="K494" s="16"/>
      <c r="L494" s="16"/>
    </row>
    <row r="495" spans="5:12" x14ac:dyDescent="0.2">
      <c r="E495" s="16"/>
      <c r="F495" s="16"/>
      <c r="G495" s="16"/>
      <c r="H495" s="16"/>
      <c r="I495" s="16"/>
      <c r="J495" s="16"/>
      <c r="K495" s="16"/>
      <c r="L495" s="16"/>
    </row>
    <row r="496" spans="5:12" x14ac:dyDescent="0.2">
      <c r="E496" s="16"/>
      <c r="F496" s="16"/>
      <c r="G496" s="16"/>
      <c r="H496" s="16"/>
      <c r="I496" s="16"/>
      <c r="J496" s="16"/>
      <c r="K496" s="16"/>
      <c r="L496" s="16"/>
    </row>
    <row r="497" spans="5:12" x14ac:dyDescent="0.2">
      <c r="E497" s="16"/>
      <c r="F497" s="16"/>
      <c r="G497" s="16"/>
      <c r="H497" s="16"/>
      <c r="I497" s="16"/>
      <c r="J497" s="16"/>
      <c r="K497" s="16"/>
      <c r="L497" s="16"/>
    </row>
    <row r="498" spans="5:12" x14ac:dyDescent="0.2">
      <c r="E498" s="16"/>
      <c r="F498" s="16"/>
      <c r="G498" s="16"/>
      <c r="H498" s="16"/>
      <c r="I498" s="16"/>
      <c r="J498" s="16"/>
      <c r="K498" s="16"/>
      <c r="L498" s="16"/>
    </row>
    <row r="499" spans="5:12" x14ac:dyDescent="0.2">
      <c r="E499" s="16"/>
      <c r="F499" s="16"/>
      <c r="G499" s="16"/>
      <c r="H499" s="16"/>
      <c r="I499" s="16"/>
      <c r="J499" s="16"/>
      <c r="K499" s="16"/>
      <c r="L499" s="16"/>
    </row>
    <row r="500" spans="5:12" x14ac:dyDescent="0.2">
      <c r="E500" s="16"/>
      <c r="F500" s="16"/>
      <c r="G500" s="16"/>
      <c r="H500" s="16"/>
      <c r="I500" s="16"/>
      <c r="J500" s="16"/>
      <c r="K500" s="16"/>
      <c r="L500" s="16"/>
    </row>
    <row r="501" spans="5:12" x14ac:dyDescent="0.2">
      <c r="E501" s="16"/>
      <c r="F501" s="16"/>
      <c r="G501" s="16"/>
      <c r="H501" s="16"/>
      <c r="I501" s="16"/>
      <c r="J501" s="16"/>
      <c r="K501" s="16"/>
      <c r="L501" s="16"/>
    </row>
    <row r="502" spans="5:12" x14ac:dyDescent="0.2">
      <c r="E502" s="16"/>
      <c r="F502" s="16"/>
      <c r="G502" s="16"/>
      <c r="H502" s="16"/>
      <c r="I502" s="16"/>
      <c r="J502" s="16"/>
      <c r="K502" s="16"/>
      <c r="L502" s="16"/>
    </row>
    <row r="503" spans="5:12" x14ac:dyDescent="0.2">
      <c r="E503" s="16"/>
      <c r="F503" s="16"/>
      <c r="G503" s="16"/>
      <c r="H503" s="16"/>
      <c r="I503" s="16"/>
      <c r="J503" s="16"/>
      <c r="K503" s="16"/>
      <c r="L503" s="16"/>
    </row>
    <row r="504" spans="5:12" x14ac:dyDescent="0.2">
      <c r="E504" s="16"/>
      <c r="F504" s="16"/>
      <c r="G504" s="16"/>
      <c r="H504" s="16"/>
      <c r="I504" s="16"/>
      <c r="J504" s="16"/>
      <c r="K504" s="16"/>
      <c r="L504" s="16"/>
    </row>
    <row r="505" spans="5:12" x14ac:dyDescent="0.2">
      <c r="E505" s="16"/>
      <c r="F505" s="16"/>
      <c r="G505" s="16"/>
      <c r="H505" s="16"/>
      <c r="I505" s="16"/>
      <c r="J505" s="16"/>
      <c r="K505" s="16"/>
      <c r="L505" s="16"/>
    </row>
    <row r="506" spans="5:12" x14ac:dyDescent="0.2">
      <c r="E506" s="16"/>
      <c r="F506" s="16"/>
      <c r="G506" s="16"/>
      <c r="H506" s="16"/>
      <c r="I506" s="16"/>
      <c r="J506" s="16"/>
      <c r="K506" s="16"/>
      <c r="L506" s="16"/>
    </row>
    <row r="507" spans="5:12" x14ac:dyDescent="0.2">
      <c r="E507" s="16"/>
      <c r="F507" s="16"/>
      <c r="G507" s="16"/>
      <c r="H507" s="16"/>
      <c r="I507" s="16"/>
      <c r="J507" s="16"/>
      <c r="K507" s="16"/>
      <c r="L507" s="16"/>
    </row>
    <row r="508" spans="5:12" x14ac:dyDescent="0.2">
      <c r="E508" s="16"/>
      <c r="F508" s="16"/>
      <c r="G508" s="16"/>
      <c r="H508" s="16"/>
      <c r="I508" s="16"/>
      <c r="J508" s="16"/>
      <c r="K508" s="16"/>
      <c r="L508" s="16"/>
    </row>
    <row r="509" spans="5:12" x14ac:dyDescent="0.2">
      <c r="E509" s="16"/>
      <c r="F509" s="16"/>
      <c r="G509" s="16"/>
      <c r="H509" s="16"/>
      <c r="I509" s="16"/>
      <c r="J509" s="16"/>
      <c r="K509" s="16"/>
      <c r="L509" s="16"/>
    </row>
    <row r="510" spans="5:12" x14ac:dyDescent="0.2">
      <c r="E510" s="16"/>
      <c r="F510" s="16"/>
      <c r="G510" s="16"/>
      <c r="H510" s="16"/>
      <c r="I510" s="16"/>
      <c r="J510" s="16"/>
      <c r="K510" s="16"/>
      <c r="L510" s="16"/>
    </row>
    <row r="511" spans="5:12" x14ac:dyDescent="0.2">
      <c r="E511" s="16"/>
      <c r="F511" s="16"/>
      <c r="G511" s="16"/>
      <c r="H511" s="16"/>
      <c r="I511" s="16"/>
      <c r="J511" s="16"/>
      <c r="K511" s="16"/>
      <c r="L511" s="16"/>
    </row>
    <row r="512" spans="5:12" x14ac:dyDescent="0.2">
      <c r="E512" s="16"/>
      <c r="F512" s="16"/>
      <c r="G512" s="16"/>
      <c r="H512" s="16"/>
      <c r="I512" s="16"/>
      <c r="J512" s="16"/>
      <c r="K512" s="16"/>
      <c r="L512" s="16"/>
    </row>
    <row r="513" spans="5:12" x14ac:dyDescent="0.2">
      <c r="E513" s="16"/>
      <c r="F513" s="16"/>
      <c r="G513" s="16"/>
      <c r="H513" s="16"/>
      <c r="I513" s="16"/>
      <c r="J513" s="16"/>
      <c r="K513" s="16"/>
      <c r="L513" s="16"/>
    </row>
    <row r="514" spans="5:12" x14ac:dyDescent="0.2">
      <c r="E514" s="16"/>
      <c r="F514" s="16"/>
      <c r="G514" s="16"/>
      <c r="H514" s="16"/>
      <c r="I514" s="16"/>
      <c r="J514" s="16"/>
      <c r="K514" s="16"/>
      <c r="L514" s="16"/>
    </row>
    <row r="515" spans="5:12" x14ac:dyDescent="0.2">
      <c r="E515" s="16"/>
      <c r="F515" s="16"/>
      <c r="G515" s="16"/>
      <c r="H515" s="16"/>
      <c r="I515" s="16"/>
      <c r="J515" s="16"/>
      <c r="K515" s="16"/>
      <c r="L515" s="16"/>
    </row>
    <row r="516" spans="5:12" x14ac:dyDescent="0.2">
      <c r="E516" s="16"/>
      <c r="F516" s="16"/>
      <c r="G516" s="16"/>
      <c r="H516" s="16"/>
      <c r="I516" s="16"/>
      <c r="J516" s="16"/>
      <c r="K516" s="16"/>
      <c r="L516" s="16"/>
    </row>
    <row r="517" spans="5:12" x14ac:dyDescent="0.2">
      <c r="E517" s="16"/>
      <c r="F517" s="16"/>
      <c r="G517" s="16"/>
      <c r="H517" s="16"/>
      <c r="I517" s="16"/>
      <c r="J517" s="16"/>
      <c r="K517" s="16"/>
      <c r="L517" s="16"/>
    </row>
    <row r="518" spans="5:12" x14ac:dyDescent="0.2">
      <c r="E518" s="16"/>
      <c r="F518" s="16"/>
      <c r="G518" s="16"/>
      <c r="H518" s="16"/>
      <c r="I518" s="16"/>
      <c r="J518" s="16"/>
      <c r="K518" s="16"/>
      <c r="L518" s="16"/>
    </row>
    <row r="519" spans="5:12" x14ac:dyDescent="0.2">
      <c r="E519" s="16"/>
      <c r="F519" s="16"/>
      <c r="G519" s="16"/>
      <c r="H519" s="16"/>
      <c r="I519" s="16"/>
      <c r="J519" s="16"/>
      <c r="K519" s="16"/>
      <c r="L519" s="16"/>
    </row>
    <row r="520" spans="5:12" x14ac:dyDescent="0.2">
      <c r="E520" s="16"/>
      <c r="F520" s="16"/>
      <c r="G520" s="16"/>
      <c r="H520" s="16"/>
      <c r="I520" s="16"/>
      <c r="J520" s="16"/>
      <c r="K520" s="16"/>
      <c r="L520" s="16"/>
    </row>
    <row r="521" spans="5:12" x14ac:dyDescent="0.2">
      <c r="E521" s="16"/>
      <c r="F521" s="16"/>
      <c r="G521" s="16"/>
      <c r="H521" s="16"/>
      <c r="I521" s="16"/>
      <c r="J521" s="16"/>
      <c r="K521" s="16"/>
      <c r="L521" s="16"/>
    </row>
    <row r="522" spans="5:12" x14ac:dyDescent="0.2">
      <c r="E522" s="16"/>
      <c r="F522" s="16"/>
      <c r="G522" s="16"/>
      <c r="H522" s="16"/>
      <c r="I522" s="16"/>
      <c r="J522" s="16"/>
      <c r="K522" s="16"/>
      <c r="L522" s="16"/>
    </row>
    <row r="523" spans="5:12" x14ac:dyDescent="0.2">
      <c r="E523" s="16"/>
      <c r="F523" s="16"/>
      <c r="G523" s="16"/>
      <c r="H523" s="16"/>
      <c r="I523" s="16"/>
      <c r="J523" s="16"/>
      <c r="K523" s="16"/>
      <c r="L523" s="16"/>
    </row>
    <row r="524" spans="5:12" x14ac:dyDescent="0.2">
      <c r="E524" s="16"/>
      <c r="F524" s="16"/>
      <c r="G524" s="16"/>
      <c r="H524" s="16"/>
      <c r="I524" s="16"/>
      <c r="J524" s="16"/>
      <c r="K524" s="16"/>
      <c r="L524" s="16"/>
    </row>
    <row r="525" spans="5:12" x14ac:dyDescent="0.2">
      <c r="E525" s="16"/>
      <c r="F525" s="16"/>
      <c r="G525" s="16"/>
      <c r="H525" s="16"/>
      <c r="I525" s="16"/>
      <c r="J525" s="16"/>
      <c r="K525" s="16"/>
      <c r="L525" s="16"/>
    </row>
    <row r="526" spans="5:12" x14ac:dyDescent="0.2">
      <c r="E526" s="16"/>
      <c r="F526" s="16"/>
      <c r="G526" s="16"/>
      <c r="H526" s="16"/>
      <c r="I526" s="16"/>
      <c r="J526" s="16"/>
      <c r="K526" s="16"/>
      <c r="L526" s="16"/>
    </row>
    <row r="527" spans="5:12" x14ac:dyDescent="0.2">
      <c r="E527" s="16"/>
      <c r="F527" s="16"/>
      <c r="G527" s="16"/>
      <c r="H527" s="16"/>
      <c r="I527" s="16"/>
      <c r="J527" s="16"/>
      <c r="K527" s="16"/>
      <c r="L527" s="16"/>
    </row>
    <row r="528" spans="5:12" x14ac:dyDescent="0.2">
      <c r="E528" s="16"/>
      <c r="F528" s="16"/>
      <c r="G528" s="16"/>
      <c r="H528" s="16"/>
      <c r="I528" s="16"/>
      <c r="J528" s="16"/>
      <c r="K528" s="16"/>
      <c r="L528" s="16"/>
    </row>
    <row r="529" spans="5:12" x14ac:dyDescent="0.2">
      <c r="E529" s="16"/>
      <c r="F529" s="16"/>
      <c r="G529" s="16"/>
      <c r="H529" s="16"/>
      <c r="I529" s="16"/>
      <c r="J529" s="16"/>
      <c r="K529" s="16"/>
      <c r="L529" s="16"/>
    </row>
    <row r="530" spans="5:12" x14ac:dyDescent="0.2">
      <c r="E530" s="16"/>
      <c r="F530" s="16"/>
      <c r="G530" s="16"/>
      <c r="H530" s="16"/>
      <c r="I530" s="16"/>
      <c r="J530" s="16"/>
      <c r="K530" s="16"/>
      <c r="L530" s="16"/>
    </row>
    <row r="531" spans="5:12" x14ac:dyDescent="0.2">
      <c r="E531" s="16"/>
      <c r="F531" s="16"/>
      <c r="G531" s="16"/>
      <c r="H531" s="16"/>
      <c r="I531" s="16"/>
      <c r="J531" s="16"/>
      <c r="K531" s="16"/>
      <c r="L531" s="16"/>
    </row>
    <row r="532" spans="5:12" x14ac:dyDescent="0.2">
      <c r="E532" s="16"/>
      <c r="F532" s="16"/>
      <c r="G532" s="16"/>
      <c r="H532" s="16"/>
      <c r="I532" s="16"/>
      <c r="J532" s="16"/>
      <c r="K532" s="16"/>
      <c r="L532" s="16"/>
    </row>
    <row r="533" spans="5:12" x14ac:dyDescent="0.2">
      <c r="E533" s="16"/>
      <c r="F533" s="16"/>
      <c r="G533" s="16"/>
      <c r="H533" s="16"/>
      <c r="I533" s="16"/>
      <c r="J533" s="16"/>
      <c r="K533" s="16"/>
      <c r="L533" s="16"/>
    </row>
    <row r="534" spans="5:12" x14ac:dyDescent="0.2">
      <c r="E534" s="16"/>
      <c r="F534" s="16"/>
      <c r="G534" s="16"/>
      <c r="H534" s="16"/>
      <c r="I534" s="16"/>
      <c r="J534" s="16"/>
      <c r="K534" s="16"/>
      <c r="L534" s="16"/>
    </row>
    <row r="535" spans="5:12" x14ac:dyDescent="0.2">
      <c r="E535" s="16"/>
      <c r="F535" s="16"/>
      <c r="G535" s="16"/>
      <c r="H535" s="16"/>
      <c r="I535" s="16"/>
      <c r="J535" s="16"/>
      <c r="K535" s="16"/>
      <c r="L535" s="16"/>
    </row>
    <row r="536" spans="5:12" x14ac:dyDescent="0.2">
      <c r="E536" s="16"/>
      <c r="F536" s="16"/>
      <c r="G536" s="16"/>
      <c r="H536" s="16"/>
      <c r="I536" s="16"/>
      <c r="J536" s="16"/>
      <c r="K536" s="16"/>
      <c r="L536" s="16"/>
    </row>
    <row r="537" spans="5:12" x14ac:dyDescent="0.2">
      <c r="E537" s="16"/>
      <c r="F537" s="16"/>
      <c r="G537" s="16"/>
      <c r="H537" s="16"/>
      <c r="I537" s="16"/>
      <c r="J537" s="16"/>
      <c r="K537" s="16"/>
      <c r="L537" s="16"/>
    </row>
    <row r="538" spans="5:12" x14ac:dyDescent="0.2">
      <c r="E538" s="16"/>
      <c r="F538" s="16"/>
      <c r="G538" s="16"/>
      <c r="H538" s="16"/>
      <c r="I538" s="16"/>
      <c r="J538" s="16"/>
      <c r="K538" s="16"/>
      <c r="L538" s="16"/>
    </row>
    <row r="539" spans="5:12" x14ac:dyDescent="0.2">
      <c r="E539" s="16"/>
      <c r="F539" s="16"/>
      <c r="G539" s="16"/>
      <c r="H539" s="16"/>
      <c r="I539" s="16"/>
      <c r="J539" s="16"/>
      <c r="K539" s="16"/>
      <c r="L539" s="16"/>
    </row>
    <row r="540" spans="5:12" x14ac:dyDescent="0.2">
      <c r="E540" s="16"/>
      <c r="F540" s="16"/>
      <c r="G540" s="16"/>
      <c r="H540" s="16"/>
      <c r="I540" s="16"/>
      <c r="J540" s="16"/>
      <c r="K540" s="16"/>
      <c r="L540" s="16"/>
    </row>
    <row r="541" spans="5:12" x14ac:dyDescent="0.2">
      <c r="E541" s="16"/>
      <c r="F541" s="16"/>
      <c r="G541" s="16"/>
      <c r="H541" s="16"/>
      <c r="I541" s="16"/>
      <c r="J541" s="16"/>
      <c r="K541" s="16"/>
      <c r="L541" s="16"/>
    </row>
    <row r="542" spans="5:12" x14ac:dyDescent="0.2">
      <c r="E542" s="16"/>
      <c r="F542" s="16"/>
      <c r="G542" s="16"/>
      <c r="H542" s="16"/>
      <c r="I542" s="16"/>
      <c r="J542" s="16"/>
      <c r="K542" s="16"/>
      <c r="L542" s="16"/>
    </row>
    <row r="543" spans="5:12" x14ac:dyDescent="0.2">
      <c r="E543" s="16"/>
      <c r="F543" s="16"/>
      <c r="G543" s="16"/>
      <c r="H543" s="16"/>
      <c r="I543" s="16"/>
      <c r="J543" s="16"/>
      <c r="K543" s="16"/>
      <c r="L543" s="16"/>
    </row>
    <row r="544" spans="5:12" x14ac:dyDescent="0.2">
      <c r="E544" s="16"/>
      <c r="F544" s="16"/>
      <c r="G544" s="16"/>
      <c r="H544" s="16"/>
      <c r="I544" s="16"/>
      <c r="J544" s="16"/>
      <c r="K544" s="16"/>
      <c r="L544" s="16"/>
    </row>
    <row r="545" spans="5:12" x14ac:dyDescent="0.2">
      <c r="E545" s="16"/>
      <c r="F545" s="16"/>
      <c r="G545" s="16"/>
      <c r="H545" s="16"/>
      <c r="I545" s="16"/>
      <c r="J545" s="16"/>
      <c r="K545" s="16"/>
      <c r="L545" s="16"/>
    </row>
    <row r="546" spans="5:12" x14ac:dyDescent="0.2">
      <c r="E546" s="16"/>
      <c r="F546" s="16"/>
      <c r="G546" s="16"/>
      <c r="H546" s="16"/>
      <c r="I546" s="16"/>
      <c r="J546" s="16"/>
      <c r="K546" s="16"/>
      <c r="L546" s="16"/>
    </row>
    <row r="547" spans="5:12" x14ac:dyDescent="0.2">
      <c r="E547" s="16"/>
      <c r="F547" s="16"/>
      <c r="G547" s="16"/>
      <c r="H547" s="16"/>
      <c r="I547" s="16"/>
      <c r="J547" s="16"/>
      <c r="K547" s="16"/>
      <c r="L547" s="16"/>
    </row>
    <row r="548" spans="5:12" x14ac:dyDescent="0.2">
      <c r="E548" s="16"/>
      <c r="F548" s="16"/>
      <c r="G548" s="16"/>
      <c r="H548" s="16"/>
      <c r="I548" s="16"/>
      <c r="J548" s="16"/>
      <c r="K548" s="16"/>
      <c r="L548" s="16"/>
    </row>
    <row r="549" spans="5:12" x14ac:dyDescent="0.2">
      <c r="E549" s="16"/>
      <c r="F549" s="16"/>
      <c r="G549" s="16"/>
      <c r="H549" s="16"/>
      <c r="I549" s="16"/>
      <c r="J549" s="16"/>
      <c r="K549" s="16"/>
      <c r="L549" s="16"/>
    </row>
    <row r="550" spans="5:12" x14ac:dyDescent="0.2">
      <c r="E550" s="16"/>
      <c r="F550" s="16"/>
      <c r="G550" s="16"/>
      <c r="H550" s="16"/>
      <c r="I550" s="16"/>
      <c r="J550" s="16"/>
      <c r="K550" s="16"/>
      <c r="L550" s="16"/>
    </row>
    <row r="551" spans="5:12" x14ac:dyDescent="0.2">
      <c r="E551" s="16"/>
      <c r="F551" s="16"/>
      <c r="G551" s="16"/>
      <c r="H551" s="16"/>
      <c r="I551" s="16"/>
      <c r="J551" s="16"/>
      <c r="K551" s="16"/>
      <c r="L551" s="16"/>
    </row>
    <row r="552" spans="5:12" x14ac:dyDescent="0.2">
      <c r="E552" s="16"/>
      <c r="F552" s="16"/>
      <c r="G552" s="16"/>
      <c r="H552" s="16"/>
      <c r="I552" s="16"/>
      <c r="J552" s="16"/>
      <c r="K552" s="16"/>
      <c r="L552" s="16"/>
    </row>
    <row r="553" spans="5:12" x14ac:dyDescent="0.2">
      <c r="E553" s="16"/>
      <c r="F553" s="16"/>
      <c r="G553" s="16"/>
      <c r="H553" s="16"/>
      <c r="I553" s="16"/>
      <c r="J553" s="16"/>
      <c r="K553" s="16"/>
      <c r="L553" s="16"/>
    </row>
    <row r="554" spans="5:12" x14ac:dyDescent="0.2">
      <c r="E554" s="16"/>
      <c r="F554" s="16"/>
      <c r="G554" s="16"/>
      <c r="H554" s="16"/>
      <c r="I554" s="16"/>
      <c r="J554" s="16"/>
      <c r="K554" s="16"/>
      <c r="L554" s="16"/>
    </row>
    <row r="555" spans="5:12" x14ac:dyDescent="0.2">
      <c r="E555" s="16"/>
      <c r="F555" s="16"/>
      <c r="G555" s="16"/>
      <c r="H555" s="16"/>
      <c r="I555" s="16"/>
      <c r="J555" s="16"/>
      <c r="K555" s="16"/>
      <c r="L555" s="16"/>
    </row>
    <row r="556" spans="5:12" x14ac:dyDescent="0.2">
      <c r="E556" s="16"/>
      <c r="F556" s="16"/>
      <c r="G556" s="16"/>
      <c r="H556" s="16"/>
      <c r="I556" s="16"/>
      <c r="J556" s="16"/>
      <c r="K556" s="16"/>
      <c r="L556" s="16"/>
    </row>
    <row r="557" spans="5:12" x14ac:dyDescent="0.2">
      <c r="E557" s="16"/>
      <c r="F557" s="16"/>
      <c r="G557" s="16"/>
      <c r="H557" s="16"/>
      <c r="I557" s="16"/>
      <c r="J557" s="16"/>
      <c r="K557" s="16"/>
      <c r="L557" s="16"/>
    </row>
    <row r="558" spans="5:12" x14ac:dyDescent="0.2">
      <c r="E558" s="16"/>
      <c r="F558" s="16"/>
      <c r="G558" s="16"/>
      <c r="H558" s="16"/>
      <c r="I558" s="16"/>
      <c r="J558" s="16"/>
      <c r="K558" s="16"/>
      <c r="L558" s="16"/>
    </row>
    <row r="559" spans="5:12" x14ac:dyDescent="0.2">
      <c r="E559" s="16"/>
      <c r="F559" s="16"/>
      <c r="G559" s="16"/>
      <c r="H559" s="16"/>
      <c r="I559" s="16"/>
      <c r="J559" s="16"/>
      <c r="K559" s="16"/>
      <c r="L559" s="16"/>
    </row>
    <row r="560" spans="5:12" x14ac:dyDescent="0.2">
      <c r="E560" s="16"/>
      <c r="F560" s="16"/>
      <c r="G560" s="16"/>
      <c r="H560" s="16"/>
      <c r="I560" s="16"/>
      <c r="J560" s="16"/>
      <c r="K560" s="16"/>
      <c r="L560" s="16"/>
    </row>
    <row r="561" spans="5:12" x14ac:dyDescent="0.2">
      <c r="E561" s="16"/>
      <c r="F561" s="16"/>
      <c r="G561" s="16"/>
      <c r="H561" s="16"/>
      <c r="I561" s="16"/>
      <c r="J561" s="16"/>
      <c r="K561" s="16"/>
      <c r="L561" s="16"/>
    </row>
    <row r="562" spans="5:12" x14ac:dyDescent="0.2">
      <c r="E562" s="16"/>
      <c r="F562" s="16"/>
      <c r="G562" s="16"/>
      <c r="H562" s="16"/>
      <c r="I562" s="16"/>
      <c r="J562" s="16"/>
      <c r="K562" s="16"/>
      <c r="L562" s="16"/>
    </row>
    <row r="563" spans="5:12" x14ac:dyDescent="0.2">
      <c r="E563" s="16"/>
      <c r="F563" s="16"/>
      <c r="G563" s="16"/>
      <c r="H563" s="16"/>
      <c r="I563" s="16"/>
      <c r="J563" s="16"/>
      <c r="K563" s="16"/>
      <c r="L563" s="16"/>
    </row>
    <row r="564" spans="5:12" x14ac:dyDescent="0.2">
      <c r="E564" s="16"/>
      <c r="F564" s="16"/>
      <c r="G564" s="16"/>
      <c r="H564" s="16"/>
      <c r="I564" s="16"/>
      <c r="J564" s="16"/>
      <c r="K564" s="16"/>
      <c r="L564" s="16"/>
    </row>
    <row r="565" spans="5:12" x14ac:dyDescent="0.2">
      <c r="E565" s="16"/>
      <c r="F565" s="16"/>
      <c r="G565" s="16"/>
      <c r="H565" s="16"/>
      <c r="I565" s="16"/>
      <c r="J565" s="16"/>
      <c r="K565" s="16"/>
      <c r="L565" s="16"/>
    </row>
    <row r="566" spans="5:12" x14ac:dyDescent="0.2">
      <c r="E566" s="16"/>
      <c r="F566" s="16"/>
      <c r="G566" s="16"/>
      <c r="H566" s="16"/>
      <c r="I566" s="16"/>
      <c r="J566" s="16"/>
      <c r="K566" s="16"/>
      <c r="L566" s="16"/>
    </row>
    <row r="567" spans="5:12" x14ac:dyDescent="0.2">
      <c r="E567" s="16"/>
      <c r="F567" s="16"/>
      <c r="G567" s="16"/>
      <c r="H567" s="16"/>
      <c r="I567" s="16"/>
      <c r="J567" s="16"/>
      <c r="K567" s="16"/>
      <c r="L567" s="16"/>
    </row>
    <row r="568" spans="5:12" x14ac:dyDescent="0.2">
      <c r="E568" s="16"/>
      <c r="F568" s="16"/>
      <c r="G568" s="16"/>
      <c r="H568" s="16"/>
      <c r="I568" s="16"/>
      <c r="J568" s="16"/>
      <c r="K568" s="16"/>
      <c r="L568" s="16"/>
    </row>
    <row r="569" spans="5:12" x14ac:dyDescent="0.2">
      <c r="E569" s="16"/>
      <c r="F569" s="16"/>
      <c r="G569" s="16"/>
      <c r="H569" s="16"/>
      <c r="I569" s="16"/>
      <c r="J569" s="16"/>
      <c r="K569" s="16"/>
      <c r="L569" s="16"/>
    </row>
    <row r="570" spans="5:12" x14ac:dyDescent="0.2">
      <c r="E570" s="16"/>
      <c r="F570" s="16"/>
      <c r="G570" s="16"/>
      <c r="H570" s="16"/>
      <c r="I570" s="16"/>
      <c r="J570" s="16"/>
      <c r="K570" s="16"/>
      <c r="L570" s="16"/>
    </row>
    <row r="571" spans="5:12" x14ac:dyDescent="0.2">
      <c r="E571" s="16"/>
      <c r="F571" s="16"/>
      <c r="G571" s="16"/>
      <c r="H571" s="16"/>
      <c r="I571" s="16"/>
      <c r="J571" s="16"/>
      <c r="K571" s="16"/>
      <c r="L571" s="16"/>
    </row>
    <row r="572" spans="5:12" x14ac:dyDescent="0.2">
      <c r="E572" s="16"/>
      <c r="F572" s="16"/>
      <c r="G572" s="16"/>
      <c r="H572" s="16"/>
      <c r="I572" s="16"/>
      <c r="J572" s="16"/>
      <c r="K572" s="16"/>
      <c r="L572" s="16"/>
    </row>
    <row r="573" spans="5:12" x14ac:dyDescent="0.2">
      <c r="E573" s="16"/>
      <c r="F573" s="16"/>
      <c r="G573" s="16"/>
      <c r="H573" s="16"/>
      <c r="I573" s="16"/>
      <c r="J573" s="16"/>
      <c r="K573" s="16"/>
      <c r="L573" s="16"/>
    </row>
    <row r="574" spans="5:12" x14ac:dyDescent="0.2">
      <c r="E574" s="16"/>
      <c r="F574" s="16"/>
      <c r="G574" s="16"/>
      <c r="H574" s="16"/>
      <c r="I574" s="16"/>
      <c r="J574" s="16"/>
      <c r="K574" s="16"/>
      <c r="L574" s="16"/>
    </row>
    <row r="575" spans="5:12" x14ac:dyDescent="0.2">
      <c r="E575" s="16"/>
      <c r="F575" s="16"/>
      <c r="G575" s="16"/>
      <c r="H575" s="16"/>
      <c r="I575" s="16"/>
      <c r="J575" s="16"/>
      <c r="K575" s="16"/>
      <c r="L575" s="16"/>
    </row>
    <row r="576" spans="5:12" x14ac:dyDescent="0.2">
      <c r="E576" s="16"/>
      <c r="F576" s="16"/>
      <c r="G576" s="16"/>
      <c r="H576" s="16"/>
      <c r="I576" s="16"/>
      <c r="J576" s="16"/>
      <c r="K576" s="16"/>
      <c r="L576" s="16"/>
    </row>
    <row r="577" spans="5:12" x14ac:dyDescent="0.2">
      <c r="E577" s="16"/>
      <c r="F577" s="16"/>
      <c r="G577" s="16"/>
      <c r="H577" s="16"/>
      <c r="I577" s="16"/>
      <c r="J577" s="16"/>
      <c r="K577" s="16"/>
      <c r="L577" s="16"/>
    </row>
    <row r="578" spans="5:12" x14ac:dyDescent="0.2">
      <c r="E578" s="16"/>
      <c r="F578" s="16"/>
      <c r="G578" s="16"/>
      <c r="H578" s="16"/>
      <c r="I578" s="16"/>
      <c r="J578" s="16"/>
      <c r="K578" s="16"/>
      <c r="L578" s="16"/>
    </row>
    <row r="579" spans="5:12" x14ac:dyDescent="0.2">
      <c r="E579" s="16"/>
      <c r="F579" s="16"/>
      <c r="G579" s="16"/>
      <c r="H579" s="16"/>
      <c r="I579" s="16"/>
      <c r="J579" s="16"/>
      <c r="K579" s="16"/>
      <c r="L579" s="16"/>
    </row>
    <row r="580" spans="5:12" x14ac:dyDescent="0.2">
      <c r="E580" s="16"/>
      <c r="F580" s="16"/>
      <c r="G580" s="16"/>
      <c r="H580" s="16"/>
      <c r="I580" s="16"/>
      <c r="J580" s="16"/>
      <c r="K580" s="16"/>
      <c r="L580" s="16"/>
    </row>
    <row r="581" spans="5:12" x14ac:dyDescent="0.2">
      <c r="E581" s="16"/>
      <c r="F581" s="16"/>
      <c r="G581" s="16"/>
      <c r="H581" s="16"/>
      <c r="I581" s="16"/>
      <c r="J581" s="16"/>
      <c r="K581" s="16"/>
      <c r="L581" s="16"/>
    </row>
    <row r="582" spans="5:12" x14ac:dyDescent="0.2">
      <c r="E582" s="16"/>
      <c r="F582" s="16"/>
      <c r="G582" s="16"/>
      <c r="H582" s="16"/>
      <c r="I582" s="16"/>
      <c r="J582" s="16"/>
      <c r="K582" s="16"/>
      <c r="L582" s="16"/>
    </row>
    <row r="583" spans="5:12" x14ac:dyDescent="0.2">
      <c r="E583" s="16"/>
      <c r="F583" s="16"/>
      <c r="G583" s="16"/>
      <c r="H583" s="16"/>
      <c r="I583" s="16"/>
      <c r="J583" s="16"/>
      <c r="K583" s="16"/>
      <c r="L583" s="16"/>
    </row>
    <row r="584" spans="5:12" x14ac:dyDescent="0.2">
      <c r="E584" s="16"/>
      <c r="F584" s="16"/>
      <c r="G584" s="16"/>
      <c r="H584" s="16"/>
      <c r="I584" s="16"/>
      <c r="J584" s="16"/>
      <c r="K584" s="16"/>
      <c r="L584" s="16"/>
    </row>
    <row r="585" spans="5:12" x14ac:dyDescent="0.2">
      <c r="E585" s="16"/>
      <c r="F585" s="16"/>
      <c r="G585" s="16"/>
      <c r="H585" s="16"/>
      <c r="I585" s="16"/>
      <c r="J585" s="16"/>
      <c r="K585" s="16"/>
      <c r="L585" s="16"/>
    </row>
    <row r="586" spans="5:12" x14ac:dyDescent="0.2">
      <c r="E586" s="16"/>
      <c r="F586" s="16"/>
      <c r="G586" s="16"/>
      <c r="H586" s="16"/>
      <c r="I586" s="16"/>
      <c r="J586" s="16"/>
      <c r="K586" s="16"/>
      <c r="L586" s="16"/>
    </row>
    <row r="587" spans="5:12" x14ac:dyDescent="0.2">
      <c r="E587" s="16"/>
      <c r="F587" s="16"/>
      <c r="G587" s="16"/>
      <c r="H587" s="16"/>
      <c r="I587" s="16"/>
      <c r="J587" s="16"/>
      <c r="K587" s="16"/>
      <c r="L587" s="16"/>
    </row>
    <row r="588" spans="5:12" x14ac:dyDescent="0.2">
      <c r="E588" s="16"/>
      <c r="F588" s="16"/>
      <c r="G588" s="16"/>
      <c r="H588" s="16"/>
      <c r="I588" s="16"/>
      <c r="J588" s="16"/>
      <c r="K588" s="16"/>
      <c r="L588" s="16"/>
    </row>
    <row r="589" spans="5:12" x14ac:dyDescent="0.2">
      <c r="E589" s="16"/>
      <c r="F589" s="16"/>
      <c r="G589" s="16"/>
      <c r="H589" s="16"/>
      <c r="I589" s="16"/>
      <c r="J589" s="16"/>
      <c r="K589" s="16"/>
      <c r="L589" s="16"/>
    </row>
    <row r="590" spans="5:12" x14ac:dyDescent="0.2">
      <c r="E590" s="16"/>
      <c r="F590" s="16"/>
      <c r="G590" s="16"/>
      <c r="H590" s="16"/>
      <c r="I590" s="16"/>
      <c r="J590" s="16"/>
      <c r="K590" s="16"/>
      <c r="L590" s="16"/>
    </row>
    <row r="591" spans="5:12" x14ac:dyDescent="0.2">
      <c r="E591" s="16"/>
      <c r="F591" s="16"/>
      <c r="G591" s="16"/>
      <c r="H591" s="16"/>
      <c r="I591" s="16"/>
      <c r="J591" s="16"/>
      <c r="K591" s="16"/>
      <c r="L591" s="16"/>
    </row>
    <row r="592" spans="5:12" x14ac:dyDescent="0.2">
      <c r="E592" s="16"/>
      <c r="F592" s="16"/>
      <c r="G592" s="16"/>
      <c r="H592" s="16"/>
      <c r="I592" s="16"/>
      <c r="J592" s="16"/>
      <c r="K592" s="16"/>
      <c r="L592" s="16"/>
    </row>
    <row r="593" spans="5:12" x14ac:dyDescent="0.2">
      <c r="E593" s="16"/>
      <c r="F593" s="16"/>
      <c r="G593" s="16"/>
      <c r="H593" s="16"/>
      <c r="I593" s="16"/>
      <c r="J593" s="16"/>
      <c r="K593" s="16"/>
      <c r="L593" s="16"/>
    </row>
    <row r="594" spans="5:12" x14ac:dyDescent="0.2">
      <c r="E594" s="16"/>
      <c r="F594" s="16"/>
      <c r="G594" s="16"/>
      <c r="H594" s="16"/>
      <c r="I594" s="16"/>
      <c r="J594" s="16"/>
      <c r="K594" s="16"/>
      <c r="L594" s="16"/>
    </row>
    <row r="595" spans="5:12" x14ac:dyDescent="0.2">
      <c r="E595" s="16"/>
      <c r="F595" s="16"/>
      <c r="G595" s="16"/>
      <c r="H595" s="16"/>
      <c r="I595" s="16"/>
      <c r="J595" s="16"/>
      <c r="K595" s="16"/>
      <c r="L595" s="16"/>
    </row>
    <row r="596" spans="5:12" x14ac:dyDescent="0.2">
      <c r="E596" s="16"/>
      <c r="F596" s="16"/>
      <c r="G596" s="16"/>
      <c r="H596" s="16"/>
      <c r="I596" s="16"/>
      <c r="J596" s="16"/>
      <c r="K596" s="16"/>
      <c r="L596" s="16"/>
    </row>
    <row r="597" spans="5:12" x14ac:dyDescent="0.2">
      <c r="E597" s="16"/>
      <c r="F597" s="16"/>
      <c r="G597" s="16"/>
      <c r="H597" s="16"/>
      <c r="I597" s="16"/>
      <c r="J597" s="16"/>
      <c r="K597" s="16"/>
      <c r="L597" s="16"/>
    </row>
    <row r="598" spans="5:12" x14ac:dyDescent="0.2">
      <c r="E598" s="16"/>
      <c r="F598" s="16"/>
      <c r="G598" s="16"/>
      <c r="H598" s="16"/>
      <c r="I598" s="16"/>
      <c r="J598" s="16"/>
      <c r="K598" s="16"/>
      <c r="L598" s="16"/>
    </row>
    <row r="599" spans="5:12" x14ac:dyDescent="0.2">
      <c r="E599" s="16"/>
      <c r="F599" s="16"/>
      <c r="G599" s="16"/>
      <c r="H599" s="16"/>
      <c r="I599" s="16"/>
      <c r="J599" s="16"/>
      <c r="K599" s="16"/>
      <c r="L599" s="16"/>
    </row>
    <row r="600" spans="5:12" x14ac:dyDescent="0.2">
      <c r="E600" s="16"/>
      <c r="F600" s="16"/>
      <c r="G600" s="16"/>
      <c r="H600" s="16"/>
      <c r="I600" s="16"/>
      <c r="J600" s="16"/>
      <c r="K600" s="16"/>
      <c r="L600" s="16"/>
    </row>
    <row r="601" spans="5:12" x14ac:dyDescent="0.2">
      <c r="E601" s="16"/>
      <c r="F601" s="16"/>
      <c r="G601" s="16"/>
      <c r="H601" s="16"/>
      <c r="I601" s="16"/>
      <c r="J601" s="16"/>
      <c r="K601" s="16"/>
      <c r="L601" s="16"/>
    </row>
    <row r="602" spans="5:12" x14ac:dyDescent="0.2">
      <c r="E602" s="16"/>
      <c r="F602" s="16"/>
      <c r="G602" s="16"/>
      <c r="H602" s="16"/>
      <c r="I602" s="16"/>
      <c r="J602" s="16"/>
      <c r="K602" s="16"/>
      <c r="L602" s="16"/>
    </row>
    <row r="603" spans="5:12" x14ac:dyDescent="0.2">
      <c r="E603" s="16"/>
      <c r="F603" s="16"/>
      <c r="G603" s="16"/>
      <c r="H603" s="16"/>
      <c r="I603" s="16"/>
      <c r="J603" s="16"/>
      <c r="K603" s="16"/>
      <c r="L603" s="16"/>
    </row>
    <row r="604" spans="5:12" x14ac:dyDescent="0.2">
      <c r="E604" s="16"/>
      <c r="F604" s="16"/>
      <c r="G604" s="16"/>
      <c r="H604" s="16"/>
      <c r="I604" s="16"/>
      <c r="J604" s="16"/>
      <c r="K604" s="16"/>
      <c r="L604" s="16"/>
    </row>
    <row r="605" spans="5:12" x14ac:dyDescent="0.2">
      <c r="E605" s="16"/>
      <c r="F605" s="16"/>
      <c r="G605" s="16"/>
      <c r="H605" s="16"/>
      <c r="I605" s="16"/>
      <c r="J605" s="16"/>
      <c r="K605" s="16"/>
      <c r="L605" s="16"/>
    </row>
    <row r="606" spans="5:12" x14ac:dyDescent="0.2">
      <c r="E606" s="16"/>
      <c r="F606" s="16"/>
      <c r="G606" s="16"/>
      <c r="H606" s="16"/>
      <c r="I606" s="16"/>
      <c r="J606" s="16"/>
      <c r="K606" s="16"/>
      <c r="L606" s="16"/>
    </row>
    <row r="607" spans="5:12" x14ac:dyDescent="0.2">
      <c r="E607" s="16"/>
      <c r="F607" s="16"/>
      <c r="G607" s="16"/>
      <c r="H607" s="16"/>
      <c r="I607" s="16"/>
      <c r="J607" s="16"/>
      <c r="K607" s="16"/>
      <c r="L607" s="16"/>
    </row>
    <row r="608" spans="5:12" x14ac:dyDescent="0.2">
      <c r="E608" s="16"/>
      <c r="F608" s="16"/>
      <c r="G608" s="16"/>
      <c r="H608" s="16"/>
      <c r="I608" s="16"/>
      <c r="J608" s="16"/>
      <c r="K608" s="16"/>
      <c r="L608" s="16"/>
    </row>
    <row r="609" spans="5:12" x14ac:dyDescent="0.2">
      <c r="E609" s="16"/>
      <c r="F609" s="16"/>
      <c r="G609" s="16"/>
      <c r="H609" s="16"/>
      <c r="I609" s="16"/>
      <c r="J609" s="16"/>
      <c r="K609" s="16"/>
      <c r="L609" s="16"/>
    </row>
    <row r="610" spans="5:12" x14ac:dyDescent="0.2">
      <c r="E610" s="16"/>
      <c r="F610" s="16"/>
      <c r="G610" s="16"/>
      <c r="H610" s="16"/>
      <c r="I610" s="16"/>
      <c r="J610" s="16"/>
      <c r="K610" s="16"/>
      <c r="L610" s="16"/>
    </row>
    <row r="611" spans="5:12" x14ac:dyDescent="0.2">
      <c r="E611" s="16"/>
      <c r="F611" s="16"/>
      <c r="G611" s="16"/>
      <c r="H611" s="16"/>
      <c r="I611" s="16"/>
      <c r="J611" s="16"/>
      <c r="K611" s="16"/>
      <c r="L611" s="16"/>
    </row>
    <row r="612" spans="5:12" x14ac:dyDescent="0.2">
      <c r="E612" s="16"/>
      <c r="F612" s="16"/>
      <c r="G612" s="16"/>
      <c r="H612" s="16"/>
      <c r="I612" s="16"/>
      <c r="J612" s="16"/>
      <c r="K612" s="16"/>
      <c r="L612" s="16"/>
    </row>
    <row r="613" spans="5:12" x14ac:dyDescent="0.2">
      <c r="E613" s="16"/>
      <c r="F613" s="16"/>
      <c r="G613" s="16"/>
      <c r="H613" s="16"/>
      <c r="I613" s="16"/>
      <c r="J613" s="16"/>
      <c r="K613" s="16"/>
      <c r="L613" s="16"/>
    </row>
    <row r="614" spans="5:12" x14ac:dyDescent="0.2">
      <c r="E614" s="16"/>
      <c r="F614" s="16"/>
      <c r="G614" s="16"/>
      <c r="H614" s="16"/>
      <c r="I614" s="16"/>
      <c r="J614" s="16"/>
      <c r="K614" s="16"/>
      <c r="L614" s="16"/>
    </row>
    <row r="615" spans="5:12" x14ac:dyDescent="0.2">
      <c r="E615" s="16"/>
      <c r="F615" s="16"/>
      <c r="G615" s="16"/>
      <c r="H615" s="16"/>
      <c r="I615" s="16"/>
      <c r="J615" s="16"/>
      <c r="K615" s="16"/>
      <c r="L615" s="16"/>
    </row>
    <row r="616" spans="5:12" x14ac:dyDescent="0.2">
      <c r="E616" s="16"/>
      <c r="F616" s="16"/>
      <c r="G616" s="16"/>
      <c r="H616" s="16"/>
      <c r="I616" s="16"/>
      <c r="J616" s="16"/>
      <c r="K616" s="16"/>
      <c r="L616" s="16"/>
    </row>
    <row r="617" spans="5:12" x14ac:dyDescent="0.2">
      <c r="E617" s="16"/>
      <c r="F617" s="16"/>
      <c r="G617" s="16"/>
      <c r="H617" s="16"/>
      <c r="I617" s="16"/>
      <c r="J617" s="16"/>
      <c r="K617" s="16"/>
      <c r="L617" s="16"/>
    </row>
    <row r="618" spans="5:12" x14ac:dyDescent="0.2">
      <c r="E618" s="16"/>
      <c r="F618" s="16"/>
      <c r="G618" s="16"/>
      <c r="H618" s="16"/>
      <c r="I618" s="16"/>
      <c r="J618" s="16"/>
      <c r="K618" s="16"/>
      <c r="L618" s="16"/>
    </row>
    <row r="619" spans="5:12" x14ac:dyDescent="0.2">
      <c r="E619" s="16"/>
      <c r="F619" s="16"/>
      <c r="G619" s="16"/>
      <c r="H619" s="16"/>
      <c r="I619" s="16"/>
      <c r="J619" s="16"/>
      <c r="K619" s="16"/>
      <c r="L619" s="16"/>
    </row>
    <row r="620" spans="5:12" x14ac:dyDescent="0.2">
      <c r="E620" s="16"/>
      <c r="F620" s="16"/>
      <c r="G620" s="16"/>
      <c r="H620" s="16"/>
      <c r="I620" s="16"/>
      <c r="J620" s="16"/>
      <c r="K620" s="16"/>
      <c r="L620" s="16"/>
    </row>
    <row r="621" spans="5:12" x14ac:dyDescent="0.2">
      <c r="E621" s="16"/>
      <c r="F621" s="16"/>
      <c r="G621" s="16"/>
      <c r="H621" s="16"/>
      <c r="I621" s="16"/>
      <c r="J621" s="16"/>
      <c r="K621" s="16"/>
      <c r="L621" s="16"/>
    </row>
    <row r="622" spans="5:12" x14ac:dyDescent="0.2">
      <c r="E622" s="16"/>
      <c r="F622" s="16"/>
      <c r="G622" s="16"/>
      <c r="H622" s="16"/>
      <c r="I622" s="16"/>
      <c r="J622" s="16"/>
      <c r="K622" s="16"/>
      <c r="L622" s="16"/>
    </row>
    <row r="623" spans="5:12" x14ac:dyDescent="0.2">
      <c r="E623" s="16"/>
      <c r="F623" s="16"/>
      <c r="G623" s="16"/>
      <c r="H623" s="16"/>
      <c r="I623" s="16"/>
      <c r="J623" s="16"/>
      <c r="K623" s="16"/>
      <c r="L623" s="16"/>
    </row>
    <row r="624" spans="5:12" x14ac:dyDescent="0.2">
      <c r="E624" s="16"/>
      <c r="F624" s="16"/>
      <c r="G624" s="16"/>
      <c r="H624" s="16"/>
      <c r="I624" s="16"/>
      <c r="J624" s="16"/>
      <c r="K624" s="16"/>
      <c r="L624" s="16"/>
    </row>
    <row r="625" spans="5:12" x14ac:dyDescent="0.2">
      <c r="E625" s="16"/>
      <c r="F625" s="16"/>
      <c r="G625" s="16"/>
      <c r="H625" s="16"/>
      <c r="I625" s="16"/>
      <c r="J625" s="16"/>
      <c r="K625" s="16"/>
      <c r="L625" s="16"/>
    </row>
    <row r="626" spans="5:12" x14ac:dyDescent="0.2">
      <c r="E626" s="16"/>
      <c r="F626" s="16"/>
      <c r="G626" s="16"/>
      <c r="H626" s="16"/>
      <c r="I626" s="16"/>
      <c r="J626" s="16"/>
      <c r="K626" s="16"/>
      <c r="L626" s="16"/>
    </row>
    <row r="627" spans="5:12" x14ac:dyDescent="0.2">
      <c r="E627" s="16"/>
      <c r="F627" s="16"/>
      <c r="G627" s="16"/>
      <c r="H627" s="16"/>
      <c r="I627" s="16"/>
      <c r="J627" s="16"/>
      <c r="K627" s="16"/>
      <c r="L627" s="16"/>
    </row>
    <row r="628" spans="5:12" x14ac:dyDescent="0.2">
      <c r="E628" s="16"/>
      <c r="F628" s="16"/>
      <c r="G628" s="16"/>
      <c r="H628" s="16"/>
      <c r="I628" s="16"/>
      <c r="J628" s="16"/>
      <c r="K628" s="16"/>
      <c r="L628" s="16"/>
    </row>
    <row r="629" spans="5:12" x14ac:dyDescent="0.2">
      <c r="E629" s="16"/>
      <c r="F629" s="16"/>
      <c r="G629" s="16"/>
      <c r="H629" s="16"/>
      <c r="I629" s="16"/>
      <c r="J629" s="16"/>
      <c r="K629" s="16"/>
      <c r="L629" s="16"/>
    </row>
    <row r="630" spans="5:12" x14ac:dyDescent="0.2">
      <c r="E630" s="16"/>
      <c r="F630" s="16"/>
      <c r="G630" s="16"/>
      <c r="H630" s="16"/>
      <c r="I630" s="16"/>
      <c r="J630" s="16"/>
      <c r="K630" s="16"/>
      <c r="L630" s="16"/>
    </row>
    <row r="631" spans="5:12" x14ac:dyDescent="0.2">
      <c r="E631" s="16"/>
      <c r="F631" s="16"/>
      <c r="G631" s="16"/>
      <c r="H631" s="16"/>
      <c r="I631" s="16"/>
      <c r="J631" s="16"/>
      <c r="K631" s="16"/>
      <c r="L631" s="16"/>
    </row>
    <row r="632" spans="5:12" x14ac:dyDescent="0.2">
      <c r="E632" s="16"/>
      <c r="F632" s="16"/>
      <c r="G632" s="16"/>
      <c r="H632" s="16"/>
      <c r="I632" s="16"/>
      <c r="J632" s="16"/>
      <c r="K632" s="16"/>
      <c r="L632" s="16"/>
    </row>
    <row r="633" spans="5:12" x14ac:dyDescent="0.2">
      <c r="E633" s="16"/>
      <c r="F633" s="16"/>
      <c r="G633" s="16"/>
      <c r="H633" s="16"/>
      <c r="I633" s="16"/>
      <c r="J633" s="16"/>
      <c r="K633" s="16"/>
      <c r="L633" s="16"/>
    </row>
    <row r="634" spans="5:12" x14ac:dyDescent="0.2">
      <c r="E634" s="16"/>
      <c r="F634" s="16"/>
      <c r="G634" s="16"/>
      <c r="H634" s="16"/>
      <c r="I634" s="16"/>
      <c r="J634" s="16"/>
      <c r="K634" s="16"/>
      <c r="L634" s="16"/>
    </row>
    <row r="635" spans="5:12" x14ac:dyDescent="0.2">
      <c r="E635" s="16"/>
      <c r="F635" s="16"/>
      <c r="G635" s="16"/>
      <c r="H635" s="16"/>
      <c r="I635" s="16"/>
      <c r="J635" s="16"/>
      <c r="K635" s="16"/>
      <c r="L635" s="16"/>
    </row>
    <row r="636" spans="5:12" x14ac:dyDescent="0.2">
      <c r="E636" s="16"/>
      <c r="F636" s="16"/>
      <c r="G636" s="16"/>
      <c r="H636" s="16"/>
      <c r="I636" s="16"/>
      <c r="J636" s="16"/>
      <c r="K636" s="16"/>
      <c r="L636" s="16"/>
    </row>
    <row r="637" spans="5:12" x14ac:dyDescent="0.2">
      <c r="E637" s="16"/>
      <c r="F637" s="16"/>
      <c r="G637" s="16"/>
      <c r="H637" s="16"/>
      <c r="I637" s="16"/>
      <c r="J637" s="16"/>
      <c r="K637" s="16"/>
      <c r="L637" s="16"/>
    </row>
    <row r="638" spans="5:12" x14ac:dyDescent="0.2">
      <c r="E638" s="16"/>
      <c r="F638" s="16"/>
      <c r="G638" s="16"/>
      <c r="H638" s="16"/>
      <c r="I638" s="16"/>
      <c r="J638" s="16"/>
      <c r="K638" s="16"/>
      <c r="L638" s="16"/>
    </row>
    <row r="639" spans="5:12" x14ac:dyDescent="0.2">
      <c r="E639" s="16"/>
      <c r="F639" s="16"/>
      <c r="G639" s="16"/>
      <c r="H639" s="16"/>
      <c r="I639" s="16"/>
      <c r="J639" s="16"/>
      <c r="K639" s="16"/>
      <c r="L639" s="16"/>
    </row>
    <row r="640" spans="5:12" x14ac:dyDescent="0.2">
      <c r="E640" s="16"/>
      <c r="F640" s="16"/>
      <c r="G640" s="16"/>
      <c r="H640" s="16"/>
      <c r="I640" s="16"/>
      <c r="J640" s="16"/>
      <c r="K640" s="16"/>
      <c r="L640" s="16"/>
    </row>
    <row r="641" spans="5:12" x14ac:dyDescent="0.2">
      <c r="E641" s="16"/>
      <c r="F641" s="16"/>
      <c r="G641" s="16"/>
      <c r="H641" s="16"/>
      <c r="I641" s="16"/>
      <c r="J641" s="16"/>
      <c r="K641" s="16"/>
      <c r="L641" s="16"/>
    </row>
    <row r="642" spans="5:12" x14ac:dyDescent="0.2">
      <c r="E642" s="16"/>
      <c r="F642" s="16"/>
      <c r="G642" s="16"/>
      <c r="H642" s="16"/>
      <c r="I642" s="16"/>
      <c r="J642" s="16"/>
      <c r="K642" s="16"/>
      <c r="L642" s="16"/>
    </row>
    <row r="643" spans="5:12" x14ac:dyDescent="0.2">
      <c r="E643" s="16"/>
      <c r="F643" s="16"/>
      <c r="G643" s="16"/>
      <c r="H643" s="16"/>
      <c r="I643" s="16"/>
      <c r="J643" s="16"/>
      <c r="K643" s="16"/>
      <c r="L643" s="16"/>
    </row>
    <row r="644" spans="5:12" x14ac:dyDescent="0.2">
      <c r="E644" s="16"/>
      <c r="F644" s="16"/>
      <c r="G644" s="16"/>
      <c r="H644" s="16"/>
      <c r="I644" s="16"/>
      <c r="J644" s="16"/>
      <c r="K644" s="16"/>
      <c r="L644" s="16"/>
    </row>
    <row r="645" spans="5:12" x14ac:dyDescent="0.2">
      <c r="E645" s="16"/>
      <c r="F645" s="16"/>
      <c r="G645" s="16"/>
      <c r="H645" s="16"/>
      <c r="I645" s="16"/>
      <c r="J645" s="16"/>
      <c r="K645" s="16"/>
      <c r="L645" s="16"/>
    </row>
    <row r="646" spans="5:12" x14ac:dyDescent="0.2">
      <c r="E646" s="16"/>
      <c r="F646" s="16"/>
      <c r="G646" s="16"/>
      <c r="H646" s="16"/>
      <c r="I646" s="16"/>
      <c r="J646" s="16"/>
      <c r="K646" s="16"/>
      <c r="L646" s="16"/>
    </row>
    <row r="647" spans="5:12" x14ac:dyDescent="0.2">
      <c r="E647" s="16"/>
      <c r="F647" s="16"/>
      <c r="G647" s="16"/>
      <c r="H647" s="16"/>
      <c r="I647" s="16"/>
      <c r="J647" s="16"/>
      <c r="K647" s="16"/>
      <c r="L647" s="16"/>
    </row>
    <row r="648" spans="5:12" x14ac:dyDescent="0.2">
      <c r="E648" s="16"/>
      <c r="F648" s="16"/>
      <c r="G648" s="16"/>
      <c r="H648" s="16"/>
      <c r="I648" s="16"/>
      <c r="J648" s="16"/>
      <c r="K648" s="16"/>
      <c r="L648" s="16"/>
    </row>
    <row r="649" spans="5:12" x14ac:dyDescent="0.2">
      <c r="E649" s="16"/>
      <c r="F649" s="16"/>
      <c r="G649" s="16"/>
      <c r="H649" s="16"/>
      <c r="I649" s="16"/>
      <c r="J649" s="16"/>
      <c r="K649" s="16"/>
      <c r="L649" s="16"/>
    </row>
    <row r="650" spans="5:12" x14ac:dyDescent="0.2">
      <c r="E650" s="16"/>
      <c r="F650" s="16"/>
      <c r="G650" s="16"/>
      <c r="H650" s="16"/>
      <c r="I650" s="16"/>
      <c r="J650" s="16"/>
      <c r="K650" s="16"/>
      <c r="L650" s="16"/>
    </row>
    <row r="651" spans="5:12" x14ac:dyDescent="0.2">
      <c r="E651" s="16"/>
      <c r="F651" s="16"/>
      <c r="G651" s="16"/>
      <c r="H651" s="16"/>
      <c r="I651" s="16"/>
      <c r="J651" s="16"/>
      <c r="K651" s="16"/>
      <c r="L651" s="16"/>
    </row>
    <row r="652" spans="5:12" x14ac:dyDescent="0.2">
      <c r="E652" s="16"/>
      <c r="F652" s="16"/>
      <c r="G652" s="16"/>
      <c r="H652" s="16"/>
      <c r="I652" s="16"/>
      <c r="J652" s="16"/>
      <c r="K652" s="16"/>
      <c r="L652" s="16"/>
    </row>
    <row r="653" spans="5:12" x14ac:dyDescent="0.2">
      <c r="E653" s="16"/>
      <c r="F653" s="16"/>
      <c r="G653" s="16"/>
      <c r="H653" s="16"/>
      <c r="I653" s="16"/>
      <c r="J653" s="16"/>
      <c r="K653" s="16"/>
      <c r="L653" s="16"/>
    </row>
    <row r="654" spans="5:12" x14ac:dyDescent="0.2">
      <c r="E654" s="16"/>
      <c r="F654" s="16"/>
      <c r="G654" s="16"/>
      <c r="H654" s="16"/>
      <c r="I654" s="16"/>
      <c r="J654" s="16"/>
      <c r="K654" s="16"/>
      <c r="L654" s="16"/>
    </row>
    <row r="655" spans="5:12" x14ac:dyDescent="0.2">
      <c r="E655" s="16"/>
      <c r="F655" s="16"/>
      <c r="G655" s="16"/>
      <c r="H655" s="16"/>
      <c r="I655" s="16"/>
      <c r="J655" s="16"/>
      <c r="K655" s="16"/>
      <c r="L655" s="16"/>
    </row>
    <row r="656" spans="5:12" x14ac:dyDescent="0.2">
      <c r="E656" s="16"/>
      <c r="F656" s="16"/>
      <c r="G656" s="16"/>
      <c r="H656" s="16"/>
      <c r="I656" s="16"/>
      <c r="J656" s="16"/>
      <c r="K656" s="16"/>
      <c r="L656" s="16"/>
    </row>
    <row r="657" spans="5:12" x14ac:dyDescent="0.2">
      <c r="E657" s="16"/>
      <c r="F657" s="16"/>
      <c r="G657" s="16"/>
      <c r="H657" s="16"/>
      <c r="I657" s="16"/>
      <c r="J657" s="16"/>
      <c r="K657" s="16"/>
      <c r="L657" s="16"/>
    </row>
    <row r="658" spans="5:12" x14ac:dyDescent="0.2">
      <c r="E658" s="16"/>
      <c r="F658" s="16"/>
      <c r="G658" s="16"/>
      <c r="H658" s="16"/>
      <c r="I658" s="16"/>
      <c r="J658" s="16"/>
      <c r="K658" s="16"/>
      <c r="L658" s="16"/>
    </row>
    <row r="659" spans="5:12" x14ac:dyDescent="0.2">
      <c r="E659" s="16"/>
      <c r="F659" s="16"/>
      <c r="G659" s="16"/>
      <c r="H659" s="16"/>
      <c r="I659" s="16"/>
      <c r="J659" s="16"/>
      <c r="K659" s="16"/>
      <c r="L659" s="16"/>
    </row>
    <row r="660" spans="5:12" x14ac:dyDescent="0.2">
      <c r="E660" s="16"/>
      <c r="F660" s="16"/>
      <c r="G660" s="16"/>
      <c r="H660" s="16"/>
      <c r="I660" s="16"/>
      <c r="J660" s="16"/>
      <c r="K660" s="16"/>
      <c r="L660" s="16"/>
    </row>
    <row r="661" spans="5:12" x14ac:dyDescent="0.2">
      <c r="E661" s="16"/>
      <c r="F661" s="16"/>
      <c r="G661" s="16"/>
      <c r="H661" s="16"/>
      <c r="I661" s="16"/>
      <c r="J661" s="16"/>
      <c r="K661" s="16"/>
      <c r="L661" s="16"/>
    </row>
    <row r="662" spans="5:12" x14ac:dyDescent="0.2">
      <c r="E662" s="16"/>
      <c r="F662" s="16"/>
      <c r="G662" s="16"/>
      <c r="H662" s="16"/>
      <c r="I662" s="16"/>
      <c r="J662" s="16"/>
      <c r="K662" s="16"/>
      <c r="L662" s="16"/>
    </row>
    <row r="663" spans="5:12" x14ac:dyDescent="0.2">
      <c r="E663" s="16"/>
      <c r="F663" s="16"/>
      <c r="G663" s="16"/>
      <c r="H663" s="16"/>
      <c r="I663" s="16"/>
      <c r="J663" s="16"/>
      <c r="K663" s="16"/>
      <c r="L663" s="16"/>
    </row>
    <row r="664" spans="5:12" x14ac:dyDescent="0.2">
      <c r="E664" s="16"/>
      <c r="F664" s="16"/>
      <c r="G664" s="16"/>
      <c r="H664" s="16"/>
      <c r="I664" s="16"/>
      <c r="J664" s="16"/>
      <c r="K664" s="16"/>
      <c r="L664" s="16"/>
    </row>
    <row r="665" spans="5:12" x14ac:dyDescent="0.2">
      <c r="E665" s="16"/>
      <c r="F665" s="16"/>
      <c r="G665" s="16"/>
      <c r="H665" s="16"/>
      <c r="I665" s="16"/>
      <c r="J665" s="16"/>
      <c r="K665" s="16"/>
      <c r="L665" s="16"/>
    </row>
    <row r="666" spans="5:12" x14ac:dyDescent="0.2">
      <c r="E666" s="16"/>
      <c r="F666" s="16"/>
      <c r="G666" s="16"/>
      <c r="H666" s="16"/>
      <c r="I666" s="16"/>
      <c r="J666" s="16"/>
      <c r="K666" s="16"/>
      <c r="L666" s="16"/>
    </row>
    <row r="667" spans="5:12" x14ac:dyDescent="0.2">
      <c r="E667" s="16"/>
      <c r="F667" s="16"/>
      <c r="G667" s="16"/>
      <c r="H667" s="16"/>
      <c r="I667" s="16"/>
      <c r="J667" s="16"/>
      <c r="K667" s="16"/>
      <c r="L667" s="16"/>
    </row>
    <row r="668" spans="5:12" x14ac:dyDescent="0.2">
      <c r="E668" s="16"/>
      <c r="F668" s="16"/>
      <c r="G668" s="16"/>
      <c r="H668" s="16"/>
      <c r="I668" s="16"/>
      <c r="J668" s="16"/>
      <c r="K668" s="16"/>
      <c r="L668" s="16"/>
    </row>
    <row r="669" spans="5:12" x14ac:dyDescent="0.2">
      <c r="E669" s="16"/>
      <c r="F669" s="16"/>
      <c r="G669" s="16"/>
      <c r="H669" s="16"/>
      <c r="I669" s="16"/>
      <c r="J669" s="16"/>
      <c r="K669" s="16"/>
      <c r="L669" s="16"/>
    </row>
    <row r="670" spans="5:12" x14ac:dyDescent="0.2">
      <c r="E670" s="16"/>
      <c r="F670" s="16"/>
      <c r="G670" s="16"/>
      <c r="H670" s="16"/>
      <c r="I670" s="16"/>
      <c r="J670" s="16"/>
      <c r="K670" s="16"/>
      <c r="L670" s="16"/>
    </row>
    <row r="671" spans="5:12" x14ac:dyDescent="0.2">
      <c r="E671" s="16"/>
      <c r="F671" s="16"/>
      <c r="G671" s="16"/>
      <c r="H671" s="16"/>
      <c r="I671" s="16"/>
      <c r="J671" s="16"/>
      <c r="K671" s="16"/>
      <c r="L671" s="16"/>
    </row>
    <row r="672" spans="5:12" x14ac:dyDescent="0.2">
      <c r="E672" s="16"/>
      <c r="F672" s="16"/>
      <c r="G672" s="16"/>
      <c r="H672" s="16"/>
      <c r="I672" s="16"/>
      <c r="J672" s="16"/>
      <c r="K672" s="16"/>
      <c r="L672" s="16"/>
    </row>
    <row r="673" spans="5:12" x14ac:dyDescent="0.2">
      <c r="E673" s="16"/>
      <c r="F673" s="16"/>
      <c r="G673" s="16"/>
      <c r="H673" s="16"/>
      <c r="I673" s="16"/>
      <c r="J673" s="16"/>
      <c r="K673" s="16"/>
      <c r="L673" s="16"/>
    </row>
    <row r="674" spans="5:12" x14ac:dyDescent="0.2">
      <c r="E674" s="16"/>
      <c r="F674" s="16"/>
      <c r="G674" s="16"/>
      <c r="H674" s="16"/>
      <c r="I674" s="16"/>
      <c r="J674" s="16"/>
      <c r="K674" s="16"/>
      <c r="L674" s="16"/>
    </row>
    <row r="675" spans="5:12" x14ac:dyDescent="0.2">
      <c r="E675" s="16"/>
      <c r="F675" s="16"/>
      <c r="G675" s="16"/>
      <c r="H675" s="16"/>
      <c r="I675" s="16"/>
      <c r="J675" s="16"/>
      <c r="K675" s="16"/>
      <c r="L675" s="16"/>
    </row>
    <row r="676" spans="5:12" x14ac:dyDescent="0.2">
      <c r="E676" s="16"/>
      <c r="F676" s="16"/>
      <c r="G676" s="16"/>
      <c r="H676" s="16"/>
      <c r="I676" s="16"/>
      <c r="J676" s="16"/>
      <c r="K676" s="16"/>
      <c r="L676" s="16"/>
    </row>
    <row r="677" spans="5:12" x14ac:dyDescent="0.2">
      <c r="E677" s="16"/>
      <c r="F677" s="16"/>
      <c r="G677" s="16"/>
      <c r="H677" s="16"/>
      <c r="I677" s="16"/>
      <c r="J677" s="16"/>
      <c r="K677" s="16"/>
      <c r="L677" s="16"/>
    </row>
    <row r="678" spans="5:12" x14ac:dyDescent="0.2">
      <c r="E678" s="16"/>
      <c r="F678" s="16"/>
      <c r="G678" s="16"/>
      <c r="H678" s="16"/>
      <c r="I678" s="16"/>
      <c r="J678" s="16"/>
      <c r="K678" s="16"/>
      <c r="L678" s="16"/>
    </row>
    <row r="679" spans="5:12" x14ac:dyDescent="0.2">
      <c r="E679" s="16"/>
      <c r="F679" s="16"/>
      <c r="G679" s="16"/>
      <c r="H679" s="16"/>
      <c r="I679" s="16"/>
      <c r="J679" s="16"/>
      <c r="K679" s="16"/>
      <c r="L679" s="16"/>
    </row>
    <row r="680" spans="5:12" x14ac:dyDescent="0.2">
      <c r="E680" s="16"/>
      <c r="F680" s="16"/>
      <c r="G680" s="16"/>
      <c r="H680" s="16"/>
      <c r="I680" s="16"/>
      <c r="J680" s="16"/>
      <c r="K680" s="16"/>
      <c r="L680" s="16"/>
    </row>
    <row r="681" spans="5:12" x14ac:dyDescent="0.2">
      <c r="E681" s="16"/>
      <c r="F681" s="16"/>
      <c r="G681" s="16"/>
      <c r="H681" s="16"/>
      <c r="I681" s="16"/>
      <c r="J681" s="16"/>
      <c r="K681" s="16"/>
      <c r="L681" s="16"/>
    </row>
    <row r="682" spans="5:12" x14ac:dyDescent="0.2">
      <c r="E682" s="16"/>
      <c r="F682" s="16"/>
      <c r="G682" s="16"/>
      <c r="H682" s="16"/>
      <c r="I682" s="16"/>
      <c r="J682" s="16"/>
      <c r="K682" s="16"/>
      <c r="L682" s="16"/>
    </row>
    <row r="683" spans="5:12" x14ac:dyDescent="0.2">
      <c r="E683" s="16"/>
      <c r="F683" s="16"/>
      <c r="G683" s="16"/>
      <c r="H683" s="16"/>
      <c r="I683" s="16"/>
      <c r="J683" s="16"/>
      <c r="K683" s="16"/>
      <c r="L683" s="16"/>
    </row>
    <row r="684" spans="5:12" x14ac:dyDescent="0.2">
      <c r="E684" s="16"/>
      <c r="F684" s="16"/>
      <c r="G684" s="16"/>
      <c r="H684" s="16"/>
      <c r="I684" s="16"/>
      <c r="J684" s="16"/>
      <c r="K684" s="16"/>
      <c r="L684" s="16"/>
    </row>
    <row r="685" spans="5:12" x14ac:dyDescent="0.2">
      <c r="E685" s="16"/>
      <c r="F685" s="16"/>
      <c r="G685" s="16"/>
      <c r="H685" s="16"/>
      <c r="I685" s="16"/>
      <c r="J685" s="16"/>
      <c r="K685" s="16"/>
      <c r="L685" s="16"/>
    </row>
    <row r="686" spans="5:12" x14ac:dyDescent="0.2">
      <c r="E686" s="16"/>
      <c r="F686" s="16"/>
      <c r="G686" s="16"/>
      <c r="H686" s="16"/>
      <c r="I686" s="16"/>
      <c r="J686" s="16"/>
      <c r="K686" s="16"/>
      <c r="L686" s="16"/>
    </row>
    <row r="687" spans="5:12" x14ac:dyDescent="0.2">
      <c r="E687" s="16"/>
      <c r="F687" s="16"/>
      <c r="G687" s="16"/>
      <c r="H687" s="16"/>
      <c r="I687" s="16"/>
      <c r="J687" s="16"/>
      <c r="K687" s="16"/>
      <c r="L687" s="16"/>
    </row>
    <row r="688" spans="5:12" x14ac:dyDescent="0.2">
      <c r="E688" s="16"/>
      <c r="F688" s="16"/>
      <c r="G688" s="16"/>
      <c r="H688" s="16"/>
      <c r="I688" s="16"/>
      <c r="J688" s="16"/>
      <c r="K688" s="16"/>
      <c r="L688" s="16"/>
    </row>
    <row r="689" spans="5:12" x14ac:dyDescent="0.2">
      <c r="E689" s="16"/>
      <c r="F689" s="16"/>
      <c r="G689" s="16"/>
      <c r="H689" s="16"/>
      <c r="I689" s="16"/>
      <c r="J689" s="16"/>
      <c r="K689" s="16"/>
      <c r="L689" s="16"/>
    </row>
    <row r="690" spans="5:12" x14ac:dyDescent="0.2">
      <c r="E690" s="16"/>
      <c r="F690" s="16"/>
      <c r="G690" s="16"/>
      <c r="H690" s="16"/>
      <c r="I690" s="16"/>
      <c r="J690" s="16"/>
      <c r="K690" s="16"/>
      <c r="L690" s="16"/>
    </row>
    <row r="691" spans="5:12" x14ac:dyDescent="0.2">
      <c r="E691" s="16"/>
      <c r="F691" s="16"/>
      <c r="G691" s="16"/>
      <c r="H691" s="16"/>
      <c r="I691" s="16"/>
      <c r="J691" s="16"/>
      <c r="K691" s="16"/>
      <c r="L691" s="16"/>
    </row>
    <row r="692" spans="5:12" x14ac:dyDescent="0.2">
      <c r="E692" s="16"/>
      <c r="F692" s="16"/>
      <c r="G692" s="16"/>
      <c r="H692" s="16"/>
      <c r="I692" s="16"/>
      <c r="J692" s="16"/>
      <c r="K692" s="16"/>
      <c r="L692" s="16"/>
    </row>
    <row r="693" spans="5:12" x14ac:dyDescent="0.2">
      <c r="E693" s="16"/>
      <c r="F693" s="16"/>
      <c r="G693" s="16"/>
      <c r="H693" s="16"/>
      <c r="I693" s="16"/>
      <c r="J693" s="16"/>
      <c r="K693" s="16"/>
      <c r="L693" s="16"/>
    </row>
    <row r="694" spans="5:12" x14ac:dyDescent="0.2">
      <c r="E694" s="16"/>
      <c r="F694" s="16"/>
      <c r="G694" s="16"/>
      <c r="H694" s="16"/>
      <c r="I694" s="16"/>
      <c r="J694" s="16"/>
      <c r="K694" s="16"/>
      <c r="L694" s="16"/>
    </row>
    <row r="695" spans="5:12" x14ac:dyDescent="0.2">
      <c r="E695" s="16"/>
      <c r="F695" s="16"/>
      <c r="G695" s="16"/>
      <c r="H695" s="16"/>
      <c r="I695" s="16"/>
      <c r="J695" s="16"/>
      <c r="K695" s="16"/>
      <c r="L695" s="16"/>
    </row>
    <row r="696" spans="5:12" x14ac:dyDescent="0.2">
      <c r="E696" s="16"/>
      <c r="F696" s="16"/>
      <c r="G696" s="16"/>
      <c r="H696" s="16"/>
      <c r="I696" s="16"/>
      <c r="J696" s="16"/>
      <c r="K696" s="16"/>
      <c r="L696" s="16"/>
    </row>
    <row r="697" spans="5:12" x14ac:dyDescent="0.2">
      <c r="E697" s="16"/>
      <c r="F697" s="16"/>
      <c r="G697" s="16"/>
      <c r="H697" s="16"/>
      <c r="I697" s="16"/>
      <c r="J697" s="16"/>
      <c r="K697" s="16"/>
      <c r="L697" s="16"/>
    </row>
    <row r="698" spans="5:12" x14ac:dyDescent="0.2">
      <c r="E698" s="16"/>
      <c r="F698" s="16"/>
      <c r="G698" s="16"/>
      <c r="H698" s="16"/>
      <c r="I698" s="16"/>
      <c r="J698" s="16"/>
      <c r="K698" s="16"/>
      <c r="L698" s="16"/>
    </row>
    <row r="699" spans="5:12" x14ac:dyDescent="0.2">
      <c r="E699" s="16"/>
      <c r="F699" s="16"/>
      <c r="G699" s="16"/>
      <c r="H699" s="16"/>
      <c r="I699" s="16"/>
      <c r="J699" s="16"/>
      <c r="K699" s="16"/>
      <c r="L699" s="16"/>
    </row>
    <row r="700" spans="5:12" x14ac:dyDescent="0.2">
      <c r="E700" s="16"/>
      <c r="F700" s="16"/>
      <c r="G700" s="16"/>
      <c r="H700" s="16"/>
      <c r="I700" s="16"/>
      <c r="J700" s="16"/>
      <c r="K700" s="16"/>
      <c r="L700" s="16"/>
    </row>
    <row r="701" spans="5:12" x14ac:dyDescent="0.2">
      <c r="E701" s="16"/>
      <c r="F701" s="16"/>
      <c r="G701" s="16"/>
      <c r="H701" s="16"/>
      <c r="I701" s="16"/>
      <c r="J701" s="16"/>
      <c r="K701" s="16"/>
      <c r="L701" s="16"/>
    </row>
    <row r="702" spans="5:12" x14ac:dyDescent="0.2">
      <c r="E702" s="16"/>
      <c r="F702" s="16"/>
      <c r="G702" s="16"/>
      <c r="H702" s="16"/>
      <c r="I702" s="16"/>
      <c r="J702" s="16"/>
      <c r="K702" s="16"/>
      <c r="L702" s="16"/>
    </row>
    <row r="703" spans="5:12" x14ac:dyDescent="0.2">
      <c r="E703" s="16"/>
      <c r="F703" s="16"/>
      <c r="G703" s="16"/>
      <c r="H703" s="16"/>
      <c r="I703" s="16"/>
      <c r="J703" s="16"/>
      <c r="K703" s="16"/>
      <c r="L703" s="16"/>
    </row>
    <row r="704" spans="5:12" x14ac:dyDescent="0.2">
      <c r="E704" s="16"/>
      <c r="F704" s="16"/>
      <c r="G704" s="16"/>
      <c r="H704" s="16"/>
      <c r="I704" s="16"/>
      <c r="J704" s="16"/>
      <c r="K704" s="16"/>
      <c r="L704" s="16"/>
    </row>
    <row r="705" spans="5:12" x14ac:dyDescent="0.2">
      <c r="E705" s="16"/>
      <c r="F705" s="16"/>
      <c r="G705" s="16"/>
      <c r="H705" s="16"/>
      <c r="I705" s="16"/>
      <c r="J705" s="16"/>
      <c r="K705" s="16"/>
      <c r="L705" s="16"/>
    </row>
    <row r="706" spans="5:12" x14ac:dyDescent="0.2">
      <c r="E706" s="16"/>
      <c r="F706" s="16"/>
      <c r="G706" s="16"/>
      <c r="H706" s="16"/>
      <c r="I706" s="16"/>
      <c r="J706" s="16"/>
      <c r="K706" s="16"/>
      <c r="L706" s="16"/>
    </row>
    <row r="707" spans="5:12" x14ac:dyDescent="0.2">
      <c r="E707" s="16"/>
      <c r="F707" s="16"/>
      <c r="G707" s="16"/>
      <c r="H707" s="16"/>
      <c r="I707" s="16"/>
      <c r="J707" s="16"/>
      <c r="K707" s="16"/>
      <c r="L707" s="16"/>
    </row>
    <row r="708" spans="5:12" x14ac:dyDescent="0.2">
      <c r="E708" s="16"/>
      <c r="F708" s="16"/>
      <c r="G708" s="16"/>
      <c r="H708" s="16"/>
      <c r="I708" s="16"/>
      <c r="J708" s="16"/>
      <c r="K708" s="16"/>
      <c r="L708" s="16"/>
    </row>
    <row r="709" spans="5:12" x14ac:dyDescent="0.2">
      <c r="E709" s="16"/>
      <c r="F709" s="16"/>
      <c r="G709" s="16"/>
      <c r="H709" s="16"/>
      <c r="I709" s="16"/>
      <c r="J709" s="16"/>
      <c r="K709" s="16"/>
      <c r="L709" s="16"/>
    </row>
    <row r="710" spans="5:12" x14ac:dyDescent="0.2">
      <c r="E710" s="16"/>
      <c r="F710" s="16"/>
      <c r="G710" s="16"/>
      <c r="H710" s="16"/>
      <c r="I710" s="16"/>
      <c r="J710" s="16"/>
      <c r="K710" s="16"/>
      <c r="L710" s="16"/>
    </row>
    <row r="711" spans="5:12" x14ac:dyDescent="0.2">
      <c r="E711" s="16"/>
      <c r="F711" s="16"/>
      <c r="G711" s="16"/>
      <c r="H711" s="16"/>
      <c r="I711" s="16"/>
      <c r="J711" s="16"/>
      <c r="K711" s="16"/>
      <c r="L711" s="16"/>
    </row>
    <row r="712" spans="5:12" x14ac:dyDescent="0.2">
      <c r="E712" s="16"/>
      <c r="F712" s="16"/>
      <c r="G712" s="16"/>
      <c r="H712" s="16"/>
      <c r="I712" s="16"/>
      <c r="J712" s="16"/>
      <c r="K712" s="16"/>
      <c r="L712" s="16"/>
    </row>
    <row r="713" spans="5:12" x14ac:dyDescent="0.2">
      <c r="E713" s="16"/>
      <c r="F713" s="16"/>
      <c r="G713" s="16"/>
      <c r="H713" s="16"/>
      <c r="I713" s="16"/>
      <c r="J713" s="16"/>
      <c r="K713" s="16"/>
      <c r="L713" s="16"/>
    </row>
    <row r="714" spans="5:12" x14ac:dyDescent="0.2">
      <c r="E714" s="16"/>
      <c r="F714" s="16"/>
      <c r="G714" s="16"/>
      <c r="H714" s="16"/>
      <c r="I714" s="16"/>
      <c r="J714" s="16"/>
      <c r="K714" s="16"/>
      <c r="L714" s="16"/>
    </row>
    <row r="715" spans="5:12" x14ac:dyDescent="0.2">
      <c r="E715" s="16"/>
      <c r="F715" s="16"/>
      <c r="G715" s="16"/>
      <c r="H715" s="16"/>
      <c r="I715" s="16"/>
      <c r="J715" s="16"/>
      <c r="K715" s="16"/>
      <c r="L715" s="16"/>
    </row>
    <row r="716" spans="5:12" x14ac:dyDescent="0.2">
      <c r="E716" s="16"/>
      <c r="F716" s="16"/>
      <c r="G716" s="16"/>
      <c r="H716" s="16"/>
      <c r="I716" s="16"/>
      <c r="J716" s="16"/>
      <c r="K716" s="16"/>
      <c r="L716" s="16"/>
    </row>
    <row r="717" spans="5:12" x14ac:dyDescent="0.2">
      <c r="E717" s="16"/>
      <c r="F717" s="16"/>
      <c r="G717" s="16"/>
      <c r="H717" s="16"/>
      <c r="I717" s="16"/>
      <c r="J717" s="16"/>
      <c r="K717" s="16"/>
      <c r="L717" s="16"/>
    </row>
    <row r="718" spans="5:12" x14ac:dyDescent="0.2">
      <c r="E718" s="16"/>
      <c r="F718" s="16"/>
      <c r="G718" s="16"/>
      <c r="H718" s="16"/>
      <c r="I718" s="16"/>
      <c r="J718" s="16"/>
      <c r="K718" s="16"/>
      <c r="L718" s="16"/>
    </row>
    <row r="719" spans="5:12" x14ac:dyDescent="0.2">
      <c r="E719" s="16"/>
      <c r="F719" s="16"/>
      <c r="G719" s="16"/>
      <c r="H719" s="16"/>
      <c r="I719" s="16"/>
      <c r="J719" s="16"/>
      <c r="K719" s="16"/>
      <c r="L719" s="16"/>
    </row>
    <row r="720" spans="5:12" x14ac:dyDescent="0.2">
      <c r="E720" s="16"/>
      <c r="F720" s="16"/>
      <c r="G720" s="16"/>
      <c r="H720" s="16"/>
      <c r="I720" s="16"/>
      <c r="J720" s="16"/>
      <c r="K720" s="16"/>
      <c r="L720" s="16"/>
    </row>
    <row r="721" spans="5:12" x14ac:dyDescent="0.2">
      <c r="E721" s="16"/>
      <c r="F721" s="16"/>
      <c r="G721" s="16"/>
      <c r="H721" s="16"/>
      <c r="I721" s="16"/>
      <c r="J721" s="16"/>
      <c r="K721" s="16"/>
      <c r="L721" s="16"/>
    </row>
    <row r="722" spans="5:12" x14ac:dyDescent="0.2">
      <c r="E722" s="16"/>
      <c r="F722" s="16"/>
      <c r="G722" s="16"/>
      <c r="H722" s="16"/>
      <c r="I722" s="16"/>
      <c r="J722" s="16"/>
      <c r="K722" s="16"/>
      <c r="L722" s="16"/>
    </row>
    <row r="723" spans="5:12" x14ac:dyDescent="0.2">
      <c r="E723" s="16"/>
      <c r="F723" s="16"/>
      <c r="G723" s="16"/>
      <c r="H723" s="16"/>
      <c r="I723" s="16"/>
      <c r="J723" s="16"/>
      <c r="K723" s="16"/>
      <c r="L723" s="16"/>
    </row>
    <row r="724" spans="5:12" x14ac:dyDescent="0.2">
      <c r="E724" s="16"/>
      <c r="F724" s="16"/>
      <c r="G724" s="16"/>
      <c r="H724" s="16"/>
      <c r="I724" s="16"/>
      <c r="J724" s="16"/>
      <c r="K724" s="16"/>
      <c r="L724" s="16"/>
    </row>
    <row r="725" spans="5:12" x14ac:dyDescent="0.2">
      <c r="E725" s="16"/>
      <c r="F725" s="16"/>
      <c r="G725" s="16"/>
      <c r="H725" s="16"/>
      <c r="I725" s="16"/>
      <c r="J725" s="16"/>
      <c r="K725" s="16"/>
      <c r="L725" s="16"/>
    </row>
    <row r="726" spans="5:12" x14ac:dyDescent="0.2">
      <c r="E726" s="16"/>
      <c r="F726" s="16"/>
      <c r="G726" s="16"/>
      <c r="H726" s="16"/>
      <c r="I726" s="16"/>
      <c r="J726" s="16"/>
      <c r="K726" s="16"/>
      <c r="L726" s="16"/>
    </row>
    <row r="727" spans="5:12" x14ac:dyDescent="0.2">
      <c r="E727" s="16"/>
      <c r="F727" s="16"/>
      <c r="G727" s="16"/>
      <c r="H727" s="16"/>
      <c r="I727" s="16"/>
      <c r="J727" s="16"/>
      <c r="K727" s="16"/>
      <c r="L727" s="16"/>
    </row>
    <row r="728" spans="5:12" x14ac:dyDescent="0.2">
      <c r="E728" s="16"/>
      <c r="F728" s="16"/>
      <c r="G728" s="16"/>
      <c r="H728" s="16"/>
      <c r="I728" s="16"/>
      <c r="J728" s="16"/>
      <c r="K728" s="16"/>
      <c r="L728" s="16"/>
    </row>
    <row r="729" spans="5:12" x14ac:dyDescent="0.2">
      <c r="E729" s="16"/>
      <c r="F729" s="16"/>
      <c r="G729" s="16"/>
      <c r="H729" s="16"/>
      <c r="I729" s="16"/>
      <c r="J729" s="16"/>
      <c r="K729" s="16"/>
      <c r="L729" s="16"/>
    </row>
    <row r="730" spans="5:12" x14ac:dyDescent="0.2">
      <c r="E730" s="16"/>
      <c r="F730" s="16"/>
      <c r="G730" s="16"/>
      <c r="H730" s="16"/>
      <c r="I730" s="16"/>
      <c r="J730" s="16"/>
      <c r="K730" s="16"/>
      <c r="L730" s="16"/>
    </row>
    <row r="731" spans="5:12" x14ac:dyDescent="0.2">
      <c r="E731" s="16"/>
      <c r="F731" s="16"/>
      <c r="G731" s="16"/>
      <c r="H731" s="16"/>
      <c r="I731" s="16"/>
      <c r="J731" s="16"/>
      <c r="K731" s="16"/>
      <c r="L731" s="16"/>
    </row>
    <row r="732" spans="5:12" x14ac:dyDescent="0.2">
      <c r="E732" s="16"/>
      <c r="F732" s="16"/>
      <c r="G732" s="16"/>
      <c r="H732" s="16"/>
      <c r="I732" s="16"/>
      <c r="J732" s="16"/>
      <c r="K732" s="16"/>
      <c r="L732" s="16"/>
    </row>
    <row r="733" spans="5:12" x14ac:dyDescent="0.2">
      <c r="E733" s="16"/>
      <c r="F733" s="16"/>
      <c r="G733" s="16"/>
      <c r="H733" s="16"/>
      <c r="I733" s="16"/>
      <c r="J733" s="16"/>
      <c r="K733" s="16"/>
      <c r="L733" s="16"/>
    </row>
    <row r="734" spans="5:12" x14ac:dyDescent="0.2">
      <c r="E734" s="16"/>
      <c r="F734" s="16"/>
      <c r="G734" s="16"/>
      <c r="H734" s="16"/>
      <c r="I734" s="16"/>
      <c r="J734" s="16"/>
      <c r="K734" s="16"/>
      <c r="L734" s="16"/>
    </row>
    <row r="735" spans="5:12" x14ac:dyDescent="0.2">
      <c r="E735" s="16"/>
      <c r="F735" s="16"/>
      <c r="G735" s="16"/>
      <c r="H735" s="16"/>
      <c r="I735" s="16"/>
      <c r="J735" s="16"/>
      <c r="K735" s="16"/>
      <c r="L735" s="16"/>
    </row>
    <row r="736" spans="5:12" x14ac:dyDescent="0.2">
      <c r="E736" s="16"/>
      <c r="F736" s="16"/>
      <c r="G736" s="16"/>
      <c r="H736" s="16"/>
      <c r="I736" s="16"/>
      <c r="J736" s="16"/>
      <c r="K736" s="16"/>
      <c r="L736" s="16"/>
    </row>
    <row r="737" spans="5:12" x14ac:dyDescent="0.2">
      <c r="E737" s="16"/>
      <c r="F737" s="16"/>
      <c r="G737" s="16"/>
      <c r="H737" s="16"/>
      <c r="I737" s="16"/>
      <c r="J737" s="16"/>
      <c r="K737" s="16"/>
      <c r="L737" s="16"/>
    </row>
    <row r="738" spans="5:12" x14ac:dyDescent="0.2">
      <c r="E738" s="16"/>
      <c r="F738" s="16"/>
      <c r="G738" s="16"/>
      <c r="H738" s="16"/>
      <c r="I738" s="16"/>
      <c r="J738" s="16"/>
      <c r="K738" s="16"/>
      <c r="L738" s="16"/>
    </row>
    <row r="739" spans="5:12" x14ac:dyDescent="0.2">
      <c r="E739" s="16"/>
      <c r="F739" s="16"/>
      <c r="G739" s="16"/>
      <c r="H739" s="16"/>
      <c r="I739" s="16"/>
      <c r="J739" s="16"/>
      <c r="K739" s="16"/>
      <c r="L739" s="16"/>
    </row>
    <row r="740" spans="5:12" x14ac:dyDescent="0.2">
      <c r="E740" s="16"/>
      <c r="F740" s="16"/>
      <c r="G740" s="16"/>
      <c r="H740" s="16"/>
      <c r="I740" s="16"/>
      <c r="J740" s="16"/>
      <c r="K740" s="16"/>
      <c r="L740" s="16"/>
    </row>
    <row r="741" spans="5:12" x14ac:dyDescent="0.2">
      <c r="E741" s="16"/>
      <c r="F741" s="16"/>
      <c r="G741" s="16"/>
      <c r="H741" s="16"/>
      <c r="I741" s="16"/>
      <c r="J741" s="16"/>
      <c r="K741" s="16"/>
      <c r="L741" s="16"/>
    </row>
    <row r="742" spans="5:12" x14ac:dyDescent="0.2">
      <c r="E742" s="16"/>
      <c r="F742" s="16"/>
      <c r="G742" s="16"/>
      <c r="H742" s="16"/>
      <c r="I742" s="16"/>
      <c r="J742" s="16"/>
      <c r="K742" s="16"/>
      <c r="L742" s="16"/>
    </row>
    <row r="743" spans="5:12" x14ac:dyDescent="0.2">
      <c r="E743" s="16"/>
      <c r="F743" s="16"/>
      <c r="G743" s="16"/>
      <c r="H743" s="16"/>
      <c r="I743" s="16"/>
      <c r="J743" s="16"/>
      <c r="K743" s="16"/>
      <c r="L743" s="16"/>
    </row>
    <row r="744" spans="5:12" x14ac:dyDescent="0.2">
      <c r="E744" s="16"/>
      <c r="F744" s="16"/>
      <c r="G744" s="16"/>
      <c r="H744" s="16"/>
      <c r="I744" s="16"/>
      <c r="J744" s="16"/>
      <c r="K744" s="16"/>
      <c r="L744" s="16"/>
    </row>
    <row r="745" spans="5:12" x14ac:dyDescent="0.2">
      <c r="E745" s="16"/>
      <c r="F745" s="16"/>
      <c r="G745" s="16"/>
      <c r="H745" s="16"/>
      <c r="I745" s="16"/>
      <c r="J745" s="16"/>
      <c r="K745" s="16"/>
      <c r="L745" s="16"/>
    </row>
    <row r="746" spans="5:12" x14ac:dyDescent="0.2">
      <c r="E746" s="16"/>
      <c r="F746" s="16"/>
      <c r="G746" s="16"/>
      <c r="H746" s="16"/>
      <c r="I746" s="16"/>
      <c r="J746" s="16"/>
      <c r="K746" s="16"/>
      <c r="L746" s="16"/>
    </row>
    <row r="747" spans="5:12" x14ac:dyDescent="0.2">
      <c r="E747" s="16"/>
      <c r="F747" s="16"/>
      <c r="G747" s="16"/>
      <c r="H747" s="16"/>
      <c r="I747" s="16"/>
      <c r="J747" s="16"/>
      <c r="K747" s="16"/>
      <c r="L747" s="16"/>
    </row>
    <row r="748" spans="5:12" x14ac:dyDescent="0.2">
      <c r="E748" s="16"/>
      <c r="F748" s="16"/>
      <c r="G748" s="16"/>
      <c r="H748" s="16"/>
      <c r="I748" s="16"/>
      <c r="J748" s="16"/>
      <c r="K748" s="16"/>
      <c r="L748" s="16"/>
    </row>
    <row r="749" spans="5:12" x14ac:dyDescent="0.2">
      <c r="E749" s="16"/>
      <c r="F749" s="16"/>
      <c r="G749" s="16"/>
      <c r="H749" s="16"/>
      <c r="I749" s="16"/>
      <c r="J749" s="16"/>
      <c r="K749" s="16"/>
      <c r="L749" s="16"/>
    </row>
    <row r="750" spans="5:12" x14ac:dyDescent="0.2">
      <c r="E750" s="16"/>
      <c r="F750" s="16"/>
      <c r="G750" s="16"/>
      <c r="H750" s="16"/>
      <c r="I750" s="16"/>
      <c r="J750" s="16"/>
      <c r="K750" s="16"/>
      <c r="L750" s="16"/>
    </row>
    <row r="751" spans="5:12" x14ac:dyDescent="0.2">
      <c r="E751" s="16"/>
      <c r="F751" s="16"/>
      <c r="G751" s="16"/>
      <c r="H751" s="16"/>
      <c r="I751" s="16"/>
      <c r="J751" s="16"/>
      <c r="K751" s="16"/>
      <c r="L751" s="16"/>
    </row>
    <row r="752" spans="5:12" x14ac:dyDescent="0.2">
      <c r="E752" s="16"/>
      <c r="F752" s="16"/>
      <c r="G752" s="16"/>
      <c r="H752" s="16"/>
      <c r="I752" s="16"/>
      <c r="J752" s="16"/>
      <c r="K752" s="16"/>
      <c r="L752" s="16"/>
    </row>
    <row r="753" spans="5:12" x14ac:dyDescent="0.2">
      <c r="E753" s="16"/>
      <c r="F753" s="16"/>
      <c r="G753" s="16"/>
      <c r="H753" s="16"/>
      <c r="I753" s="16"/>
      <c r="J753" s="16"/>
      <c r="K753" s="16"/>
      <c r="L753" s="16"/>
    </row>
    <row r="754" spans="5:12" x14ac:dyDescent="0.2">
      <c r="E754" s="16"/>
      <c r="F754" s="16"/>
      <c r="G754" s="16"/>
      <c r="H754" s="16"/>
      <c r="I754" s="16"/>
      <c r="J754" s="16"/>
      <c r="K754" s="16"/>
      <c r="L754" s="16"/>
    </row>
    <row r="755" spans="5:12" x14ac:dyDescent="0.2">
      <c r="E755" s="16"/>
      <c r="F755" s="16"/>
      <c r="G755" s="16"/>
      <c r="H755" s="16"/>
      <c r="I755" s="16"/>
      <c r="J755" s="16"/>
      <c r="K755" s="16"/>
      <c r="L755" s="16"/>
    </row>
    <row r="756" spans="5:12" x14ac:dyDescent="0.2">
      <c r="E756" s="16"/>
      <c r="F756" s="16"/>
      <c r="G756" s="16"/>
      <c r="H756" s="16"/>
      <c r="I756" s="16"/>
      <c r="J756" s="16"/>
      <c r="K756" s="16"/>
      <c r="L756" s="16"/>
    </row>
    <row r="757" spans="5:12" x14ac:dyDescent="0.2">
      <c r="E757" s="16"/>
      <c r="F757" s="16"/>
      <c r="G757" s="16"/>
      <c r="H757" s="16"/>
      <c r="I757" s="16"/>
      <c r="J757" s="16"/>
      <c r="K757" s="16"/>
      <c r="L757" s="16"/>
    </row>
    <row r="758" spans="5:12" x14ac:dyDescent="0.2">
      <c r="E758" s="16"/>
      <c r="F758" s="16"/>
      <c r="G758" s="16"/>
      <c r="H758" s="16"/>
      <c r="I758" s="16"/>
      <c r="J758" s="16"/>
      <c r="K758" s="16"/>
      <c r="L758" s="16"/>
    </row>
    <row r="759" spans="5:12" x14ac:dyDescent="0.2">
      <c r="E759" s="16"/>
      <c r="F759" s="16"/>
      <c r="G759" s="16"/>
      <c r="H759" s="16"/>
      <c r="I759" s="16"/>
      <c r="J759" s="16"/>
      <c r="K759" s="16"/>
      <c r="L759" s="16"/>
    </row>
    <row r="760" spans="5:12" x14ac:dyDescent="0.2">
      <c r="E760" s="16"/>
      <c r="F760" s="16"/>
      <c r="G760" s="16"/>
      <c r="H760" s="16"/>
      <c r="I760" s="16"/>
      <c r="J760" s="16"/>
      <c r="K760" s="16"/>
      <c r="L760" s="16"/>
    </row>
    <row r="761" spans="5:12" x14ac:dyDescent="0.2">
      <c r="E761" s="16"/>
      <c r="F761" s="16"/>
      <c r="G761" s="16"/>
      <c r="H761" s="16"/>
      <c r="I761" s="16"/>
      <c r="J761" s="16"/>
      <c r="K761" s="16"/>
      <c r="L761" s="16"/>
    </row>
    <row r="762" spans="5:12" x14ac:dyDescent="0.2">
      <c r="E762" s="16"/>
      <c r="F762" s="16"/>
      <c r="G762" s="16"/>
      <c r="H762" s="16"/>
      <c r="I762" s="16"/>
      <c r="J762" s="16"/>
      <c r="K762" s="16"/>
      <c r="L762" s="16"/>
    </row>
    <row r="763" spans="5:12" x14ac:dyDescent="0.2">
      <c r="E763" s="16"/>
      <c r="F763" s="16"/>
      <c r="G763" s="16"/>
      <c r="H763" s="16"/>
      <c r="I763" s="16"/>
      <c r="J763" s="16"/>
      <c r="K763" s="16"/>
      <c r="L763" s="16"/>
    </row>
    <row r="764" spans="5:12" x14ac:dyDescent="0.2">
      <c r="E764" s="16"/>
      <c r="F764" s="16"/>
      <c r="G764" s="16"/>
      <c r="H764" s="16"/>
      <c r="I764" s="16"/>
      <c r="J764" s="16"/>
      <c r="K764" s="16"/>
      <c r="L764" s="16"/>
    </row>
    <row r="765" spans="5:12" x14ac:dyDescent="0.2">
      <c r="E765" s="16"/>
      <c r="F765" s="16"/>
      <c r="G765" s="16"/>
      <c r="H765" s="16"/>
      <c r="I765" s="16"/>
      <c r="J765" s="16"/>
      <c r="K765" s="16"/>
      <c r="L765" s="16"/>
    </row>
    <row r="766" spans="5:12" x14ac:dyDescent="0.2">
      <c r="E766" s="16"/>
      <c r="F766" s="16"/>
      <c r="G766" s="16"/>
      <c r="H766" s="16"/>
      <c r="I766" s="16"/>
      <c r="J766" s="16"/>
      <c r="K766" s="16"/>
      <c r="L766" s="16"/>
    </row>
    <row r="767" spans="5:12" x14ac:dyDescent="0.2">
      <c r="E767" s="16"/>
      <c r="F767" s="16"/>
      <c r="G767" s="16"/>
      <c r="H767" s="16"/>
      <c r="I767" s="16"/>
      <c r="J767" s="16"/>
      <c r="K767" s="16"/>
      <c r="L767" s="16"/>
    </row>
    <row r="768" spans="5:12" x14ac:dyDescent="0.2">
      <c r="E768" s="16"/>
      <c r="F768" s="16"/>
      <c r="G768" s="16"/>
      <c r="H768" s="16"/>
      <c r="I768" s="16"/>
      <c r="J768" s="16"/>
      <c r="K768" s="16"/>
      <c r="L768" s="16"/>
    </row>
    <row r="769" spans="5:12" x14ac:dyDescent="0.2">
      <c r="E769" s="16"/>
      <c r="F769" s="16"/>
      <c r="G769" s="16"/>
      <c r="H769" s="16"/>
      <c r="I769" s="16"/>
      <c r="J769" s="16"/>
      <c r="K769" s="16"/>
      <c r="L769" s="16"/>
    </row>
    <row r="770" spans="5:12" x14ac:dyDescent="0.2">
      <c r="E770" s="16"/>
      <c r="F770" s="16"/>
      <c r="G770" s="16"/>
      <c r="H770" s="16"/>
      <c r="I770" s="16"/>
      <c r="J770" s="16"/>
      <c r="K770" s="16"/>
      <c r="L770" s="16"/>
    </row>
    <row r="771" spans="5:12" x14ac:dyDescent="0.2">
      <c r="E771" s="16"/>
      <c r="F771" s="16"/>
      <c r="G771" s="16"/>
      <c r="H771" s="16"/>
      <c r="I771" s="16"/>
      <c r="J771" s="16"/>
      <c r="K771" s="16"/>
      <c r="L771" s="16"/>
    </row>
    <row r="772" spans="5:12" x14ac:dyDescent="0.2">
      <c r="E772" s="16"/>
      <c r="F772" s="16"/>
      <c r="G772" s="16"/>
      <c r="H772" s="16"/>
      <c r="I772" s="16"/>
      <c r="J772" s="16"/>
      <c r="K772" s="16"/>
      <c r="L772" s="16"/>
    </row>
    <row r="773" spans="5:12" x14ac:dyDescent="0.2">
      <c r="E773" s="16"/>
      <c r="F773" s="16"/>
      <c r="G773" s="16"/>
      <c r="H773" s="16"/>
      <c r="I773" s="16"/>
      <c r="J773" s="16"/>
      <c r="K773" s="16"/>
      <c r="L773" s="16"/>
    </row>
    <row r="774" spans="5:12" x14ac:dyDescent="0.2">
      <c r="E774" s="16"/>
      <c r="F774" s="16"/>
      <c r="G774" s="16"/>
      <c r="H774" s="16"/>
      <c r="I774" s="16"/>
      <c r="J774" s="16"/>
      <c r="K774" s="16"/>
      <c r="L774" s="16"/>
    </row>
    <row r="775" spans="5:12" x14ac:dyDescent="0.2">
      <c r="E775" s="16"/>
      <c r="F775" s="16"/>
      <c r="G775" s="16"/>
      <c r="H775" s="16"/>
      <c r="I775" s="16"/>
      <c r="J775" s="16"/>
      <c r="K775" s="16"/>
      <c r="L775" s="16"/>
    </row>
    <row r="776" spans="5:12" x14ac:dyDescent="0.2">
      <c r="E776" s="16"/>
      <c r="F776" s="16"/>
      <c r="G776" s="16"/>
      <c r="H776" s="16"/>
      <c r="I776" s="16"/>
      <c r="J776" s="16"/>
      <c r="K776" s="16"/>
      <c r="L776" s="16"/>
    </row>
    <row r="777" spans="5:12" x14ac:dyDescent="0.2">
      <c r="E777" s="16"/>
      <c r="F777" s="16"/>
      <c r="G777" s="16"/>
      <c r="H777" s="16"/>
      <c r="I777" s="16"/>
      <c r="J777" s="16"/>
      <c r="K777" s="16"/>
      <c r="L777" s="16"/>
    </row>
    <row r="778" spans="5:12" x14ac:dyDescent="0.2">
      <c r="E778" s="16"/>
      <c r="F778" s="16"/>
      <c r="G778" s="16"/>
      <c r="H778" s="16"/>
      <c r="I778" s="16"/>
      <c r="J778" s="16"/>
      <c r="K778" s="16"/>
      <c r="L778" s="16"/>
    </row>
    <row r="779" spans="5:12" x14ac:dyDescent="0.2">
      <c r="E779" s="16"/>
      <c r="F779" s="16"/>
      <c r="G779" s="16"/>
      <c r="H779" s="16"/>
      <c r="I779" s="16"/>
      <c r="J779" s="16"/>
      <c r="K779" s="16"/>
      <c r="L779" s="16"/>
    </row>
    <row r="780" spans="5:12" x14ac:dyDescent="0.2">
      <c r="E780" s="16"/>
      <c r="F780" s="16"/>
      <c r="G780" s="16"/>
      <c r="H780" s="16"/>
      <c r="I780" s="16"/>
      <c r="J780" s="16"/>
      <c r="K780" s="16"/>
      <c r="L780" s="16"/>
    </row>
    <row r="781" spans="5:12" x14ac:dyDescent="0.2">
      <c r="E781" s="16"/>
      <c r="F781" s="16"/>
      <c r="G781" s="16"/>
      <c r="H781" s="16"/>
      <c r="I781" s="16"/>
      <c r="J781" s="16"/>
      <c r="K781" s="16"/>
      <c r="L781" s="16"/>
    </row>
    <row r="782" spans="5:12" x14ac:dyDescent="0.2">
      <c r="E782" s="16"/>
      <c r="F782" s="16"/>
      <c r="G782" s="16"/>
      <c r="H782" s="16"/>
      <c r="I782" s="16"/>
      <c r="J782" s="16"/>
      <c r="K782" s="16"/>
      <c r="L782" s="16"/>
    </row>
    <row r="783" spans="5:12" x14ac:dyDescent="0.2">
      <c r="E783" s="16"/>
      <c r="F783" s="16"/>
      <c r="G783" s="16"/>
      <c r="H783" s="16"/>
      <c r="I783" s="16"/>
      <c r="J783" s="16"/>
      <c r="K783" s="16"/>
      <c r="L783" s="16"/>
    </row>
    <row r="784" spans="5:12" x14ac:dyDescent="0.2">
      <c r="E784" s="16"/>
      <c r="F784" s="16"/>
      <c r="G784" s="16"/>
      <c r="H784" s="16"/>
      <c r="I784" s="16"/>
      <c r="J784" s="16"/>
      <c r="K784" s="16"/>
      <c r="L784" s="16"/>
    </row>
    <row r="785" spans="5:12" x14ac:dyDescent="0.2">
      <c r="E785" s="16"/>
      <c r="F785" s="16"/>
      <c r="G785" s="16"/>
      <c r="H785" s="16"/>
      <c r="I785" s="16"/>
      <c r="J785" s="16"/>
      <c r="K785" s="16"/>
      <c r="L785" s="16"/>
    </row>
    <row r="786" spans="5:12" x14ac:dyDescent="0.2">
      <c r="E786" s="16"/>
      <c r="F786" s="16"/>
      <c r="G786" s="16"/>
      <c r="H786" s="16"/>
      <c r="I786" s="16"/>
      <c r="J786" s="16"/>
      <c r="K786" s="16"/>
      <c r="L786" s="16"/>
    </row>
    <row r="787" spans="5:12" x14ac:dyDescent="0.2">
      <c r="E787" s="16"/>
      <c r="F787" s="16"/>
      <c r="G787" s="16"/>
      <c r="H787" s="16"/>
      <c r="I787" s="16"/>
      <c r="J787" s="16"/>
      <c r="K787" s="16"/>
      <c r="L787" s="16"/>
    </row>
    <row r="788" spans="5:12" x14ac:dyDescent="0.2">
      <c r="E788" s="16"/>
      <c r="F788" s="16"/>
      <c r="G788" s="16"/>
      <c r="H788" s="16"/>
      <c r="I788" s="16"/>
      <c r="J788" s="16"/>
      <c r="K788" s="16"/>
      <c r="L788" s="16"/>
    </row>
    <row r="789" spans="5:12" x14ac:dyDescent="0.2">
      <c r="E789" s="16"/>
      <c r="F789" s="16"/>
      <c r="G789" s="16"/>
      <c r="H789" s="16"/>
      <c r="I789" s="16"/>
      <c r="J789" s="16"/>
      <c r="K789" s="16"/>
      <c r="L789" s="16"/>
    </row>
    <row r="790" spans="5:12" x14ac:dyDescent="0.2">
      <c r="E790" s="16"/>
      <c r="F790" s="16"/>
      <c r="G790" s="16"/>
      <c r="H790" s="16"/>
      <c r="I790" s="16"/>
      <c r="J790" s="16"/>
      <c r="K790" s="16"/>
      <c r="L790" s="16"/>
    </row>
    <row r="791" spans="5:12" x14ac:dyDescent="0.2">
      <c r="E791" s="16"/>
      <c r="F791" s="16"/>
      <c r="G791" s="16"/>
      <c r="H791" s="16"/>
      <c r="I791" s="16"/>
      <c r="J791" s="16"/>
      <c r="K791" s="16"/>
      <c r="L791" s="16"/>
    </row>
    <row r="792" spans="5:12" x14ac:dyDescent="0.2">
      <c r="E792" s="16"/>
      <c r="F792" s="16"/>
      <c r="G792" s="16"/>
      <c r="H792" s="16"/>
      <c r="I792" s="16"/>
      <c r="J792" s="16"/>
      <c r="K792" s="16"/>
      <c r="L792" s="16"/>
    </row>
    <row r="793" spans="5:12" x14ac:dyDescent="0.2">
      <c r="E793" s="16"/>
      <c r="F793" s="16"/>
      <c r="G793" s="16"/>
      <c r="H793" s="16"/>
      <c r="I793" s="16"/>
      <c r="J793" s="16"/>
      <c r="K793" s="16"/>
      <c r="L793" s="16"/>
    </row>
    <row r="794" spans="5:12" x14ac:dyDescent="0.2">
      <c r="E794" s="16"/>
      <c r="F794" s="16"/>
      <c r="G794" s="16"/>
      <c r="H794" s="16"/>
      <c r="I794" s="16"/>
      <c r="J794" s="16"/>
      <c r="K794" s="16"/>
      <c r="L794" s="16"/>
    </row>
    <row r="795" spans="5:12" x14ac:dyDescent="0.2">
      <c r="E795" s="16"/>
      <c r="F795" s="16"/>
      <c r="G795" s="16"/>
      <c r="H795" s="16"/>
      <c r="I795" s="16"/>
      <c r="J795" s="16"/>
      <c r="K795" s="16"/>
      <c r="L795" s="16"/>
    </row>
    <row r="796" spans="5:12" x14ac:dyDescent="0.2">
      <c r="E796" s="16"/>
      <c r="F796" s="16"/>
      <c r="G796" s="16"/>
      <c r="H796" s="16"/>
      <c r="I796" s="16"/>
      <c r="J796" s="16"/>
      <c r="K796" s="16"/>
      <c r="L796" s="16"/>
    </row>
    <row r="797" spans="5:12" x14ac:dyDescent="0.2">
      <c r="E797" s="16"/>
      <c r="F797" s="16"/>
      <c r="G797" s="16"/>
      <c r="H797" s="16"/>
      <c r="I797" s="16"/>
      <c r="J797" s="16"/>
      <c r="K797" s="16"/>
      <c r="L797" s="16"/>
    </row>
    <row r="798" spans="5:12" x14ac:dyDescent="0.2">
      <c r="E798" s="16"/>
      <c r="F798" s="16"/>
      <c r="G798" s="16"/>
      <c r="H798" s="16"/>
      <c r="I798" s="16"/>
      <c r="J798" s="16"/>
      <c r="K798" s="16"/>
      <c r="L798" s="16"/>
    </row>
    <row r="799" spans="5:12" x14ac:dyDescent="0.2">
      <c r="E799" s="16"/>
      <c r="F799" s="16"/>
      <c r="G799" s="16"/>
      <c r="H799" s="16"/>
      <c r="I799" s="16"/>
      <c r="J799" s="16"/>
      <c r="K799" s="16"/>
      <c r="L799" s="16"/>
    </row>
    <row r="800" spans="5:12" x14ac:dyDescent="0.2">
      <c r="E800" s="16"/>
      <c r="F800" s="16"/>
      <c r="G800" s="16"/>
      <c r="H800" s="16"/>
      <c r="I800" s="16"/>
      <c r="J800" s="16"/>
      <c r="K800" s="16"/>
      <c r="L800" s="16"/>
    </row>
    <row r="801" spans="5:12" x14ac:dyDescent="0.2">
      <c r="E801" s="16"/>
      <c r="F801" s="16"/>
      <c r="G801" s="16"/>
      <c r="H801" s="16"/>
      <c r="I801" s="16"/>
      <c r="J801" s="16"/>
      <c r="K801" s="16"/>
      <c r="L801" s="16"/>
    </row>
    <row r="802" spans="5:12" x14ac:dyDescent="0.2">
      <c r="E802" s="16"/>
      <c r="F802" s="16"/>
      <c r="G802" s="16"/>
      <c r="H802" s="16"/>
      <c r="I802" s="16"/>
      <c r="J802" s="16"/>
      <c r="K802" s="16"/>
      <c r="L802" s="16"/>
    </row>
    <row r="803" spans="5:12" x14ac:dyDescent="0.2">
      <c r="E803" s="16"/>
      <c r="F803" s="16"/>
      <c r="G803" s="16"/>
      <c r="H803" s="16"/>
      <c r="I803" s="16"/>
      <c r="J803" s="16"/>
      <c r="K803" s="16"/>
      <c r="L803" s="16"/>
    </row>
    <row r="804" spans="5:12" x14ac:dyDescent="0.2">
      <c r="E804" s="16"/>
      <c r="F804" s="16"/>
      <c r="G804" s="16"/>
      <c r="H804" s="16"/>
      <c r="I804" s="16"/>
      <c r="J804" s="16"/>
      <c r="K804" s="16"/>
      <c r="L804" s="16"/>
    </row>
    <row r="805" spans="5:12" x14ac:dyDescent="0.2">
      <c r="E805" s="16"/>
      <c r="F805" s="16"/>
      <c r="G805" s="16"/>
      <c r="H805" s="16"/>
      <c r="I805" s="16"/>
      <c r="J805" s="16"/>
      <c r="K805" s="16"/>
      <c r="L805" s="16"/>
    </row>
    <row r="806" spans="5:12" x14ac:dyDescent="0.2">
      <c r="E806" s="16"/>
      <c r="F806" s="16"/>
      <c r="G806" s="16"/>
      <c r="H806" s="16"/>
      <c r="I806" s="16"/>
      <c r="J806" s="16"/>
      <c r="K806" s="16"/>
      <c r="L806" s="16"/>
    </row>
    <row r="807" spans="5:12" x14ac:dyDescent="0.2">
      <c r="E807" s="16"/>
      <c r="F807" s="16"/>
      <c r="G807" s="16"/>
      <c r="H807" s="16"/>
      <c r="I807" s="16"/>
      <c r="J807" s="16"/>
      <c r="K807" s="16"/>
      <c r="L807" s="16"/>
    </row>
    <row r="808" spans="5:12" x14ac:dyDescent="0.2">
      <c r="E808" s="16"/>
      <c r="F808" s="16"/>
      <c r="G808" s="16"/>
      <c r="H808" s="16"/>
      <c r="I808" s="16"/>
      <c r="J808" s="16"/>
      <c r="K808" s="16"/>
      <c r="L808" s="16"/>
    </row>
    <row r="809" spans="5:12" x14ac:dyDescent="0.2">
      <c r="E809" s="16"/>
      <c r="F809" s="16"/>
      <c r="G809" s="16"/>
      <c r="H809" s="16"/>
      <c r="I809" s="16"/>
      <c r="J809" s="16"/>
      <c r="K809" s="16"/>
      <c r="L809" s="16"/>
    </row>
    <row r="810" spans="5:12" x14ac:dyDescent="0.2">
      <c r="E810" s="16"/>
      <c r="F810" s="16"/>
      <c r="G810" s="16"/>
      <c r="H810" s="16"/>
      <c r="I810" s="16"/>
      <c r="J810" s="16"/>
      <c r="K810" s="16"/>
      <c r="L810" s="16"/>
    </row>
    <row r="811" spans="5:12" x14ac:dyDescent="0.2">
      <c r="E811" s="16"/>
      <c r="F811" s="16"/>
      <c r="G811" s="16"/>
      <c r="H811" s="16"/>
      <c r="I811" s="16"/>
      <c r="J811" s="16"/>
      <c r="K811" s="16"/>
      <c r="L811" s="16"/>
    </row>
    <row r="812" spans="5:12" x14ac:dyDescent="0.2">
      <c r="E812" s="16"/>
      <c r="F812" s="16"/>
      <c r="G812" s="16"/>
      <c r="H812" s="16"/>
      <c r="I812" s="16"/>
      <c r="J812" s="16"/>
      <c r="K812" s="16"/>
      <c r="L812" s="16"/>
    </row>
    <row r="813" spans="5:12" x14ac:dyDescent="0.2">
      <c r="E813" s="16"/>
      <c r="F813" s="16"/>
      <c r="G813" s="16"/>
      <c r="H813" s="16"/>
      <c r="I813" s="16"/>
      <c r="J813" s="16"/>
      <c r="K813" s="16"/>
      <c r="L813" s="16"/>
    </row>
    <row r="814" spans="5:12" x14ac:dyDescent="0.2">
      <c r="E814" s="16"/>
      <c r="F814" s="16"/>
      <c r="G814" s="16"/>
      <c r="H814" s="16"/>
      <c r="I814" s="16"/>
      <c r="J814" s="16"/>
      <c r="K814" s="16"/>
      <c r="L814" s="16"/>
    </row>
    <row r="815" spans="5:12" x14ac:dyDescent="0.2">
      <c r="E815" s="16"/>
      <c r="F815" s="16"/>
      <c r="G815" s="16"/>
      <c r="H815" s="16"/>
      <c r="I815" s="16"/>
      <c r="J815" s="16"/>
      <c r="K815" s="16"/>
      <c r="L815" s="16"/>
    </row>
    <row r="816" spans="5:12" x14ac:dyDescent="0.2">
      <c r="E816" s="16"/>
      <c r="F816" s="16"/>
      <c r="G816" s="16"/>
      <c r="H816" s="16"/>
      <c r="I816" s="16"/>
      <c r="J816" s="16"/>
      <c r="K816" s="16"/>
      <c r="L816" s="16"/>
    </row>
    <row r="817" spans="5:12" x14ac:dyDescent="0.2">
      <c r="E817" s="16"/>
      <c r="F817" s="16"/>
      <c r="G817" s="16"/>
      <c r="H817" s="16"/>
      <c r="I817" s="16"/>
      <c r="J817" s="16"/>
      <c r="K817" s="16"/>
      <c r="L817" s="16"/>
    </row>
    <row r="818" spans="5:12" x14ac:dyDescent="0.2">
      <c r="E818" s="16"/>
      <c r="F818" s="16"/>
      <c r="G818" s="16"/>
      <c r="H818" s="16"/>
      <c r="I818" s="16"/>
      <c r="J818" s="16"/>
      <c r="K818" s="16"/>
      <c r="L818" s="16"/>
    </row>
    <row r="819" spans="5:12" x14ac:dyDescent="0.2">
      <c r="E819" s="16"/>
      <c r="F819" s="16"/>
      <c r="G819" s="16"/>
      <c r="H819" s="16"/>
      <c r="I819" s="16"/>
      <c r="J819" s="16"/>
      <c r="K819" s="16"/>
      <c r="L819" s="16"/>
    </row>
    <row r="820" spans="5:12" x14ac:dyDescent="0.2">
      <c r="E820" s="16"/>
      <c r="F820" s="16"/>
      <c r="G820" s="16"/>
      <c r="H820" s="16"/>
      <c r="I820" s="16"/>
      <c r="J820" s="16"/>
      <c r="K820" s="16"/>
      <c r="L820" s="16"/>
    </row>
    <row r="821" spans="5:12" x14ac:dyDescent="0.2">
      <c r="E821" s="16"/>
      <c r="F821" s="16"/>
      <c r="G821" s="16"/>
      <c r="H821" s="16"/>
      <c r="I821" s="16"/>
      <c r="J821" s="16"/>
      <c r="K821" s="16"/>
      <c r="L821" s="16"/>
    </row>
    <row r="822" spans="5:12" x14ac:dyDescent="0.2">
      <c r="E822" s="16"/>
      <c r="F822" s="16"/>
      <c r="G822" s="16"/>
      <c r="H822" s="16"/>
      <c r="I822" s="16"/>
      <c r="J822" s="16"/>
      <c r="K822" s="16"/>
      <c r="L822" s="16"/>
    </row>
    <row r="823" spans="5:12" x14ac:dyDescent="0.2">
      <c r="E823" s="16"/>
      <c r="F823" s="16"/>
      <c r="G823" s="16"/>
      <c r="H823" s="16"/>
      <c r="I823" s="16"/>
      <c r="J823" s="16"/>
      <c r="K823" s="16"/>
      <c r="L823" s="16"/>
    </row>
    <row r="824" spans="5:12" x14ac:dyDescent="0.2">
      <c r="E824" s="16"/>
      <c r="F824" s="16"/>
      <c r="G824" s="16"/>
      <c r="H824" s="16"/>
      <c r="I824" s="16"/>
      <c r="J824" s="16"/>
      <c r="K824" s="16"/>
      <c r="L824" s="16"/>
    </row>
    <row r="825" spans="5:12" x14ac:dyDescent="0.2">
      <c r="E825" s="16"/>
      <c r="F825" s="16"/>
      <c r="G825" s="16"/>
      <c r="H825" s="16"/>
      <c r="I825" s="16"/>
      <c r="J825" s="16"/>
      <c r="K825" s="16"/>
      <c r="L825" s="16"/>
    </row>
    <row r="826" spans="5:12" x14ac:dyDescent="0.2">
      <c r="E826" s="16"/>
      <c r="F826" s="16"/>
      <c r="G826" s="16"/>
      <c r="H826" s="16"/>
      <c r="I826" s="16"/>
      <c r="J826" s="16"/>
      <c r="K826" s="16"/>
      <c r="L826" s="16"/>
    </row>
    <row r="827" spans="5:12" x14ac:dyDescent="0.2">
      <c r="E827" s="16"/>
      <c r="F827" s="16"/>
      <c r="G827" s="16"/>
      <c r="H827" s="16"/>
      <c r="I827" s="16"/>
      <c r="J827" s="16"/>
      <c r="K827" s="16"/>
      <c r="L827" s="16"/>
    </row>
    <row r="828" spans="5:12" x14ac:dyDescent="0.2">
      <c r="E828" s="16"/>
      <c r="F828" s="16"/>
      <c r="G828" s="16"/>
      <c r="H828" s="16"/>
      <c r="I828" s="16"/>
      <c r="J828" s="16"/>
      <c r="K828" s="16"/>
      <c r="L828" s="16"/>
    </row>
    <row r="829" spans="5:12" x14ac:dyDescent="0.2">
      <c r="E829" s="16"/>
      <c r="F829" s="16"/>
      <c r="G829" s="16"/>
      <c r="H829" s="16"/>
      <c r="I829" s="16"/>
      <c r="J829" s="16"/>
      <c r="K829" s="16"/>
      <c r="L829" s="16"/>
    </row>
    <row r="830" spans="5:12" x14ac:dyDescent="0.2">
      <c r="E830" s="16"/>
      <c r="F830" s="16"/>
      <c r="G830" s="16"/>
      <c r="H830" s="16"/>
      <c r="I830" s="16"/>
      <c r="J830" s="16"/>
      <c r="K830" s="16"/>
      <c r="L830" s="16"/>
    </row>
    <row r="831" spans="5:12" x14ac:dyDescent="0.2">
      <c r="E831" s="16"/>
      <c r="F831" s="16"/>
      <c r="G831" s="16"/>
      <c r="H831" s="16"/>
      <c r="I831" s="16"/>
      <c r="J831" s="16"/>
      <c r="K831" s="16"/>
      <c r="L831" s="16"/>
    </row>
    <row r="832" spans="5:12" x14ac:dyDescent="0.2">
      <c r="E832" s="16"/>
      <c r="F832" s="16"/>
      <c r="G832" s="16"/>
      <c r="H832" s="16"/>
      <c r="I832" s="16"/>
      <c r="J832" s="16"/>
      <c r="K832" s="16"/>
      <c r="L832" s="16"/>
    </row>
    <row r="833" spans="5:12" x14ac:dyDescent="0.2">
      <c r="E833" s="16"/>
      <c r="F833" s="16"/>
      <c r="G833" s="16"/>
      <c r="H833" s="16"/>
      <c r="I833" s="16"/>
      <c r="J833" s="16"/>
      <c r="K833" s="16"/>
      <c r="L833" s="16"/>
    </row>
    <row r="834" spans="5:12" x14ac:dyDescent="0.2">
      <c r="E834" s="16"/>
      <c r="F834" s="16"/>
      <c r="G834" s="16"/>
      <c r="H834" s="16"/>
      <c r="I834" s="16"/>
      <c r="J834" s="16"/>
      <c r="K834" s="16"/>
      <c r="L834" s="16"/>
    </row>
    <row r="835" spans="5:12" x14ac:dyDescent="0.2">
      <c r="E835" s="16"/>
      <c r="F835" s="16"/>
      <c r="G835" s="16"/>
      <c r="H835" s="16"/>
      <c r="I835" s="16"/>
      <c r="J835" s="16"/>
      <c r="K835" s="16"/>
      <c r="L835" s="16"/>
    </row>
    <row r="836" spans="5:12" x14ac:dyDescent="0.2">
      <c r="E836" s="16"/>
      <c r="F836" s="16"/>
      <c r="G836" s="16"/>
      <c r="H836" s="16"/>
      <c r="I836" s="16"/>
      <c r="J836" s="16"/>
      <c r="K836" s="16"/>
      <c r="L836" s="16"/>
    </row>
    <row r="837" spans="5:12" x14ac:dyDescent="0.2">
      <c r="E837" s="16"/>
      <c r="F837" s="16"/>
      <c r="G837" s="16"/>
      <c r="H837" s="16"/>
      <c r="I837" s="16"/>
      <c r="J837" s="16"/>
      <c r="K837" s="16"/>
      <c r="L837" s="16"/>
    </row>
    <row r="838" spans="5:12" x14ac:dyDescent="0.2">
      <c r="E838" s="16"/>
      <c r="F838" s="16"/>
      <c r="G838" s="16"/>
      <c r="H838" s="16"/>
      <c r="I838" s="16"/>
      <c r="J838" s="16"/>
      <c r="K838" s="16"/>
      <c r="L838" s="16"/>
    </row>
    <row r="839" spans="5:12" x14ac:dyDescent="0.2">
      <c r="E839" s="16"/>
      <c r="F839" s="16"/>
      <c r="G839" s="16"/>
      <c r="H839" s="16"/>
      <c r="I839" s="16"/>
      <c r="J839" s="16"/>
      <c r="K839" s="16"/>
      <c r="L839" s="16"/>
    </row>
    <row r="840" spans="5:12" x14ac:dyDescent="0.2">
      <c r="E840" s="16"/>
      <c r="F840" s="16"/>
      <c r="G840" s="16"/>
      <c r="H840" s="16"/>
      <c r="I840" s="16"/>
      <c r="J840" s="16"/>
      <c r="K840" s="16"/>
      <c r="L840" s="16"/>
    </row>
    <row r="841" spans="5:12" x14ac:dyDescent="0.2">
      <c r="E841" s="16"/>
      <c r="F841" s="16"/>
      <c r="G841" s="16"/>
      <c r="H841" s="16"/>
      <c r="I841" s="16"/>
      <c r="J841" s="16"/>
      <c r="K841" s="16"/>
      <c r="L841" s="16"/>
    </row>
    <row r="842" spans="5:12" x14ac:dyDescent="0.2">
      <c r="E842" s="16"/>
      <c r="F842" s="16"/>
      <c r="G842" s="16"/>
      <c r="H842" s="16"/>
      <c r="I842" s="16"/>
      <c r="J842" s="16"/>
      <c r="K842" s="16"/>
      <c r="L842" s="16"/>
    </row>
    <row r="843" spans="5:12" x14ac:dyDescent="0.2">
      <c r="E843" s="16"/>
      <c r="F843" s="16"/>
      <c r="G843" s="16"/>
      <c r="H843" s="16"/>
      <c r="I843" s="16"/>
      <c r="J843" s="16"/>
      <c r="K843" s="16"/>
      <c r="L843" s="16"/>
    </row>
    <row r="844" spans="5:12" x14ac:dyDescent="0.2">
      <c r="E844" s="16"/>
      <c r="F844" s="16"/>
      <c r="G844" s="16"/>
      <c r="H844" s="16"/>
      <c r="I844" s="16"/>
      <c r="J844" s="16"/>
      <c r="K844" s="16"/>
      <c r="L844" s="16"/>
    </row>
    <row r="845" spans="5:12" x14ac:dyDescent="0.2">
      <c r="E845" s="16"/>
      <c r="F845" s="16"/>
      <c r="G845" s="16"/>
      <c r="H845" s="16"/>
      <c r="I845" s="16"/>
      <c r="J845" s="16"/>
      <c r="K845" s="16"/>
      <c r="L845" s="16"/>
    </row>
    <row r="846" spans="5:12" x14ac:dyDescent="0.2">
      <c r="E846" s="16"/>
      <c r="F846" s="16"/>
      <c r="G846" s="16"/>
      <c r="H846" s="16"/>
      <c r="I846" s="16"/>
      <c r="J846" s="16"/>
      <c r="K846" s="16"/>
      <c r="L846" s="16"/>
    </row>
    <row r="847" spans="5:12" x14ac:dyDescent="0.2">
      <c r="E847" s="16"/>
      <c r="F847" s="16"/>
      <c r="G847" s="16"/>
      <c r="H847" s="16"/>
      <c r="I847" s="16"/>
      <c r="J847" s="16"/>
      <c r="K847" s="16"/>
      <c r="L847" s="16"/>
    </row>
    <row r="848" spans="5:12" x14ac:dyDescent="0.2">
      <c r="E848" s="16"/>
      <c r="F848" s="16"/>
      <c r="G848" s="16"/>
      <c r="H848" s="16"/>
      <c r="I848" s="16"/>
      <c r="J848" s="16"/>
      <c r="K848" s="16"/>
      <c r="L848" s="16"/>
    </row>
    <row r="849" spans="5:12" x14ac:dyDescent="0.2">
      <c r="E849" s="16"/>
      <c r="F849" s="16"/>
      <c r="G849" s="16"/>
      <c r="H849" s="16"/>
      <c r="I849" s="16"/>
      <c r="J849" s="16"/>
      <c r="K849" s="16"/>
      <c r="L849" s="16"/>
    </row>
    <row r="850" spans="5:12" x14ac:dyDescent="0.2">
      <c r="E850" s="16"/>
      <c r="F850" s="16"/>
      <c r="G850" s="16"/>
      <c r="H850" s="16"/>
      <c r="I850" s="16"/>
      <c r="J850" s="16"/>
      <c r="K850" s="16"/>
      <c r="L850" s="16"/>
    </row>
    <row r="851" spans="5:12" x14ac:dyDescent="0.2">
      <c r="E851" s="16"/>
      <c r="F851" s="16"/>
      <c r="G851" s="16"/>
      <c r="H851" s="16"/>
      <c r="I851" s="16"/>
      <c r="J851" s="16"/>
      <c r="K851" s="16"/>
      <c r="L851" s="16"/>
    </row>
    <row r="852" spans="5:12" x14ac:dyDescent="0.2">
      <c r="E852" s="16"/>
      <c r="F852" s="16"/>
      <c r="G852" s="16"/>
      <c r="H852" s="16"/>
      <c r="I852" s="16"/>
      <c r="J852" s="16"/>
      <c r="K852" s="16"/>
      <c r="L852" s="16"/>
    </row>
    <row r="853" spans="5:12" x14ac:dyDescent="0.2">
      <c r="E853" s="16"/>
      <c r="F853" s="16"/>
      <c r="G853" s="16"/>
      <c r="H853" s="16"/>
      <c r="I853" s="16"/>
      <c r="J853" s="16"/>
      <c r="K853" s="16"/>
      <c r="L853" s="16"/>
    </row>
    <row r="854" spans="5:12" x14ac:dyDescent="0.2">
      <c r="E854" s="16"/>
      <c r="F854" s="16"/>
      <c r="G854" s="16"/>
      <c r="H854" s="16"/>
      <c r="I854" s="16"/>
      <c r="J854" s="16"/>
      <c r="K854" s="16"/>
      <c r="L854" s="16"/>
    </row>
    <row r="855" spans="5:12" x14ac:dyDescent="0.2">
      <c r="E855" s="16"/>
      <c r="F855" s="16"/>
      <c r="G855" s="16"/>
      <c r="H855" s="16"/>
      <c r="I855" s="16"/>
      <c r="J855" s="16"/>
      <c r="K855" s="16"/>
      <c r="L855" s="16"/>
    </row>
    <row r="856" spans="5:12" x14ac:dyDescent="0.2">
      <c r="E856" s="16"/>
      <c r="F856" s="16"/>
      <c r="G856" s="16"/>
      <c r="H856" s="16"/>
      <c r="I856" s="16"/>
      <c r="J856" s="16"/>
      <c r="K856" s="16"/>
      <c r="L856" s="16"/>
    </row>
    <row r="857" spans="5:12" x14ac:dyDescent="0.2">
      <c r="E857" s="16"/>
      <c r="F857" s="16"/>
      <c r="G857" s="16"/>
      <c r="H857" s="16"/>
      <c r="I857" s="16"/>
      <c r="J857" s="16"/>
      <c r="K857" s="16"/>
      <c r="L857" s="16"/>
    </row>
    <row r="858" spans="5:12" x14ac:dyDescent="0.2">
      <c r="E858" s="16"/>
      <c r="F858" s="16"/>
      <c r="G858" s="16"/>
      <c r="H858" s="16"/>
      <c r="I858" s="16"/>
      <c r="J858" s="16"/>
      <c r="K858" s="16"/>
      <c r="L858" s="16"/>
    </row>
    <row r="859" spans="5:12" x14ac:dyDescent="0.2">
      <c r="E859" s="16"/>
      <c r="F859" s="16"/>
      <c r="G859" s="16"/>
      <c r="H859" s="16"/>
      <c r="I859" s="16"/>
      <c r="J859" s="16"/>
      <c r="K859" s="16"/>
      <c r="L859" s="16"/>
    </row>
    <row r="860" spans="5:12" x14ac:dyDescent="0.2">
      <c r="E860" s="16"/>
      <c r="F860" s="16"/>
      <c r="G860" s="16"/>
      <c r="H860" s="16"/>
      <c r="I860" s="16"/>
      <c r="J860" s="16"/>
      <c r="K860" s="16"/>
      <c r="L860" s="16"/>
    </row>
    <row r="861" spans="5:12" x14ac:dyDescent="0.2">
      <c r="E861" s="16"/>
      <c r="F861" s="16"/>
      <c r="G861" s="16"/>
      <c r="H861" s="16"/>
      <c r="I861" s="16"/>
      <c r="J861" s="16"/>
      <c r="K861" s="16"/>
      <c r="L861" s="16"/>
    </row>
    <row r="862" spans="5:12" x14ac:dyDescent="0.2">
      <c r="E862" s="16"/>
      <c r="F862" s="16"/>
      <c r="G862" s="16"/>
      <c r="H862" s="16"/>
      <c r="I862" s="16"/>
      <c r="J862" s="16"/>
      <c r="K862" s="16"/>
      <c r="L862" s="16"/>
    </row>
    <row r="863" spans="5:12" x14ac:dyDescent="0.2">
      <c r="E863" s="16"/>
      <c r="F863" s="16"/>
      <c r="G863" s="16"/>
      <c r="H863" s="16"/>
      <c r="I863" s="16"/>
      <c r="J863" s="16"/>
      <c r="K863" s="16"/>
      <c r="L863" s="16"/>
    </row>
    <row r="864" spans="5:12" x14ac:dyDescent="0.2">
      <c r="E864" s="16"/>
      <c r="F864" s="16"/>
      <c r="G864" s="16"/>
      <c r="H864" s="16"/>
      <c r="I864" s="16"/>
      <c r="J864" s="16"/>
      <c r="K864" s="16"/>
      <c r="L864" s="16"/>
    </row>
    <row r="865" spans="5:12" x14ac:dyDescent="0.2">
      <c r="E865" s="16"/>
      <c r="F865" s="16"/>
      <c r="G865" s="16"/>
      <c r="H865" s="16"/>
      <c r="I865" s="16"/>
      <c r="J865" s="16"/>
      <c r="K865" s="16"/>
      <c r="L865" s="16"/>
    </row>
    <row r="866" spans="5:12" x14ac:dyDescent="0.2">
      <c r="E866" s="16"/>
      <c r="F866" s="16"/>
      <c r="G866" s="16"/>
      <c r="H866" s="16"/>
      <c r="I866" s="16"/>
      <c r="J866" s="16"/>
      <c r="K866" s="16"/>
      <c r="L866" s="16"/>
    </row>
    <row r="867" spans="5:12" x14ac:dyDescent="0.2">
      <c r="E867" s="16"/>
      <c r="F867" s="16"/>
      <c r="G867" s="16"/>
      <c r="H867" s="16"/>
      <c r="I867" s="16"/>
      <c r="J867" s="16"/>
      <c r="K867" s="16"/>
      <c r="L867" s="16"/>
    </row>
    <row r="868" spans="5:12" x14ac:dyDescent="0.2">
      <c r="E868" s="16"/>
      <c r="F868" s="16"/>
      <c r="G868" s="16"/>
      <c r="H868" s="16"/>
      <c r="I868" s="16"/>
      <c r="J868" s="16"/>
      <c r="K868" s="16"/>
      <c r="L868" s="16"/>
    </row>
    <row r="869" spans="5:12" x14ac:dyDescent="0.2">
      <c r="E869" s="16"/>
      <c r="F869" s="16"/>
      <c r="G869" s="16"/>
      <c r="H869" s="16"/>
      <c r="I869" s="16"/>
      <c r="J869" s="16"/>
      <c r="K869" s="16"/>
      <c r="L869" s="16"/>
    </row>
    <row r="870" spans="5:12" x14ac:dyDescent="0.2">
      <c r="E870" s="16"/>
      <c r="F870" s="16"/>
      <c r="G870" s="16"/>
      <c r="H870" s="16"/>
      <c r="I870" s="16"/>
      <c r="J870" s="16"/>
      <c r="K870" s="16"/>
      <c r="L870" s="16"/>
    </row>
    <row r="871" spans="5:12" x14ac:dyDescent="0.2">
      <c r="E871" s="16"/>
      <c r="F871" s="16"/>
      <c r="G871" s="16"/>
      <c r="H871" s="16"/>
      <c r="I871" s="16"/>
      <c r="J871" s="16"/>
      <c r="K871" s="16"/>
      <c r="L871" s="16"/>
    </row>
    <row r="872" spans="5:12" x14ac:dyDescent="0.2">
      <c r="E872" s="16"/>
      <c r="F872" s="16"/>
      <c r="G872" s="16"/>
      <c r="H872" s="16"/>
      <c r="I872" s="16"/>
      <c r="J872" s="16"/>
      <c r="K872" s="16"/>
      <c r="L872" s="16"/>
    </row>
    <row r="873" spans="5:12" x14ac:dyDescent="0.2">
      <c r="E873" s="16"/>
      <c r="F873" s="16"/>
      <c r="G873" s="16"/>
      <c r="H873" s="16"/>
      <c r="I873" s="16"/>
      <c r="J873" s="16"/>
      <c r="K873" s="16"/>
      <c r="L873" s="16"/>
    </row>
    <row r="874" spans="5:12" x14ac:dyDescent="0.2">
      <c r="E874" s="16"/>
      <c r="F874" s="16"/>
      <c r="G874" s="16"/>
      <c r="H874" s="16"/>
      <c r="I874" s="16"/>
      <c r="J874" s="16"/>
      <c r="K874" s="16"/>
      <c r="L874" s="16"/>
    </row>
    <row r="875" spans="5:12" x14ac:dyDescent="0.2">
      <c r="E875" s="16"/>
      <c r="F875" s="16"/>
      <c r="G875" s="16"/>
      <c r="H875" s="16"/>
      <c r="I875" s="16"/>
      <c r="J875" s="16"/>
      <c r="K875" s="16"/>
      <c r="L875" s="16"/>
    </row>
    <row r="876" spans="5:12" x14ac:dyDescent="0.2">
      <c r="E876" s="16"/>
      <c r="F876" s="16"/>
      <c r="G876" s="16"/>
      <c r="H876" s="16"/>
      <c r="I876" s="16"/>
      <c r="J876" s="16"/>
      <c r="K876" s="16"/>
      <c r="L876" s="16"/>
    </row>
    <row r="877" spans="5:12" x14ac:dyDescent="0.2">
      <c r="E877" s="16"/>
      <c r="F877" s="16"/>
      <c r="G877" s="16"/>
      <c r="H877" s="16"/>
      <c r="I877" s="16"/>
      <c r="J877" s="16"/>
      <c r="K877" s="16"/>
      <c r="L877" s="16"/>
    </row>
    <row r="878" spans="5:12" x14ac:dyDescent="0.2">
      <c r="E878" s="16"/>
      <c r="F878" s="16"/>
      <c r="G878" s="16"/>
      <c r="H878" s="16"/>
      <c r="I878" s="16"/>
      <c r="J878" s="16"/>
      <c r="K878" s="16"/>
      <c r="L878" s="16"/>
    </row>
    <row r="879" spans="5:12" x14ac:dyDescent="0.2">
      <c r="E879" s="16"/>
      <c r="F879" s="16"/>
      <c r="G879" s="16"/>
      <c r="H879" s="16"/>
      <c r="I879" s="16"/>
      <c r="J879" s="16"/>
      <c r="K879" s="16"/>
      <c r="L879" s="16"/>
    </row>
    <row r="880" spans="5:12" x14ac:dyDescent="0.2">
      <c r="E880" s="16"/>
      <c r="F880" s="16"/>
      <c r="G880" s="16"/>
      <c r="H880" s="16"/>
      <c r="I880" s="16"/>
      <c r="J880" s="16"/>
      <c r="K880" s="16"/>
      <c r="L880" s="16"/>
    </row>
    <row r="881" spans="5:12" x14ac:dyDescent="0.2">
      <c r="E881" s="16"/>
      <c r="F881" s="16"/>
      <c r="G881" s="16"/>
      <c r="H881" s="16"/>
      <c r="I881" s="16"/>
      <c r="J881" s="16"/>
      <c r="K881" s="16"/>
      <c r="L881" s="16"/>
    </row>
    <row r="882" spans="5:12" x14ac:dyDescent="0.2">
      <c r="E882" s="16"/>
      <c r="F882" s="16"/>
      <c r="G882" s="16"/>
      <c r="H882" s="16"/>
      <c r="I882" s="16"/>
      <c r="J882" s="16"/>
      <c r="K882" s="16"/>
      <c r="L882" s="16"/>
    </row>
    <row r="883" spans="5:12" x14ac:dyDescent="0.2">
      <c r="E883" s="16"/>
      <c r="F883" s="16"/>
      <c r="G883" s="16"/>
      <c r="H883" s="16"/>
      <c r="I883" s="16"/>
      <c r="J883" s="16"/>
      <c r="K883" s="16"/>
      <c r="L883" s="16"/>
    </row>
    <row r="884" spans="5:12" x14ac:dyDescent="0.2">
      <c r="E884" s="16"/>
      <c r="F884" s="16"/>
      <c r="G884" s="16"/>
      <c r="H884" s="16"/>
      <c r="I884" s="16"/>
      <c r="J884" s="16"/>
      <c r="K884" s="16"/>
      <c r="L884" s="16"/>
    </row>
    <row r="885" spans="5:12" x14ac:dyDescent="0.2">
      <c r="E885" s="16"/>
      <c r="F885" s="16"/>
      <c r="G885" s="16"/>
      <c r="H885" s="16"/>
      <c r="I885" s="16"/>
      <c r="J885" s="16"/>
      <c r="K885" s="16"/>
      <c r="L885" s="16"/>
    </row>
    <row r="886" spans="5:12" x14ac:dyDescent="0.2">
      <c r="E886" s="16"/>
      <c r="F886" s="16"/>
      <c r="G886" s="16"/>
      <c r="H886" s="16"/>
      <c r="I886" s="16"/>
      <c r="J886" s="16"/>
      <c r="K886" s="16"/>
      <c r="L886" s="16"/>
    </row>
    <row r="887" spans="5:12" x14ac:dyDescent="0.2">
      <c r="E887" s="16"/>
      <c r="F887" s="16"/>
      <c r="G887" s="16"/>
      <c r="H887" s="16"/>
      <c r="I887" s="16"/>
      <c r="J887" s="16"/>
      <c r="K887" s="16"/>
      <c r="L887" s="16"/>
    </row>
    <row r="888" spans="5:12" x14ac:dyDescent="0.2">
      <c r="E888" s="16"/>
      <c r="F888" s="16"/>
      <c r="G888" s="16"/>
      <c r="H888" s="16"/>
      <c r="I888" s="16"/>
      <c r="J888" s="16"/>
      <c r="K888" s="16"/>
      <c r="L888" s="16"/>
    </row>
    <row r="889" spans="5:12" x14ac:dyDescent="0.2">
      <c r="E889" s="16"/>
      <c r="F889" s="16"/>
      <c r="G889" s="16"/>
      <c r="H889" s="16"/>
      <c r="I889" s="16"/>
      <c r="J889" s="16"/>
      <c r="K889" s="16"/>
      <c r="L889" s="16"/>
    </row>
    <row r="890" spans="5:12" x14ac:dyDescent="0.2">
      <c r="E890" s="16"/>
      <c r="F890" s="16"/>
      <c r="G890" s="16"/>
      <c r="H890" s="16"/>
      <c r="I890" s="16"/>
      <c r="J890" s="16"/>
      <c r="K890" s="16"/>
      <c r="L890" s="16"/>
    </row>
    <row r="891" spans="5:12" x14ac:dyDescent="0.2">
      <c r="E891" s="16"/>
      <c r="F891" s="16"/>
      <c r="G891" s="16"/>
      <c r="H891" s="16"/>
      <c r="I891" s="16"/>
      <c r="J891" s="16"/>
      <c r="K891" s="16"/>
      <c r="L891" s="16"/>
    </row>
    <row r="892" spans="5:12" x14ac:dyDescent="0.2">
      <c r="E892" s="16"/>
      <c r="F892" s="16"/>
      <c r="G892" s="16"/>
      <c r="H892" s="16"/>
      <c r="I892" s="16"/>
      <c r="J892" s="16"/>
      <c r="K892" s="16"/>
      <c r="L892" s="16"/>
    </row>
    <row r="893" spans="5:12" x14ac:dyDescent="0.2">
      <c r="E893" s="16"/>
      <c r="F893" s="16"/>
      <c r="G893" s="16"/>
      <c r="H893" s="16"/>
      <c r="I893" s="16"/>
      <c r="J893" s="16"/>
      <c r="K893" s="16"/>
      <c r="L893" s="16"/>
    </row>
    <row r="894" spans="5:12" x14ac:dyDescent="0.2">
      <c r="E894" s="16"/>
      <c r="F894" s="16"/>
      <c r="G894" s="16"/>
      <c r="H894" s="16"/>
      <c r="I894" s="16"/>
      <c r="J894" s="16"/>
      <c r="K894" s="16"/>
      <c r="L894" s="16"/>
    </row>
    <row r="895" spans="5:12" x14ac:dyDescent="0.2">
      <c r="E895" s="16"/>
      <c r="F895" s="16"/>
      <c r="G895" s="16"/>
      <c r="H895" s="16"/>
      <c r="I895" s="16"/>
      <c r="J895" s="16"/>
      <c r="K895" s="16"/>
      <c r="L895" s="16"/>
    </row>
    <row r="896" spans="5:12" x14ac:dyDescent="0.2">
      <c r="E896" s="16"/>
      <c r="F896" s="16"/>
      <c r="G896" s="16"/>
      <c r="H896" s="16"/>
      <c r="I896" s="16"/>
      <c r="J896" s="16"/>
      <c r="K896" s="16"/>
      <c r="L896" s="16"/>
    </row>
    <row r="897" spans="5:12" x14ac:dyDescent="0.2">
      <c r="E897" s="16"/>
      <c r="F897" s="16"/>
      <c r="G897" s="16"/>
      <c r="H897" s="16"/>
      <c r="I897" s="16"/>
      <c r="J897" s="16"/>
      <c r="K897" s="16"/>
      <c r="L897" s="16"/>
    </row>
    <row r="898" spans="5:12" x14ac:dyDescent="0.2">
      <c r="E898" s="16"/>
      <c r="F898" s="16"/>
      <c r="G898" s="16"/>
      <c r="H898" s="16"/>
      <c r="I898" s="16"/>
      <c r="J898" s="16"/>
      <c r="K898" s="16"/>
      <c r="L898" s="16"/>
    </row>
    <row r="899" spans="5:12" x14ac:dyDescent="0.2">
      <c r="E899" s="16"/>
      <c r="F899" s="16"/>
      <c r="G899" s="16"/>
      <c r="H899" s="16"/>
      <c r="I899" s="16"/>
      <c r="J899" s="16"/>
      <c r="K899" s="16"/>
      <c r="L899" s="16"/>
    </row>
    <row r="900" spans="5:12" x14ac:dyDescent="0.2">
      <c r="E900" s="16"/>
      <c r="F900" s="16"/>
      <c r="G900" s="16"/>
      <c r="H900" s="16"/>
      <c r="I900" s="16"/>
      <c r="J900" s="16"/>
      <c r="K900" s="16"/>
      <c r="L900" s="16"/>
    </row>
    <row r="901" spans="5:12" x14ac:dyDescent="0.2">
      <c r="E901" s="16"/>
      <c r="F901" s="16"/>
      <c r="G901" s="16"/>
      <c r="H901" s="16"/>
      <c r="I901" s="16"/>
      <c r="J901" s="16"/>
      <c r="K901" s="16"/>
      <c r="L901" s="16"/>
    </row>
    <row r="902" spans="5:12" x14ac:dyDescent="0.2">
      <c r="E902" s="16"/>
      <c r="F902" s="16"/>
      <c r="G902" s="16"/>
      <c r="H902" s="16"/>
      <c r="I902" s="16"/>
      <c r="J902" s="16"/>
      <c r="K902" s="16"/>
      <c r="L902" s="16"/>
    </row>
    <row r="903" spans="5:12" x14ac:dyDescent="0.2">
      <c r="E903" s="16"/>
      <c r="F903" s="16"/>
      <c r="G903" s="16"/>
      <c r="H903" s="16"/>
      <c r="I903" s="16"/>
      <c r="J903" s="16"/>
      <c r="K903" s="16"/>
      <c r="L903" s="16"/>
    </row>
    <row r="904" spans="5:12" x14ac:dyDescent="0.2">
      <c r="E904" s="16"/>
      <c r="F904" s="16"/>
      <c r="G904" s="16"/>
      <c r="H904" s="16"/>
      <c r="I904" s="16"/>
      <c r="J904" s="16"/>
      <c r="K904" s="16"/>
      <c r="L904" s="16"/>
    </row>
    <row r="905" spans="5:12" x14ac:dyDescent="0.2">
      <c r="E905" s="16"/>
      <c r="F905" s="16"/>
      <c r="G905" s="16"/>
      <c r="H905" s="16"/>
      <c r="I905" s="16"/>
      <c r="J905" s="16"/>
      <c r="K905" s="16"/>
      <c r="L905" s="16"/>
    </row>
    <row r="906" spans="5:12" x14ac:dyDescent="0.2">
      <c r="E906" s="16"/>
      <c r="F906" s="16"/>
      <c r="G906" s="16"/>
      <c r="H906" s="16"/>
      <c r="I906" s="16"/>
      <c r="J906" s="16"/>
      <c r="K906" s="16"/>
      <c r="L906" s="16"/>
    </row>
    <row r="907" spans="5:12" x14ac:dyDescent="0.2">
      <c r="E907" s="16"/>
      <c r="F907" s="16"/>
      <c r="G907" s="16"/>
      <c r="H907" s="16"/>
      <c r="I907" s="16"/>
      <c r="J907" s="16"/>
      <c r="K907" s="16"/>
      <c r="L907" s="16"/>
    </row>
    <row r="908" spans="5:12" x14ac:dyDescent="0.2">
      <c r="E908" s="16"/>
      <c r="F908" s="16"/>
      <c r="G908" s="16"/>
      <c r="H908" s="16"/>
      <c r="I908" s="16"/>
      <c r="J908" s="16"/>
      <c r="K908" s="16"/>
      <c r="L908" s="16"/>
    </row>
    <row r="909" spans="5:12" x14ac:dyDescent="0.2">
      <c r="E909" s="16"/>
      <c r="F909" s="16"/>
      <c r="G909" s="16"/>
      <c r="H909" s="16"/>
      <c r="I909" s="16"/>
      <c r="J909" s="16"/>
      <c r="K909" s="16"/>
      <c r="L909" s="16"/>
    </row>
    <row r="910" spans="5:12" x14ac:dyDescent="0.2">
      <c r="E910" s="16"/>
      <c r="F910" s="16"/>
      <c r="G910" s="16"/>
      <c r="H910" s="16"/>
      <c r="I910" s="16"/>
      <c r="J910" s="16"/>
      <c r="K910" s="16"/>
      <c r="L910" s="16"/>
    </row>
    <row r="911" spans="5:12" x14ac:dyDescent="0.2">
      <c r="E911" s="16"/>
      <c r="F911" s="16"/>
      <c r="G911" s="16"/>
      <c r="H911" s="16"/>
      <c r="I911" s="16"/>
      <c r="J911" s="16"/>
      <c r="K911" s="16"/>
      <c r="L911" s="16"/>
    </row>
    <row r="912" spans="5:12" x14ac:dyDescent="0.2">
      <c r="E912" s="16"/>
      <c r="F912" s="16"/>
      <c r="G912" s="16"/>
      <c r="H912" s="16"/>
      <c r="I912" s="16"/>
      <c r="J912" s="16"/>
      <c r="K912" s="16"/>
      <c r="L912" s="16"/>
    </row>
    <row r="913" spans="5:12" x14ac:dyDescent="0.2">
      <c r="E913" s="16"/>
      <c r="F913" s="16"/>
      <c r="G913" s="16"/>
      <c r="H913" s="16"/>
      <c r="I913" s="16"/>
      <c r="J913" s="16"/>
      <c r="K913" s="16"/>
      <c r="L913" s="16"/>
    </row>
    <row r="914" spans="5:12" x14ac:dyDescent="0.2">
      <c r="E914" s="16"/>
      <c r="F914" s="16"/>
      <c r="G914" s="16"/>
      <c r="H914" s="16"/>
      <c r="I914" s="16"/>
      <c r="J914" s="16"/>
      <c r="K914" s="16"/>
      <c r="L914" s="16"/>
    </row>
    <row r="915" spans="5:12" x14ac:dyDescent="0.2">
      <c r="E915" s="16"/>
      <c r="F915" s="16"/>
      <c r="G915" s="16"/>
      <c r="H915" s="16"/>
      <c r="I915" s="16"/>
      <c r="J915" s="16"/>
      <c r="K915" s="16"/>
      <c r="L915" s="16"/>
    </row>
    <row r="916" spans="5:12" x14ac:dyDescent="0.2">
      <c r="E916" s="16"/>
      <c r="F916" s="16"/>
      <c r="G916" s="16"/>
      <c r="H916" s="16"/>
      <c r="I916" s="16"/>
      <c r="J916" s="16"/>
      <c r="K916" s="16"/>
      <c r="L916" s="16"/>
    </row>
    <row r="917" spans="5:12" x14ac:dyDescent="0.2">
      <c r="E917" s="16"/>
      <c r="F917" s="16"/>
      <c r="G917" s="16"/>
      <c r="H917" s="16"/>
      <c r="I917" s="16"/>
      <c r="J917" s="16"/>
      <c r="K917" s="16"/>
      <c r="L917" s="16"/>
    </row>
    <row r="918" spans="5:12" x14ac:dyDescent="0.2">
      <c r="E918" s="16"/>
      <c r="F918" s="16"/>
      <c r="G918" s="16"/>
      <c r="H918" s="16"/>
      <c r="I918" s="16"/>
      <c r="J918" s="16"/>
      <c r="K918" s="16"/>
      <c r="L918" s="16"/>
    </row>
    <row r="919" spans="5:12" x14ac:dyDescent="0.2">
      <c r="E919" s="16"/>
      <c r="F919" s="16"/>
      <c r="G919" s="16"/>
      <c r="H919" s="16"/>
      <c r="I919" s="16"/>
      <c r="J919" s="16"/>
      <c r="K919" s="16"/>
      <c r="L919" s="16"/>
    </row>
    <row r="920" spans="5:12" x14ac:dyDescent="0.2">
      <c r="E920" s="16"/>
      <c r="F920" s="16"/>
      <c r="G920" s="16"/>
      <c r="H920" s="16"/>
      <c r="I920" s="16"/>
      <c r="J920" s="16"/>
      <c r="K920" s="16"/>
      <c r="L920" s="16"/>
    </row>
    <row r="921" spans="5:12" x14ac:dyDescent="0.2">
      <c r="E921" s="16"/>
      <c r="F921" s="16"/>
      <c r="G921" s="16"/>
      <c r="H921" s="16"/>
      <c r="I921" s="16"/>
      <c r="J921" s="16"/>
      <c r="K921" s="16"/>
      <c r="L921" s="16"/>
    </row>
    <row r="922" spans="5:12" x14ac:dyDescent="0.2">
      <c r="E922" s="16"/>
      <c r="F922" s="16"/>
      <c r="G922" s="16"/>
      <c r="H922" s="16"/>
      <c r="I922" s="16"/>
      <c r="J922" s="16"/>
      <c r="K922" s="16"/>
      <c r="L922" s="16"/>
    </row>
    <row r="923" spans="5:12" x14ac:dyDescent="0.2">
      <c r="E923" s="16"/>
      <c r="F923" s="16"/>
      <c r="G923" s="16"/>
      <c r="H923" s="16"/>
      <c r="I923" s="16"/>
      <c r="J923" s="16"/>
      <c r="K923" s="16"/>
      <c r="L923" s="16"/>
    </row>
    <row r="924" spans="5:12" x14ac:dyDescent="0.2">
      <c r="E924" s="16"/>
      <c r="F924" s="16"/>
      <c r="G924" s="16"/>
      <c r="H924" s="16"/>
      <c r="I924" s="16"/>
      <c r="J924" s="16"/>
      <c r="K924" s="16"/>
      <c r="L924" s="16"/>
    </row>
    <row r="925" spans="5:12" x14ac:dyDescent="0.2">
      <c r="E925" s="16"/>
      <c r="F925" s="16"/>
      <c r="G925" s="16"/>
      <c r="H925" s="16"/>
      <c r="I925" s="16"/>
      <c r="J925" s="16"/>
      <c r="K925" s="16"/>
      <c r="L925" s="16"/>
    </row>
    <row r="926" spans="5:12" x14ac:dyDescent="0.2">
      <c r="E926" s="16"/>
      <c r="F926" s="16"/>
      <c r="G926" s="16"/>
      <c r="H926" s="16"/>
      <c r="I926" s="16"/>
      <c r="J926" s="16"/>
      <c r="K926" s="16"/>
      <c r="L926" s="16"/>
    </row>
    <row r="927" spans="5:12" x14ac:dyDescent="0.2">
      <c r="E927" s="16"/>
      <c r="F927" s="16"/>
      <c r="G927" s="16"/>
      <c r="H927" s="16"/>
      <c r="I927" s="16"/>
      <c r="J927" s="16"/>
      <c r="K927" s="16"/>
      <c r="L927" s="16"/>
    </row>
    <row r="928" spans="5:12" x14ac:dyDescent="0.2">
      <c r="E928" s="16"/>
      <c r="F928" s="16"/>
      <c r="G928" s="16"/>
      <c r="H928" s="16"/>
      <c r="I928" s="16"/>
      <c r="J928" s="16"/>
      <c r="K928" s="16"/>
      <c r="L928" s="16"/>
    </row>
    <row r="929" spans="5:12" x14ac:dyDescent="0.2">
      <c r="E929" s="16"/>
      <c r="F929" s="16"/>
      <c r="G929" s="16"/>
      <c r="H929" s="16"/>
      <c r="I929" s="16"/>
      <c r="J929" s="16"/>
      <c r="K929" s="16"/>
      <c r="L929" s="16"/>
    </row>
    <row r="930" spans="5:12" x14ac:dyDescent="0.2">
      <c r="E930" s="16"/>
      <c r="F930" s="16"/>
      <c r="G930" s="16"/>
      <c r="H930" s="16"/>
      <c r="I930" s="16"/>
      <c r="J930" s="16"/>
      <c r="K930" s="16"/>
      <c r="L930" s="16"/>
    </row>
    <row r="931" spans="5:12" x14ac:dyDescent="0.2">
      <c r="E931" s="16"/>
      <c r="F931" s="16"/>
      <c r="G931" s="16"/>
      <c r="H931" s="16"/>
      <c r="I931" s="16"/>
      <c r="J931" s="16"/>
      <c r="K931" s="16"/>
      <c r="L931" s="16"/>
    </row>
    <row r="932" spans="5:12" x14ac:dyDescent="0.2">
      <c r="E932" s="16"/>
      <c r="F932" s="16"/>
      <c r="G932" s="16"/>
      <c r="H932" s="16"/>
      <c r="I932" s="16"/>
      <c r="J932" s="16"/>
      <c r="K932" s="16"/>
      <c r="L932" s="16"/>
    </row>
    <row r="933" spans="5:12" x14ac:dyDescent="0.2">
      <c r="E933" s="16"/>
      <c r="F933" s="16"/>
      <c r="G933" s="16"/>
      <c r="H933" s="16"/>
      <c r="I933" s="16"/>
      <c r="J933" s="16"/>
      <c r="K933" s="16"/>
      <c r="L933" s="16"/>
    </row>
    <row r="934" spans="5:12" x14ac:dyDescent="0.2">
      <c r="E934" s="16"/>
      <c r="F934" s="16"/>
      <c r="G934" s="16"/>
      <c r="H934" s="16"/>
      <c r="I934" s="16"/>
      <c r="J934" s="16"/>
      <c r="K934" s="16"/>
      <c r="L934" s="16"/>
    </row>
    <row r="935" spans="5:12" x14ac:dyDescent="0.2">
      <c r="E935" s="16"/>
      <c r="F935" s="16"/>
      <c r="G935" s="16"/>
      <c r="H935" s="16"/>
      <c r="I935" s="16"/>
      <c r="J935" s="16"/>
      <c r="K935" s="16"/>
      <c r="L935" s="16"/>
    </row>
    <row r="936" spans="5:12" x14ac:dyDescent="0.2">
      <c r="E936" s="16"/>
      <c r="F936" s="16"/>
      <c r="G936" s="16"/>
      <c r="H936" s="16"/>
      <c r="I936" s="16"/>
      <c r="J936" s="16"/>
      <c r="K936" s="16"/>
      <c r="L936" s="16"/>
    </row>
    <row r="937" spans="5:12" x14ac:dyDescent="0.2">
      <c r="E937" s="16"/>
      <c r="F937" s="16"/>
      <c r="G937" s="16"/>
      <c r="H937" s="16"/>
      <c r="I937" s="16"/>
      <c r="J937" s="16"/>
      <c r="K937" s="16"/>
      <c r="L937" s="16"/>
    </row>
    <row r="938" spans="5:12" x14ac:dyDescent="0.2">
      <c r="E938" s="16"/>
      <c r="F938" s="16"/>
      <c r="G938" s="16"/>
      <c r="H938" s="16"/>
      <c r="I938" s="16"/>
      <c r="J938" s="16"/>
      <c r="K938" s="16"/>
      <c r="L938" s="16"/>
    </row>
    <row r="939" spans="5:12" x14ac:dyDescent="0.2">
      <c r="E939" s="16"/>
      <c r="F939" s="16"/>
      <c r="G939" s="16"/>
      <c r="H939" s="16"/>
      <c r="I939" s="16"/>
      <c r="J939" s="16"/>
      <c r="K939" s="16"/>
      <c r="L939" s="16"/>
    </row>
    <row r="940" spans="5:12" x14ac:dyDescent="0.2">
      <c r="E940" s="16"/>
      <c r="F940" s="16"/>
      <c r="G940" s="16"/>
      <c r="H940" s="16"/>
      <c r="I940" s="16"/>
      <c r="J940" s="16"/>
      <c r="K940" s="16"/>
      <c r="L940" s="16"/>
    </row>
    <row r="941" spans="5:12" x14ac:dyDescent="0.2">
      <c r="E941" s="16"/>
      <c r="F941" s="16"/>
      <c r="G941" s="16"/>
      <c r="H941" s="16"/>
      <c r="I941" s="16"/>
      <c r="J941" s="16"/>
      <c r="K941" s="16"/>
      <c r="L941" s="16"/>
    </row>
    <row r="942" spans="5:12" x14ac:dyDescent="0.2">
      <c r="E942" s="16"/>
      <c r="F942" s="16"/>
      <c r="G942" s="16"/>
      <c r="H942" s="16"/>
      <c r="I942" s="16"/>
      <c r="J942" s="16"/>
      <c r="K942" s="16"/>
      <c r="L942" s="16"/>
    </row>
    <row r="943" spans="5:12" x14ac:dyDescent="0.2">
      <c r="E943" s="16"/>
      <c r="F943" s="16"/>
      <c r="G943" s="16"/>
      <c r="H943" s="16"/>
      <c r="I943" s="16"/>
      <c r="J943" s="16"/>
      <c r="K943" s="16"/>
      <c r="L943" s="16"/>
    </row>
    <row r="944" spans="5:12" x14ac:dyDescent="0.2">
      <c r="E944" s="16"/>
      <c r="F944" s="16"/>
      <c r="G944" s="16"/>
      <c r="H944" s="16"/>
      <c r="I944" s="16"/>
      <c r="J944" s="16"/>
      <c r="K944" s="16"/>
      <c r="L944" s="16"/>
    </row>
    <row r="945" spans="5:12" x14ac:dyDescent="0.2">
      <c r="E945" s="16"/>
      <c r="F945" s="16"/>
      <c r="G945" s="16"/>
      <c r="H945" s="16"/>
      <c r="I945" s="16"/>
      <c r="J945" s="16"/>
      <c r="K945" s="16"/>
      <c r="L945" s="16"/>
    </row>
    <row r="946" spans="5:12" x14ac:dyDescent="0.2">
      <c r="E946" s="16"/>
      <c r="F946" s="16"/>
      <c r="G946" s="16"/>
      <c r="H946" s="16"/>
      <c r="I946" s="16"/>
      <c r="J946" s="16"/>
      <c r="K946" s="16"/>
      <c r="L946" s="16"/>
    </row>
    <row r="947" spans="5:12" x14ac:dyDescent="0.2">
      <c r="E947" s="16"/>
      <c r="F947" s="16"/>
      <c r="G947" s="16"/>
      <c r="H947" s="16"/>
      <c r="I947" s="16"/>
      <c r="J947" s="16"/>
      <c r="K947" s="16"/>
      <c r="L947" s="16"/>
    </row>
    <row r="948" spans="5:12" x14ac:dyDescent="0.2">
      <c r="E948" s="16"/>
      <c r="F948" s="16"/>
      <c r="G948" s="16"/>
      <c r="H948" s="16"/>
      <c r="I948" s="16"/>
      <c r="J948" s="16"/>
      <c r="K948" s="16"/>
      <c r="L948" s="16"/>
    </row>
    <row r="949" spans="5:12" x14ac:dyDescent="0.2">
      <c r="E949" s="16"/>
      <c r="F949" s="16"/>
      <c r="G949" s="16"/>
      <c r="H949" s="16"/>
      <c r="I949" s="16"/>
      <c r="J949" s="16"/>
      <c r="K949" s="16"/>
      <c r="L949" s="16"/>
    </row>
    <row r="950" spans="5:12" x14ac:dyDescent="0.2">
      <c r="E950" s="16"/>
      <c r="F950" s="16"/>
      <c r="G950" s="16"/>
      <c r="H950" s="16"/>
      <c r="I950" s="16"/>
      <c r="J950" s="16"/>
      <c r="K950" s="16"/>
      <c r="L950" s="16"/>
    </row>
    <row r="951" spans="5:12" x14ac:dyDescent="0.2">
      <c r="E951" s="16"/>
      <c r="F951" s="16"/>
      <c r="G951" s="16"/>
      <c r="H951" s="16"/>
      <c r="I951" s="16"/>
      <c r="J951" s="16"/>
      <c r="K951" s="16"/>
      <c r="L951" s="16"/>
    </row>
    <row r="952" spans="5:12" x14ac:dyDescent="0.2">
      <c r="E952" s="16"/>
      <c r="F952" s="16"/>
      <c r="G952" s="16"/>
      <c r="H952" s="16"/>
      <c r="I952" s="16"/>
      <c r="J952" s="16"/>
      <c r="K952" s="16"/>
      <c r="L952" s="16"/>
    </row>
    <row r="953" spans="5:12" x14ac:dyDescent="0.2">
      <c r="E953" s="16"/>
      <c r="F953" s="16"/>
      <c r="G953" s="16"/>
      <c r="H953" s="16"/>
      <c r="I953" s="16"/>
      <c r="J953" s="16"/>
      <c r="K953" s="16"/>
      <c r="L953" s="16"/>
    </row>
    <row r="954" spans="5:12" x14ac:dyDescent="0.2">
      <c r="E954" s="16"/>
      <c r="F954" s="16"/>
      <c r="G954" s="16"/>
      <c r="H954" s="16"/>
      <c r="I954" s="16"/>
      <c r="J954" s="16"/>
      <c r="K954" s="16"/>
      <c r="L954" s="16"/>
    </row>
    <row r="955" spans="5:12" x14ac:dyDescent="0.2">
      <c r="E955" s="16"/>
      <c r="F955" s="16"/>
      <c r="G955" s="16"/>
      <c r="H955" s="16"/>
      <c r="I955" s="16"/>
      <c r="J955" s="16"/>
      <c r="K955" s="16"/>
      <c r="L955" s="16"/>
    </row>
    <row r="956" spans="5:12" x14ac:dyDescent="0.2">
      <c r="E956" s="16"/>
      <c r="F956" s="16"/>
      <c r="G956" s="16"/>
      <c r="H956" s="16"/>
      <c r="I956" s="16"/>
      <c r="J956" s="16"/>
      <c r="K956" s="16"/>
      <c r="L956" s="16"/>
    </row>
    <row r="957" spans="5:12" x14ac:dyDescent="0.2">
      <c r="E957" s="16"/>
      <c r="F957" s="16"/>
      <c r="G957" s="16"/>
      <c r="H957" s="16"/>
      <c r="I957" s="16"/>
      <c r="J957" s="16"/>
      <c r="K957" s="16"/>
      <c r="L957" s="16"/>
    </row>
    <row r="958" spans="5:12" x14ac:dyDescent="0.2">
      <c r="E958" s="16"/>
      <c r="F958" s="16"/>
      <c r="G958" s="16"/>
      <c r="H958" s="16"/>
      <c r="I958" s="16"/>
      <c r="J958" s="16"/>
      <c r="K958" s="16"/>
      <c r="L958" s="16"/>
    </row>
    <row r="959" spans="5:12" x14ac:dyDescent="0.2">
      <c r="E959" s="16"/>
      <c r="F959" s="16"/>
      <c r="G959" s="16"/>
      <c r="H959" s="16"/>
      <c r="I959" s="16"/>
      <c r="J959" s="16"/>
      <c r="K959" s="16"/>
      <c r="L959" s="16"/>
    </row>
    <row r="960" spans="5:12" x14ac:dyDescent="0.2">
      <c r="E960" s="16"/>
      <c r="F960" s="16"/>
      <c r="G960" s="16"/>
      <c r="H960" s="16"/>
      <c r="I960" s="16"/>
      <c r="J960" s="16"/>
      <c r="K960" s="16"/>
      <c r="L960" s="16"/>
    </row>
    <row r="961" spans="5:12" x14ac:dyDescent="0.2">
      <c r="E961" s="16"/>
      <c r="F961" s="16"/>
      <c r="G961" s="16"/>
      <c r="H961" s="16"/>
      <c r="I961" s="16"/>
      <c r="J961" s="16"/>
      <c r="K961" s="16"/>
      <c r="L961" s="16"/>
    </row>
    <row r="962" spans="5:12" x14ac:dyDescent="0.2">
      <c r="E962" s="16"/>
      <c r="F962" s="16"/>
      <c r="G962" s="16"/>
      <c r="H962" s="16"/>
      <c r="I962" s="16"/>
      <c r="J962" s="16"/>
      <c r="K962" s="16"/>
      <c r="L962" s="16"/>
    </row>
    <row r="963" spans="5:12" x14ac:dyDescent="0.2">
      <c r="E963" s="16"/>
      <c r="F963" s="16"/>
      <c r="G963" s="16"/>
      <c r="H963" s="16"/>
      <c r="I963" s="16"/>
      <c r="J963" s="16"/>
      <c r="K963" s="16"/>
      <c r="L963" s="16"/>
    </row>
    <row r="964" spans="5:12" x14ac:dyDescent="0.2">
      <c r="E964" s="16"/>
      <c r="F964" s="16"/>
      <c r="G964" s="16"/>
      <c r="H964" s="16"/>
      <c r="I964" s="16"/>
      <c r="J964" s="16"/>
      <c r="K964" s="16"/>
      <c r="L964" s="16"/>
    </row>
    <row r="965" spans="5:12" x14ac:dyDescent="0.2">
      <c r="E965" s="16"/>
      <c r="F965" s="16"/>
      <c r="G965" s="16"/>
      <c r="H965" s="16"/>
      <c r="I965" s="16"/>
      <c r="J965" s="16"/>
      <c r="K965" s="16"/>
      <c r="L965" s="16"/>
    </row>
    <row r="966" spans="5:12" x14ac:dyDescent="0.2">
      <c r="E966" s="16"/>
      <c r="F966" s="16"/>
      <c r="G966" s="16"/>
      <c r="H966" s="16"/>
      <c r="I966" s="16"/>
      <c r="J966" s="16"/>
      <c r="K966" s="16"/>
      <c r="L966" s="16"/>
    </row>
    <row r="967" spans="5:12" x14ac:dyDescent="0.2">
      <c r="E967" s="16"/>
      <c r="F967" s="16"/>
      <c r="G967" s="16"/>
      <c r="H967" s="16"/>
      <c r="I967" s="16"/>
      <c r="J967" s="16"/>
      <c r="K967" s="16"/>
      <c r="L967" s="16"/>
    </row>
    <row r="968" spans="5:12" x14ac:dyDescent="0.2">
      <c r="E968" s="16"/>
      <c r="F968" s="16"/>
      <c r="G968" s="16"/>
      <c r="H968" s="16"/>
      <c r="I968" s="16"/>
      <c r="J968" s="16"/>
      <c r="K968" s="16"/>
      <c r="L968" s="16"/>
    </row>
    <row r="969" spans="5:12" x14ac:dyDescent="0.2">
      <c r="E969" s="16"/>
      <c r="F969" s="16"/>
      <c r="G969" s="16"/>
      <c r="H969" s="16"/>
      <c r="I969" s="16"/>
      <c r="J969" s="16"/>
      <c r="K969" s="16"/>
      <c r="L969" s="16"/>
    </row>
    <row r="970" spans="5:12" x14ac:dyDescent="0.2">
      <c r="E970" s="16"/>
      <c r="F970" s="16"/>
      <c r="G970" s="16"/>
      <c r="H970" s="16"/>
      <c r="I970" s="16"/>
      <c r="J970" s="16"/>
      <c r="K970" s="16"/>
      <c r="L970" s="16"/>
    </row>
    <row r="971" spans="5:12" x14ac:dyDescent="0.2">
      <c r="E971" s="16"/>
      <c r="F971" s="16"/>
      <c r="G971" s="16"/>
      <c r="H971" s="16"/>
      <c r="I971" s="16"/>
      <c r="J971" s="16"/>
      <c r="K971" s="16"/>
      <c r="L971" s="16"/>
    </row>
    <row r="972" spans="5:12" x14ac:dyDescent="0.2">
      <c r="E972" s="16"/>
      <c r="F972" s="16"/>
      <c r="G972" s="16"/>
      <c r="H972" s="16"/>
      <c r="I972" s="16"/>
      <c r="J972" s="16"/>
      <c r="K972" s="16"/>
      <c r="L972" s="16"/>
    </row>
    <row r="973" spans="5:12" x14ac:dyDescent="0.2">
      <c r="E973" s="16"/>
      <c r="F973" s="16"/>
      <c r="G973" s="16"/>
      <c r="H973" s="16"/>
      <c r="I973" s="16"/>
      <c r="J973" s="16"/>
      <c r="K973" s="16"/>
      <c r="L973" s="16"/>
    </row>
    <row r="974" spans="5:12" x14ac:dyDescent="0.2">
      <c r="E974" s="16"/>
      <c r="F974" s="16"/>
      <c r="G974" s="16"/>
      <c r="H974" s="16"/>
      <c r="I974" s="16"/>
      <c r="J974" s="16"/>
      <c r="K974" s="16"/>
      <c r="L974" s="16"/>
    </row>
    <row r="975" spans="5:12" x14ac:dyDescent="0.2">
      <c r="E975" s="16"/>
      <c r="F975" s="16"/>
      <c r="G975" s="16"/>
      <c r="H975" s="16"/>
      <c r="I975" s="16"/>
      <c r="J975" s="16"/>
      <c r="K975" s="16"/>
      <c r="L975" s="16"/>
    </row>
    <row r="976" spans="5:12" x14ac:dyDescent="0.2">
      <c r="E976" s="16"/>
      <c r="F976" s="16"/>
      <c r="G976" s="16"/>
      <c r="H976" s="16"/>
      <c r="I976" s="16"/>
      <c r="J976" s="16"/>
      <c r="K976" s="16"/>
      <c r="L976" s="16"/>
    </row>
    <row r="977" spans="5:12" x14ac:dyDescent="0.2">
      <c r="E977" s="16"/>
      <c r="F977" s="16"/>
      <c r="G977" s="16"/>
      <c r="H977" s="16"/>
      <c r="I977" s="16"/>
      <c r="J977" s="16"/>
      <c r="K977" s="16"/>
      <c r="L977" s="16"/>
    </row>
    <row r="978" spans="5:12" x14ac:dyDescent="0.2">
      <c r="E978" s="16"/>
      <c r="F978" s="16"/>
      <c r="G978" s="16"/>
      <c r="H978" s="16"/>
      <c r="I978" s="16"/>
      <c r="J978" s="16"/>
      <c r="K978" s="16"/>
      <c r="L978" s="16"/>
    </row>
    <row r="979" spans="5:12" x14ac:dyDescent="0.2">
      <c r="E979" s="16"/>
      <c r="F979" s="16"/>
      <c r="G979" s="16"/>
      <c r="H979" s="16"/>
      <c r="I979" s="16"/>
      <c r="J979" s="16"/>
      <c r="K979" s="16"/>
      <c r="L979" s="16"/>
    </row>
    <row r="980" spans="5:12" x14ac:dyDescent="0.2">
      <c r="E980" s="16"/>
      <c r="F980" s="16"/>
      <c r="G980" s="16"/>
      <c r="H980" s="16"/>
      <c r="I980" s="16"/>
      <c r="J980" s="16"/>
      <c r="K980" s="16"/>
      <c r="L980" s="16"/>
    </row>
    <row r="981" spans="5:12" x14ac:dyDescent="0.2">
      <c r="E981" s="16"/>
      <c r="F981" s="16"/>
      <c r="G981" s="16"/>
      <c r="H981" s="16"/>
      <c r="I981" s="16"/>
      <c r="J981" s="16"/>
      <c r="K981" s="16"/>
      <c r="L981" s="16"/>
    </row>
    <row r="982" spans="5:12" x14ac:dyDescent="0.2">
      <c r="E982" s="16"/>
      <c r="F982" s="16"/>
      <c r="G982" s="16"/>
      <c r="H982" s="16"/>
      <c r="I982" s="16"/>
      <c r="J982" s="16"/>
      <c r="K982" s="16"/>
      <c r="L982" s="16"/>
    </row>
    <row r="983" spans="5:12" x14ac:dyDescent="0.2">
      <c r="E983" s="16"/>
      <c r="F983" s="16"/>
      <c r="G983" s="16"/>
      <c r="H983" s="16"/>
      <c r="I983" s="16"/>
      <c r="J983" s="16"/>
      <c r="K983" s="16"/>
      <c r="L983" s="16"/>
    </row>
    <row r="984" spans="5:12" x14ac:dyDescent="0.2">
      <c r="E984" s="16"/>
      <c r="F984" s="16"/>
      <c r="G984" s="16"/>
      <c r="H984" s="16"/>
      <c r="I984" s="16"/>
      <c r="J984" s="16"/>
      <c r="K984" s="16"/>
      <c r="L984" s="16"/>
    </row>
    <row r="985" spans="5:12" x14ac:dyDescent="0.2">
      <c r="E985" s="16"/>
      <c r="F985" s="16"/>
      <c r="G985" s="16"/>
      <c r="H985" s="16"/>
      <c r="I985" s="16"/>
      <c r="J985" s="16"/>
      <c r="K985" s="16"/>
      <c r="L985" s="16"/>
    </row>
    <row r="986" spans="5:12" x14ac:dyDescent="0.2">
      <c r="E986" s="16"/>
      <c r="F986" s="16"/>
      <c r="G986" s="16"/>
      <c r="H986" s="16"/>
      <c r="I986" s="16"/>
      <c r="J986" s="16"/>
      <c r="K986" s="16"/>
      <c r="L986" s="16"/>
    </row>
    <row r="987" spans="5:12" x14ac:dyDescent="0.2">
      <c r="E987" s="16"/>
      <c r="F987" s="16"/>
      <c r="G987" s="16"/>
      <c r="H987" s="16"/>
      <c r="I987" s="16"/>
      <c r="J987" s="16"/>
      <c r="K987" s="16"/>
      <c r="L987" s="16"/>
    </row>
    <row r="988" spans="5:12" x14ac:dyDescent="0.2">
      <c r="E988" s="16"/>
      <c r="F988" s="16"/>
      <c r="G988" s="16"/>
      <c r="H988" s="16"/>
      <c r="I988" s="16"/>
      <c r="J988" s="16"/>
      <c r="K988" s="16"/>
      <c r="L988" s="16"/>
    </row>
    <row r="989" spans="5:12" x14ac:dyDescent="0.2">
      <c r="E989" s="16"/>
      <c r="F989" s="16"/>
      <c r="G989" s="16"/>
      <c r="H989" s="16"/>
      <c r="I989" s="16"/>
      <c r="J989" s="16"/>
      <c r="K989" s="16"/>
      <c r="L989" s="16"/>
    </row>
    <row r="990" spans="5:12" x14ac:dyDescent="0.2">
      <c r="E990" s="16"/>
      <c r="F990" s="16"/>
      <c r="G990" s="16"/>
      <c r="H990" s="16"/>
      <c r="I990" s="16"/>
      <c r="J990" s="16"/>
      <c r="K990" s="16"/>
      <c r="L990" s="16"/>
    </row>
    <row r="991" spans="5:12" x14ac:dyDescent="0.2">
      <c r="E991" s="16"/>
      <c r="F991" s="16"/>
      <c r="G991" s="16"/>
      <c r="H991" s="16"/>
      <c r="I991" s="16"/>
      <c r="J991" s="16"/>
      <c r="K991" s="16"/>
      <c r="L991" s="16"/>
    </row>
    <row r="992" spans="5:12" x14ac:dyDescent="0.2">
      <c r="E992" s="16"/>
      <c r="F992" s="16"/>
      <c r="G992" s="16"/>
      <c r="H992" s="16"/>
      <c r="I992" s="16"/>
      <c r="J992" s="16"/>
      <c r="K992" s="16"/>
      <c r="L992" s="16"/>
    </row>
    <row r="993" spans="5:12" x14ac:dyDescent="0.2">
      <c r="E993" s="16"/>
      <c r="F993" s="16"/>
      <c r="G993" s="16"/>
      <c r="H993" s="16"/>
      <c r="I993" s="16"/>
      <c r="J993" s="16"/>
      <c r="K993" s="16"/>
      <c r="L993" s="16"/>
    </row>
    <row r="994" spans="5:12" x14ac:dyDescent="0.2">
      <c r="E994" s="16"/>
      <c r="F994" s="16"/>
      <c r="G994" s="16"/>
      <c r="H994" s="16"/>
      <c r="I994" s="16"/>
      <c r="J994" s="16"/>
      <c r="K994" s="16"/>
      <c r="L994" s="16"/>
    </row>
    <row r="995" spans="5:12" x14ac:dyDescent="0.2">
      <c r="E995" s="16"/>
      <c r="F995" s="16"/>
      <c r="G995" s="16"/>
      <c r="H995" s="16"/>
      <c r="I995" s="16"/>
      <c r="J995" s="16"/>
      <c r="K995" s="16"/>
      <c r="L995" s="16"/>
    </row>
    <row r="996" spans="5:12" x14ac:dyDescent="0.2">
      <c r="E996" s="16"/>
      <c r="F996" s="16"/>
      <c r="G996" s="16"/>
      <c r="H996" s="16"/>
      <c r="I996" s="16"/>
      <c r="J996" s="16"/>
      <c r="K996" s="16"/>
      <c r="L996" s="16"/>
    </row>
    <row r="997" spans="5:12" x14ac:dyDescent="0.2">
      <c r="E997" s="16"/>
      <c r="F997" s="16"/>
      <c r="G997" s="16"/>
      <c r="H997" s="16"/>
      <c r="I997" s="16"/>
      <c r="J997" s="16"/>
      <c r="K997" s="16"/>
      <c r="L997" s="16"/>
    </row>
    <row r="998" spans="5:12" x14ac:dyDescent="0.2">
      <c r="E998" s="16"/>
      <c r="F998" s="16"/>
      <c r="G998" s="16"/>
      <c r="H998" s="16"/>
      <c r="I998" s="16"/>
      <c r="J998" s="16"/>
      <c r="K998" s="16"/>
      <c r="L998" s="16"/>
    </row>
    <row r="999" spans="5:12" x14ac:dyDescent="0.2">
      <c r="E999" s="16"/>
      <c r="F999" s="16"/>
      <c r="G999" s="16"/>
      <c r="H999" s="16"/>
      <c r="I999" s="16"/>
      <c r="J999" s="16"/>
      <c r="K999" s="16"/>
      <c r="L999" s="16"/>
    </row>
    <row r="1000" spans="5:12" x14ac:dyDescent="0.2">
      <c r="E1000" s="16"/>
      <c r="F1000" s="16"/>
      <c r="G1000" s="16"/>
      <c r="H1000" s="16"/>
      <c r="I1000" s="16"/>
      <c r="J1000" s="16"/>
      <c r="K1000" s="16"/>
      <c r="L1000" s="16"/>
    </row>
    <row r="1001" spans="5:12" x14ac:dyDescent="0.2">
      <c r="E1001" s="16"/>
      <c r="F1001" s="16"/>
      <c r="G1001" s="16"/>
      <c r="H1001" s="16"/>
      <c r="I1001" s="16"/>
      <c r="J1001" s="16"/>
      <c r="K1001" s="16"/>
      <c r="L1001" s="16"/>
    </row>
    <row r="1002" spans="5:12" x14ac:dyDescent="0.2">
      <c r="E1002" s="16"/>
      <c r="F1002" s="16"/>
      <c r="G1002" s="16"/>
      <c r="H1002" s="16"/>
      <c r="I1002" s="16"/>
      <c r="J1002" s="16"/>
      <c r="K1002" s="16"/>
      <c r="L1002" s="16"/>
    </row>
    <row r="1003" spans="5:12" x14ac:dyDescent="0.2">
      <c r="E1003" s="16"/>
      <c r="F1003" s="16"/>
      <c r="G1003" s="16"/>
      <c r="H1003" s="16"/>
      <c r="I1003" s="16"/>
      <c r="J1003" s="16"/>
      <c r="K1003" s="16"/>
      <c r="L1003" s="16"/>
    </row>
    <row r="1004" spans="5:12" x14ac:dyDescent="0.2">
      <c r="E1004" s="16"/>
      <c r="F1004" s="16"/>
      <c r="G1004" s="16"/>
      <c r="H1004" s="16"/>
      <c r="I1004" s="16"/>
      <c r="J1004" s="16"/>
      <c r="K1004" s="16"/>
      <c r="L1004" s="16"/>
    </row>
    <row r="1005" spans="5:12" x14ac:dyDescent="0.2">
      <c r="E1005" s="16"/>
      <c r="F1005" s="16"/>
      <c r="G1005" s="16"/>
      <c r="H1005" s="16"/>
      <c r="I1005" s="16"/>
      <c r="J1005" s="16"/>
      <c r="K1005" s="16"/>
      <c r="L1005" s="16"/>
    </row>
    <row r="1006" spans="5:12" x14ac:dyDescent="0.2">
      <c r="E1006" s="16"/>
      <c r="F1006" s="16"/>
      <c r="G1006" s="16"/>
      <c r="H1006" s="16"/>
      <c r="I1006" s="16"/>
      <c r="J1006" s="16"/>
      <c r="K1006" s="16"/>
      <c r="L1006" s="16"/>
    </row>
    <row r="1007" spans="5:12" x14ac:dyDescent="0.2">
      <c r="E1007" s="16"/>
      <c r="F1007" s="16"/>
      <c r="G1007" s="16"/>
      <c r="H1007" s="16"/>
      <c r="I1007" s="16"/>
      <c r="J1007" s="16"/>
      <c r="K1007" s="16"/>
      <c r="L1007" s="16"/>
    </row>
    <row r="1008" spans="5:12" x14ac:dyDescent="0.2">
      <c r="E1008" s="16"/>
      <c r="F1008" s="16"/>
      <c r="G1008" s="16"/>
      <c r="H1008" s="16"/>
      <c r="I1008" s="16"/>
      <c r="J1008" s="16"/>
      <c r="K1008" s="16"/>
      <c r="L1008" s="16"/>
    </row>
    <row r="1009" spans="5:12" x14ac:dyDescent="0.2">
      <c r="E1009" s="16"/>
      <c r="F1009" s="16"/>
      <c r="G1009" s="16"/>
      <c r="H1009" s="16"/>
      <c r="I1009" s="16"/>
      <c r="J1009" s="16"/>
      <c r="K1009" s="16"/>
      <c r="L1009" s="16"/>
    </row>
    <row r="1010" spans="5:12" x14ac:dyDescent="0.2">
      <c r="E1010" s="16"/>
      <c r="F1010" s="16"/>
      <c r="G1010" s="16"/>
      <c r="H1010" s="16"/>
      <c r="I1010" s="16"/>
      <c r="J1010" s="16"/>
      <c r="K1010" s="16"/>
      <c r="L1010" s="16"/>
    </row>
    <row r="1011" spans="5:12" x14ac:dyDescent="0.2">
      <c r="E1011" s="16"/>
      <c r="F1011" s="16"/>
      <c r="G1011" s="16"/>
      <c r="H1011" s="16"/>
      <c r="I1011" s="16"/>
      <c r="J1011" s="16"/>
      <c r="K1011" s="16"/>
      <c r="L1011" s="16"/>
    </row>
    <row r="1012" spans="5:12" x14ac:dyDescent="0.2">
      <c r="E1012" s="16"/>
      <c r="F1012" s="16"/>
      <c r="G1012" s="16"/>
      <c r="H1012" s="16"/>
      <c r="I1012" s="16"/>
      <c r="J1012" s="16"/>
      <c r="K1012" s="16"/>
      <c r="L1012" s="16"/>
    </row>
    <row r="1013" spans="5:12" x14ac:dyDescent="0.2">
      <c r="E1013" s="16"/>
      <c r="F1013" s="16"/>
      <c r="G1013" s="16"/>
      <c r="H1013" s="16"/>
      <c r="I1013" s="16"/>
      <c r="J1013" s="16"/>
      <c r="K1013" s="16"/>
      <c r="L1013" s="16"/>
    </row>
    <row r="1014" spans="5:12" x14ac:dyDescent="0.2">
      <c r="E1014" s="16"/>
      <c r="F1014" s="16"/>
      <c r="G1014" s="16"/>
      <c r="H1014" s="16"/>
      <c r="I1014" s="16"/>
      <c r="J1014" s="16"/>
      <c r="K1014" s="16"/>
      <c r="L1014" s="16"/>
    </row>
    <row r="1015" spans="5:12" x14ac:dyDescent="0.2">
      <c r="E1015" s="16"/>
      <c r="F1015" s="16"/>
      <c r="G1015" s="16"/>
      <c r="H1015" s="16"/>
      <c r="I1015" s="16"/>
      <c r="J1015" s="16"/>
      <c r="K1015" s="16"/>
      <c r="L1015" s="16"/>
    </row>
    <row r="1016" spans="5:12" x14ac:dyDescent="0.2">
      <c r="E1016" s="16"/>
      <c r="F1016" s="16"/>
      <c r="G1016" s="16"/>
      <c r="H1016" s="16"/>
      <c r="I1016" s="16"/>
      <c r="J1016" s="16"/>
      <c r="K1016" s="16"/>
      <c r="L1016" s="16"/>
    </row>
    <row r="1017" spans="5:12" x14ac:dyDescent="0.2">
      <c r="E1017" s="16"/>
      <c r="F1017" s="16"/>
      <c r="G1017" s="16"/>
      <c r="H1017" s="16"/>
      <c r="I1017" s="16"/>
      <c r="J1017" s="16"/>
      <c r="K1017" s="16"/>
      <c r="L1017" s="16"/>
    </row>
    <row r="1018" spans="5:12" x14ac:dyDescent="0.2">
      <c r="E1018" s="16"/>
      <c r="F1018" s="16"/>
      <c r="G1018" s="16"/>
      <c r="H1018" s="16"/>
      <c r="I1018" s="16"/>
      <c r="J1018" s="16"/>
      <c r="K1018" s="16"/>
      <c r="L1018" s="16"/>
    </row>
    <row r="1019" spans="5:12" x14ac:dyDescent="0.2">
      <c r="E1019" s="16"/>
      <c r="F1019" s="16"/>
      <c r="G1019" s="16"/>
      <c r="H1019" s="16"/>
      <c r="I1019" s="16"/>
      <c r="J1019" s="16"/>
      <c r="K1019" s="16"/>
      <c r="L1019" s="16"/>
    </row>
    <row r="1020" spans="5:12" x14ac:dyDescent="0.2">
      <c r="E1020" s="16"/>
      <c r="F1020" s="16"/>
      <c r="G1020" s="16"/>
      <c r="H1020" s="16"/>
      <c r="I1020" s="16"/>
      <c r="J1020" s="16"/>
      <c r="K1020" s="16"/>
      <c r="L1020" s="16"/>
    </row>
    <row r="1021" spans="5:12" x14ac:dyDescent="0.2">
      <c r="E1021" s="16"/>
      <c r="F1021" s="16"/>
      <c r="G1021" s="16"/>
      <c r="H1021" s="16"/>
      <c r="I1021" s="16"/>
      <c r="J1021" s="16"/>
      <c r="K1021" s="16"/>
      <c r="L1021" s="16"/>
    </row>
    <row r="1022" spans="5:12" x14ac:dyDescent="0.2">
      <c r="E1022" s="16"/>
      <c r="F1022" s="16"/>
      <c r="G1022" s="16"/>
      <c r="H1022" s="16"/>
      <c r="I1022" s="16"/>
      <c r="J1022" s="16"/>
      <c r="K1022" s="16"/>
      <c r="L1022" s="16"/>
    </row>
    <row r="1023" spans="5:12" x14ac:dyDescent="0.2">
      <c r="E1023" s="16"/>
      <c r="F1023" s="16"/>
      <c r="G1023" s="16"/>
      <c r="H1023" s="16"/>
      <c r="I1023" s="16"/>
      <c r="J1023" s="16"/>
      <c r="K1023" s="16"/>
      <c r="L1023" s="16"/>
    </row>
    <row r="1024" spans="5:12" x14ac:dyDescent="0.2">
      <c r="E1024" s="16"/>
      <c r="F1024" s="16"/>
      <c r="G1024" s="16"/>
      <c r="H1024" s="16"/>
      <c r="I1024" s="16"/>
      <c r="J1024" s="16"/>
      <c r="K1024" s="16"/>
      <c r="L1024" s="16"/>
    </row>
    <row r="1025" spans="5:12" x14ac:dyDescent="0.2">
      <c r="E1025" s="16"/>
      <c r="F1025" s="16"/>
      <c r="G1025" s="16"/>
      <c r="H1025" s="16"/>
      <c r="I1025" s="16"/>
      <c r="J1025" s="16"/>
      <c r="K1025" s="16"/>
      <c r="L1025" s="16"/>
    </row>
    <row r="1026" spans="5:12" x14ac:dyDescent="0.2">
      <c r="E1026" s="16"/>
      <c r="F1026" s="16"/>
      <c r="G1026" s="16"/>
      <c r="H1026" s="16"/>
      <c r="I1026" s="16"/>
      <c r="J1026" s="16"/>
      <c r="K1026" s="16"/>
      <c r="L1026" s="16"/>
    </row>
    <row r="1027" spans="5:12" x14ac:dyDescent="0.2">
      <c r="E1027" s="16"/>
      <c r="F1027" s="16"/>
      <c r="G1027" s="16"/>
      <c r="H1027" s="16"/>
      <c r="I1027" s="16"/>
      <c r="J1027" s="16"/>
      <c r="K1027" s="16"/>
      <c r="L1027" s="16"/>
    </row>
    <row r="1028" spans="5:12" x14ac:dyDescent="0.2">
      <c r="E1028" s="16"/>
      <c r="F1028" s="16"/>
      <c r="G1028" s="16"/>
      <c r="H1028" s="16"/>
      <c r="I1028" s="16"/>
      <c r="J1028" s="16"/>
      <c r="K1028" s="16"/>
      <c r="L1028" s="16"/>
    </row>
    <row r="1029" spans="5:12" x14ac:dyDescent="0.2">
      <c r="E1029" s="16"/>
      <c r="F1029" s="16"/>
      <c r="G1029" s="16"/>
      <c r="H1029" s="16"/>
      <c r="I1029" s="16"/>
      <c r="J1029" s="16"/>
      <c r="K1029" s="16"/>
      <c r="L1029" s="16"/>
    </row>
    <row r="1030" spans="5:12" x14ac:dyDescent="0.2">
      <c r="E1030" s="16"/>
      <c r="F1030" s="16"/>
      <c r="G1030" s="16"/>
      <c r="H1030" s="16"/>
      <c r="I1030" s="16"/>
      <c r="J1030" s="16"/>
      <c r="K1030" s="16"/>
      <c r="L1030" s="16"/>
    </row>
    <row r="1031" spans="5:12" x14ac:dyDescent="0.2">
      <c r="E1031" s="16"/>
      <c r="F1031" s="16"/>
      <c r="G1031" s="16"/>
      <c r="H1031" s="16"/>
      <c r="I1031" s="16"/>
      <c r="J1031" s="16"/>
      <c r="K1031" s="16"/>
      <c r="L1031" s="16"/>
    </row>
    <row r="1032" spans="5:12" x14ac:dyDescent="0.2">
      <c r="E1032" s="16"/>
      <c r="F1032" s="16"/>
      <c r="G1032" s="16"/>
      <c r="H1032" s="16"/>
      <c r="I1032" s="16"/>
      <c r="J1032" s="16"/>
      <c r="K1032" s="16"/>
      <c r="L1032" s="16"/>
    </row>
    <row r="1033" spans="5:12" x14ac:dyDescent="0.2">
      <c r="E1033" s="16"/>
      <c r="F1033" s="16"/>
      <c r="G1033" s="16"/>
      <c r="H1033" s="16"/>
      <c r="I1033" s="16"/>
      <c r="J1033" s="16"/>
      <c r="K1033" s="16"/>
      <c r="L1033" s="16"/>
    </row>
    <row r="1034" spans="5:12" x14ac:dyDescent="0.2">
      <c r="E1034" s="16"/>
      <c r="F1034" s="16"/>
      <c r="G1034" s="16"/>
      <c r="H1034" s="16"/>
      <c r="I1034" s="16"/>
      <c r="J1034" s="16"/>
      <c r="K1034" s="16"/>
      <c r="L1034" s="16"/>
    </row>
    <row r="1035" spans="5:12" x14ac:dyDescent="0.2">
      <c r="E1035" s="16"/>
      <c r="F1035" s="16"/>
      <c r="G1035" s="16"/>
      <c r="H1035" s="16"/>
      <c r="I1035" s="16"/>
      <c r="J1035" s="16"/>
      <c r="K1035" s="16"/>
      <c r="L1035" s="16"/>
    </row>
    <row r="1036" spans="5:12" x14ac:dyDescent="0.2">
      <c r="E1036" s="16"/>
      <c r="F1036" s="16"/>
      <c r="G1036" s="16"/>
      <c r="H1036" s="16"/>
      <c r="I1036" s="16"/>
      <c r="J1036" s="16"/>
      <c r="K1036" s="16"/>
      <c r="L1036" s="16"/>
    </row>
    <row r="1037" spans="5:12" x14ac:dyDescent="0.2">
      <c r="E1037" s="16"/>
      <c r="F1037" s="16"/>
      <c r="G1037" s="16"/>
      <c r="H1037" s="16"/>
      <c r="I1037" s="16"/>
      <c r="J1037" s="16"/>
      <c r="K1037" s="16"/>
      <c r="L1037" s="16"/>
    </row>
    <row r="1038" spans="5:12" x14ac:dyDescent="0.2">
      <c r="E1038" s="16"/>
      <c r="F1038" s="16"/>
      <c r="G1038" s="16"/>
      <c r="H1038" s="16"/>
      <c r="I1038" s="16"/>
      <c r="J1038" s="16"/>
      <c r="K1038" s="16"/>
      <c r="L1038" s="16"/>
    </row>
    <row r="1039" spans="5:12" x14ac:dyDescent="0.2">
      <c r="E1039" s="16"/>
      <c r="F1039" s="16"/>
      <c r="G1039" s="16"/>
      <c r="H1039" s="16"/>
      <c r="I1039" s="16"/>
      <c r="J1039" s="16"/>
      <c r="K1039" s="16"/>
      <c r="L1039" s="16"/>
    </row>
    <row r="1040" spans="5:12" x14ac:dyDescent="0.2">
      <c r="E1040" s="16"/>
      <c r="F1040" s="16"/>
      <c r="G1040" s="16"/>
      <c r="H1040" s="16"/>
      <c r="I1040" s="16"/>
      <c r="J1040" s="16"/>
      <c r="K1040" s="16"/>
      <c r="L1040" s="16"/>
    </row>
    <row r="1041" spans="5:12" x14ac:dyDescent="0.2">
      <c r="E1041" s="16"/>
      <c r="F1041" s="16"/>
      <c r="G1041" s="16"/>
      <c r="H1041" s="16"/>
      <c r="I1041" s="16"/>
      <c r="J1041" s="16"/>
      <c r="K1041" s="16"/>
      <c r="L1041" s="16"/>
    </row>
    <row r="1042" spans="5:12" x14ac:dyDescent="0.2">
      <c r="E1042" s="16"/>
      <c r="F1042" s="16"/>
      <c r="G1042" s="16"/>
      <c r="H1042" s="16"/>
      <c r="I1042" s="16"/>
      <c r="J1042" s="16"/>
      <c r="K1042" s="16"/>
      <c r="L1042" s="16"/>
    </row>
    <row r="1043" spans="5:12" x14ac:dyDescent="0.2">
      <c r="E1043" s="16"/>
      <c r="F1043" s="16"/>
      <c r="G1043" s="16"/>
      <c r="H1043" s="16"/>
      <c r="I1043" s="16"/>
      <c r="J1043" s="16"/>
      <c r="K1043" s="16"/>
      <c r="L1043" s="16"/>
    </row>
    <row r="1044" spans="5:12" x14ac:dyDescent="0.2">
      <c r="E1044" s="16"/>
      <c r="F1044" s="16"/>
      <c r="G1044" s="16"/>
      <c r="H1044" s="16"/>
      <c r="I1044" s="16"/>
      <c r="J1044" s="16"/>
      <c r="K1044" s="16"/>
      <c r="L1044" s="16"/>
    </row>
    <row r="1045" spans="5:12" x14ac:dyDescent="0.2">
      <c r="E1045" s="16"/>
      <c r="F1045" s="16"/>
      <c r="G1045" s="16"/>
      <c r="H1045" s="16"/>
      <c r="I1045" s="16"/>
      <c r="J1045" s="16"/>
      <c r="K1045" s="16"/>
      <c r="L1045" s="16"/>
    </row>
    <row r="1046" spans="5:12" x14ac:dyDescent="0.2">
      <c r="E1046" s="16"/>
      <c r="F1046" s="16"/>
      <c r="G1046" s="16"/>
      <c r="H1046" s="16"/>
      <c r="I1046" s="16"/>
      <c r="J1046" s="16"/>
      <c r="K1046" s="16"/>
      <c r="L1046" s="16"/>
    </row>
    <row r="1047" spans="5:12" x14ac:dyDescent="0.2">
      <c r="E1047" s="16"/>
      <c r="F1047" s="16"/>
      <c r="G1047" s="16"/>
      <c r="H1047" s="16"/>
      <c r="I1047" s="16"/>
      <c r="J1047" s="16"/>
      <c r="K1047" s="16"/>
      <c r="L1047" s="16"/>
    </row>
    <row r="1048" spans="5:12" x14ac:dyDescent="0.2">
      <c r="E1048" s="16"/>
      <c r="F1048" s="16"/>
      <c r="G1048" s="16"/>
      <c r="H1048" s="16"/>
      <c r="I1048" s="16"/>
      <c r="J1048" s="16"/>
      <c r="K1048" s="16"/>
      <c r="L1048" s="16"/>
    </row>
    <row r="1049" spans="5:12" x14ac:dyDescent="0.2">
      <c r="E1049" s="16"/>
      <c r="F1049" s="16"/>
      <c r="G1049" s="16"/>
      <c r="H1049" s="16"/>
      <c r="I1049" s="16"/>
      <c r="J1049" s="16"/>
      <c r="K1049" s="16"/>
      <c r="L1049" s="16"/>
    </row>
    <row r="1050" spans="5:12" x14ac:dyDescent="0.2">
      <c r="E1050" s="16"/>
      <c r="F1050" s="16"/>
      <c r="G1050" s="16"/>
      <c r="H1050" s="16"/>
      <c r="I1050" s="16"/>
      <c r="J1050" s="16"/>
      <c r="K1050" s="16"/>
      <c r="L1050" s="16"/>
    </row>
    <row r="1051" spans="5:12" x14ac:dyDescent="0.2">
      <c r="E1051" s="16"/>
      <c r="F1051" s="16"/>
      <c r="G1051" s="16"/>
      <c r="H1051" s="16"/>
      <c r="I1051" s="16"/>
      <c r="J1051" s="16"/>
      <c r="K1051" s="16"/>
      <c r="L1051" s="16"/>
    </row>
    <row r="1052" spans="5:12" x14ac:dyDescent="0.2">
      <c r="E1052" s="16"/>
      <c r="F1052" s="16"/>
      <c r="G1052" s="16"/>
      <c r="H1052" s="16"/>
      <c r="I1052" s="16"/>
      <c r="J1052" s="16"/>
      <c r="K1052" s="16"/>
      <c r="L1052" s="16"/>
    </row>
    <row r="1053" spans="5:12" x14ac:dyDescent="0.2">
      <c r="E1053" s="16"/>
      <c r="F1053" s="16"/>
      <c r="G1053" s="16"/>
      <c r="H1053" s="16"/>
      <c r="I1053" s="16"/>
      <c r="J1053" s="16"/>
      <c r="K1053" s="16"/>
      <c r="L1053" s="16"/>
    </row>
    <row r="1054" spans="5:12" x14ac:dyDescent="0.2">
      <c r="E1054" s="16"/>
      <c r="F1054" s="16"/>
      <c r="G1054" s="16"/>
      <c r="H1054" s="16"/>
      <c r="I1054" s="16"/>
      <c r="J1054" s="16"/>
      <c r="K1054" s="16"/>
      <c r="L1054" s="16"/>
    </row>
    <row r="1055" spans="5:12" x14ac:dyDescent="0.2">
      <c r="E1055" s="16"/>
      <c r="F1055" s="16"/>
      <c r="G1055" s="16"/>
      <c r="H1055" s="16"/>
      <c r="I1055" s="16"/>
      <c r="J1055" s="16"/>
      <c r="K1055" s="16"/>
      <c r="L1055" s="16"/>
    </row>
    <row r="1056" spans="5:12" x14ac:dyDescent="0.2">
      <c r="E1056" s="16"/>
      <c r="F1056" s="16"/>
      <c r="G1056" s="16"/>
      <c r="H1056" s="16"/>
      <c r="I1056" s="16"/>
      <c r="J1056" s="16"/>
      <c r="K1056" s="16"/>
      <c r="L1056" s="16"/>
    </row>
    <row r="1057" spans="5:12" x14ac:dyDescent="0.2">
      <c r="E1057" s="16"/>
      <c r="F1057" s="16"/>
      <c r="G1057" s="16"/>
      <c r="H1057" s="16"/>
      <c r="I1057" s="16"/>
      <c r="J1057" s="16"/>
      <c r="K1057" s="16"/>
      <c r="L1057" s="16"/>
    </row>
    <row r="1058" spans="5:12" x14ac:dyDescent="0.2">
      <c r="E1058" s="16"/>
      <c r="F1058" s="16"/>
      <c r="G1058" s="16"/>
      <c r="H1058" s="16"/>
      <c r="I1058" s="16"/>
      <c r="J1058" s="16"/>
      <c r="K1058" s="16"/>
      <c r="L1058" s="16"/>
    </row>
    <row r="1059" spans="5:12" x14ac:dyDescent="0.2">
      <c r="E1059" s="16"/>
      <c r="F1059" s="16"/>
      <c r="G1059" s="16"/>
      <c r="H1059" s="16"/>
      <c r="I1059" s="16"/>
      <c r="J1059" s="16"/>
      <c r="K1059" s="16"/>
      <c r="L1059" s="16"/>
    </row>
    <row r="1060" spans="5:12" x14ac:dyDescent="0.2">
      <c r="E1060" s="16"/>
      <c r="F1060" s="16"/>
      <c r="G1060" s="16"/>
      <c r="H1060" s="16"/>
      <c r="I1060" s="16"/>
      <c r="J1060" s="16"/>
      <c r="K1060" s="16"/>
      <c r="L1060" s="16"/>
    </row>
    <row r="1061" spans="5:12" x14ac:dyDescent="0.2">
      <c r="E1061" s="16"/>
      <c r="F1061" s="16"/>
      <c r="G1061" s="16"/>
      <c r="H1061" s="16"/>
      <c r="I1061" s="16"/>
      <c r="J1061" s="16"/>
      <c r="K1061" s="16"/>
      <c r="L1061" s="16"/>
    </row>
    <row r="1062" spans="5:12" x14ac:dyDescent="0.2">
      <c r="E1062" s="16"/>
      <c r="F1062" s="16"/>
      <c r="G1062" s="16"/>
      <c r="H1062" s="16"/>
      <c r="I1062" s="16"/>
      <c r="J1062" s="16"/>
      <c r="K1062" s="16"/>
      <c r="L1062" s="16"/>
    </row>
    <row r="1063" spans="5:12" x14ac:dyDescent="0.2">
      <c r="E1063" s="16"/>
      <c r="F1063" s="16"/>
      <c r="G1063" s="16"/>
      <c r="H1063" s="16"/>
      <c r="I1063" s="16"/>
      <c r="J1063" s="16"/>
      <c r="K1063" s="16"/>
      <c r="L1063" s="16"/>
    </row>
    <row r="1064" spans="5:12" x14ac:dyDescent="0.2">
      <c r="E1064" s="16"/>
      <c r="F1064" s="16"/>
      <c r="G1064" s="16"/>
      <c r="H1064" s="16"/>
      <c r="I1064" s="16"/>
      <c r="J1064" s="16"/>
      <c r="K1064" s="16"/>
      <c r="L1064" s="16"/>
    </row>
    <row r="1065" spans="5:12" x14ac:dyDescent="0.2">
      <c r="E1065" s="16"/>
      <c r="F1065" s="16"/>
      <c r="G1065" s="16"/>
      <c r="H1065" s="16"/>
      <c r="I1065" s="16"/>
      <c r="J1065" s="16"/>
      <c r="K1065" s="16"/>
      <c r="L1065" s="16"/>
    </row>
    <row r="1066" spans="5:12" x14ac:dyDescent="0.2">
      <c r="E1066" s="16"/>
      <c r="F1066" s="16"/>
      <c r="G1066" s="16"/>
      <c r="H1066" s="16"/>
      <c r="I1066" s="16"/>
      <c r="J1066" s="16"/>
      <c r="K1066" s="16"/>
      <c r="L1066" s="16"/>
    </row>
    <row r="1067" spans="5:12" x14ac:dyDescent="0.2">
      <c r="E1067" s="16"/>
      <c r="F1067" s="16"/>
      <c r="G1067" s="16"/>
      <c r="H1067" s="16"/>
      <c r="I1067" s="16"/>
      <c r="J1067" s="16"/>
      <c r="K1067" s="16"/>
      <c r="L1067" s="16"/>
    </row>
    <row r="1068" spans="5:12" x14ac:dyDescent="0.2">
      <c r="E1068" s="16"/>
      <c r="F1068" s="16"/>
      <c r="G1068" s="16"/>
      <c r="H1068" s="16"/>
      <c r="I1068" s="16"/>
      <c r="J1068" s="16"/>
      <c r="K1068" s="16"/>
      <c r="L1068" s="16"/>
    </row>
    <row r="1069" spans="5:12" x14ac:dyDescent="0.2">
      <c r="E1069" s="16"/>
      <c r="F1069" s="16"/>
      <c r="G1069" s="16"/>
      <c r="H1069" s="16"/>
      <c r="I1069" s="16"/>
      <c r="J1069" s="16"/>
      <c r="K1069" s="16"/>
      <c r="L1069" s="16"/>
    </row>
    <row r="1070" spans="5:12" x14ac:dyDescent="0.2">
      <c r="E1070" s="16"/>
      <c r="F1070" s="16"/>
      <c r="G1070" s="16"/>
      <c r="H1070" s="16"/>
      <c r="I1070" s="16"/>
      <c r="J1070" s="16"/>
      <c r="K1070" s="16"/>
      <c r="L1070" s="16"/>
    </row>
    <row r="1071" spans="5:12" x14ac:dyDescent="0.2">
      <c r="E1071" s="16"/>
      <c r="F1071" s="16"/>
      <c r="G1071" s="16"/>
      <c r="H1071" s="16"/>
      <c r="I1071" s="16"/>
      <c r="J1071" s="16"/>
      <c r="K1071" s="16"/>
      <c r="L1071" s="16"/>
    </row>
    <row r="1072" spans="5:12" x14ac:dyDescent="0.2">
      <c r="E1072" s="16"/>
      <c r="F1072" s="16"/>
      <c r="G1072" s="16"/>
      <c r="H1072" s="16"/>
      <c r="I1072" s="16"/>
      <c r="J1072" s="16"/>
      <c r="K1072" s="16"/>
      <c r="L1072" s="16"/>
    </row>
    <row r="1073" spans="5:12" x14ac:dyDescent="0.2">
      <c r="E1073" s="16"/>
      <c r="F1073" s="16"/>
      <c r="G1073" s="16"/>
      <c r="H1073" s="16"/>
      <c r="I1073" s="16"/>
      <c r="J1073" s="16"/>
      <c r="K1073" s="16"/>
      <c r="L1073" s="16"/>
    </row>
    <row r="1074" spans="5:12" x14ac:dyDescent="0.2">
      <c r="E1074" s="16"/>
      <c r="F1074" s="16"/>
      <c r="G1074" s="16"/>
      <c r="H1074" s="16"/>
      <c r="I1074" s="16"/>
      <c r="J1074" s="16"/>
      <c r="K1074" s="16"/>
      <c r="L1074" s="16"/>
    </row>
    <row r="1075" spans="5:12" x14ac:dyDescent="0.2">
      <c r="E1075" s="16"/>
      <c r="F1075" s="16"/>
      <c r="G1075" s="16"/>
      <c r="H1075" s="16"/>
      <c r="I1075" s="16"/>
      <c r="J1075" s="16"/>
      <c r="K1075" s="16"/>
      <c r="L1075" s="16"/>
    </row>
    <row r="1076" spans="5:12" x14ac:dyDescent="0.2">
      <c r="E1076" s="16"/>
      <c r="F1076" s="16"/>
      <c r="G1076" s="16"/>
      <c r="H1076" s="16"/>
      <c r="I1076" s="16"/>
      <c r="J1076" s="16"/>
      <c r="K1076" s="16"/>
      <c r="L1076" s="16"/>
    </row>
    <row r="1077" spans="5:12" x14ac:dyDescent="0.2">
      <c r="E1077" s="16"/>
      <c r="F1077" s="16"/>
      <c r="G1077" s="16"/>
      <c r="H1077" s="16"/>
      <c r="I1077" s="16"/>
      <c r="J1077" s="16"/>
      <c r="K1077" s="16"/>
      <c r="L1077" s="16"/>
    </row>
    <row r="1078" spans="5:12" x14ac:dyDescent="0.2">
      <c r="E1078" s="16"/>
      <c r="F1078" s="16"/>
      <c r="G1078" s="16"/>
      <c r="H1078" s="16"/>
      <c r="I1078" s="16"/>
      <c r="J1078" s="16"/>
      <c r="K1078" s="16"/>
      <c r="L1078" s="16"/>
    </row>
    <row r="1079" spans="5:12" x14ac:dyDescent="0.2">
      <c r="E1079" s="16"/>
      <c r="F1079" s="16"/>
      <c r="G1079" s="16"/>
      <c r="H1079" s="16"/>
      <c r="I1079" s="16"/>
      <c r="J1079" s="16"/>
      <c r="K1079" s="16"/>
      <c r="L1079" s="16"/>
    </row>
    <row r="1080" spans="5:12" x14ac:dyDescent="0.2">
      <c r="E1080" s="16"/>
      <c r="F1080" s="16"/>
      <c r="G1080" s="16"/>
      <c r="H1080" s="16"/>
      <c r="I1080" s="16"/>
      <c r="J1080" s="16"/>
      <c r="K1080" s="16"/>
      <c r="L1080" s="16"/>
    </row>
    <row r="1081" spans="5:12" x14ac:dyDescent="0.2">
      <c r="E1081" s="16"/>
      <c r="F1081" s="16"/>
      <c r="G1081" s="16"/>
      <c r="H1081" s="16"/>
      <c r="I1081" s="16"/>
      <c r="J1081" s="16"/>
      <c r="K1081" s="16"/>
      <c r="L1081" s="16"/>
    </row>
    <row r="1082" spans="5:12" x14ac:dyDescent="0.2">
      <c r="E1082" s="16"/>
      <c r="F1082" s="16"/>
      <c r="G1082" s="16"/>
      <c r="H1082" s="16"/>
      <c r="I1082" s="16"/>
      <c r="J1082" s="16"/>
      <c r="K1082" s="16"/>
      <c r="L1082" s="16"/>
    </row>
    <row r="1083" spans="5:12" x14ac:dyDescent="0.2">
      <c r="E1083" s="16"/>
      <c r="F1083" s="16"/>
      <c r="G1083" s="16"/>
      <c r="H1083" s="16"/>
      <c r="I1083" s="16"/>
      <c r="J1083" s="16"/>
      <c r="K1083" s="16"/>
      <c r="L1083" s="16"/>
    </row>
    <row r="1084" spans="5:12" x14ac:dyDescent="0.2">
      <c r="E1084" s="16"/>
      <c r="F1084" s="16"/>
      <c r="G1084" s="16"/>
      <c r="H1084" s="16"/>
      <c r="I1084" s="16"/>
      <c r="J1084" s="16"/>
      <c r="K1084" s="16"/>
      <c r="L1084" s="16"/>
    </row>
    <row r="1085" spans="5:12" x14ac:dyDescent="0.2">
      <c r="E1085" s="16"/>
      <c r="F1085" s="16"/>
      <c r="G1085" s="16"/>
      <c r="H1085" s="16"/>
      <c r="I1085" s="16"/>
      <c r="J1085" s="16"/>
      <c r="K1085" s="16"/>
      <c r="L1085" s="16"/>
    </row>
    <row r="1086" spans="5:12" x14ac:dyDescent="0.2">
      <c r="E1086" s="16"/>
      <c r="F1086" s="16"/>
      <c r="G1086" s="16"/>
      <c r="H1086" s="16"/>
      <c r="I1086" s="16"/>
      <c r="J1086" s="16"/>
      <c r="K1086" s="16"/>
      <c r="L1086" s="16"/>
    </row>
    <row r="1087" spans="5:12" x14ac:dyDescent="0.2">
      <c r="E1087" s="16"/>
      <c r="F1087" s="16"/>
      <c r="G1087" s="16"/>
      <c r="H1087" s="16"/>
      <c r="I1087" s="16"/>
      <c r="J1087" s="16"/>
      <c r="K1087" s="16"/>
      <c r="L1087" s="16"/>
    </row>
    <row r="1088" spans="5:12" x14ac:dyDescent="0.2">
      <c r="E1088" s="16"/>
      <c r="F1088" s="16"/>
      <c r="G1088" s="16"/>
      <c r="H1088" s="16"/>
      <c r="I1088" s="16"/>
      <c r="J1088" s="16"/>
      <c r="K1088" s="16"/>
      <c r="L1088" s="16"/>
    </row>
    <row r="1089" spans="5:12" x14ac:dyDescent="0.2">
      <c r="E1089" s="16"/>
      <c r="F1089" s="16"/>
      <c r="G1089" s="16"/>
      <c r="H1089" s="16"/>
      <c r="I1089" s="16"/>
      <c r="J1089" s="16"/>
      <c r="K1089" s="16"/>
      <c r="L1089" s="16"/>
    </row>
    <row r="1090" spans="5:12" x14ac:dyDescent="0.2">
      <c r="E1090" s="16"/>
      <c r="F1090" s="16"/>
      <c r="G1090" s="16"/>
      <c r="H1090" s="16"/>
      <c r="I1090" s="16"/>
      <c r="J1090" s="16"/>
      <c r="K1090" s="16"/>
      <c r="L1090" s="16"/>
    </row>
    <row r="1091" spans="5:12" x14ac:dyDescent="0.2">
      <c r="E1091" s="16"/>
      <c r="F1091" s="16"/>
      <c r="G1091" s="16"/>
      <c r="H1091" s="16"/>
      <c r="I1091" s="16"/>
      <c r="J1091" s="16"/>
      <c r="K1091" s="16"/>
      <c r="L1091" s="16"/>
    </row>
    <row r="1092" spans="5:12" x14ac:dyDescent="0.2">
      <c r="E1092" s="16"/>
      <c r="F1092" s="16"/>
      <c r="G1092" s="16"/>
      <c r="H1092" s="16"/>
      <c r="I1092" s="16"/>
      <c r="J1092" s="16"/>
      <c r="K1092" s="16"/>
      <c r="L1092" s="16"/>
    </row>
    <row r="1093" spans="5:12" x14ac:dyDescent="0.2">
      <c r="E1093" s="16"/>
      <c r="F1093" s="16"/>
      <c r="G1093" s="16"/>
      <c r="H1093" s="16"/>
      <c r="I1093" s="16"/>
      <c r="J1093" s="16"/>
      <c r="K1093" s="16"/>
      <c r="L1093" s="16"/>
    </row>
    <row r="1094" spans="5:12" x14ac:dyDescent="0.2">
      <c r="E1094" s="16"/>
      <c r="F1094" s="16"/>
      <c r="G1094" s="16"/>
      <c r="H1094" s="16"/>
      <c r="I1094" s="16"/>
      <c r="J1094" s="16"/>
      <c r="K1094" s="16"/>
      <c r="L1094" s="16"/>
    </row>
    <row r="1095" spans="5:12" x14ac:dyDescent="0.2">
      <c r="E1095" s="16"/>
      <c r="F1095" s="16"/>
      <c r="G1095" s="16"/>
      <c r="H1095" s="16"/>
      <c r="I1095" s="16"/>
      <c r="J1095" s="16"/>
      <c r="K1095" s="16"/>
      <c r="L1095" s="16"/>
    </row>
    <row r="1096" spans="5:12" x14ac:dyDescent="0.2">
      <c r="E1096" s="16"/>
      <c r="F1096" s="16"/>
      <c r="G1096" s="16"/>
      <c r="H1096" s="16"/>
      <c r="I1096" s="16"/>
      <c r="J1096" s="16"/>
      <c r="K1096" s="16"/>
      <c r="L1096" s="16"/>
    </row>
    <row r="1097" spans="5:12" x14ac:dyDescent="0.2">
      <c r="E1097" s="16"/>
      <c r="F1097" s="16"/>
      <c r="G1097" s="16"/>
      <c r="H1097" s="16"/>
      <c r="I1097" s="16"/>
      <c r="J1097" s="16"/>
      <c r="K1097" s="16"/>
      <c r="L1097" s="16"/>
    </row>
    <row r="1098" spans="5:12" x14ac:dyDescent="0.2">
      <c r="E1098" s="16"/>
      <c r="F1098" s="16"/>
      <c r="G1098" s="16"/>
      <c r="H1098" s="16"/>
      <c r="I1098" s="16"/>
      <c r="J1098" s="16"/>
      <c r="K1098" s="16"/>
      <c r="L1098" s="16"/>
    </row>
    <row r="1099" spans="5:12" x14ac:dyDescent="0.2">
      <c r="E1099" s="16"/>
      <c r="F1099" s="16"/>
      <c r="G1099" s="16"/>
      <c r="H1099" s="16"/>
      <c r="I1099" s="16"/>
      <c r="J1099" s="16"/>
      <c r="K1099" s="16"/>
      <c r="L1099" s="16"/>
    </row>
    <row r="1100" spans="5:12" x14ac:dyDescent="0.2">
      <c r="E1100" s="16"/>
      <c r="F1100" s="16"/>
      <c r="G1100" s="16"/>
      <c r="H1100" s="16"/>
      <c r="I1100" s="16"/>
      <c r="J1100" s="16"/>
      <c r="K1100" s="16"/>
      <c r="L1100" s="16"/>
    </row>
    <row r="1101" spans="5:12" x14ac:dyDescent="0.2">
      <c r="E1101" s="16"/>
      <c r="F1101" s="16"/>
      <c r="G1101" s="16"/>
      <c r="H1101" s="16"/>
      <c r="I1101" s="16"/>
      <c r="J1101" s="16"/>
      <c r="K1101" s="16"/>
      <c r="L1101" s="16"/>
    </row>
    <row r="1102" spans="5:12" x14ac:dyDescent="0.2">
      <c r="E1102" s="16"/>
      <c r="F1102" s="16"/>
      <c r="G1102" s="16"/>
      <c r="H1102" s="16"/>
      <c r="I1102" s="16"/>
      <c r="J1102" s="16"/>
      <c r="K1102" s="16"/>
      <c r="L1102" s="16"/>
    </row>
    <row r="1103" spans="5:12" x14ac:dyDescent="0.2">
      <c r="E1103" s="16"/>
      <c r="F1103" s="16"/>
      <c r="G1103" s="16"/>
      <c r="H1103" s="16"/>
      <c r="I1103" s="16"/>
      <c r="J1103" s="16"/>
      <c r="K1103" s="16"/>
      <c r="L1103" s="16"/>
    </row>
    <row r="1104" spans="5:12" x14ac:dyDescent="0.2">
      <c r="E1104" s="16"/>
      <c r="F1104" s="16"/>
      <c r="G1104" s="16"/>
      <c r="H1104" s="16"/>
      <c r="I1104" s="16"/>
      <c r="J1104" s="16"/>
      <c r="K1104" s="16"/>
      <c r="L1104" s="16"/>
    </row>
    <row r="1105" spans="5:12" x14ac:dyDescent="0.2">
      <c r="E1105" s="16"/>
      <c r="F1105" s="16"/>
      <c r="G1105" s="16"/>
      <c r="H1105" s="16"/>
      <c r="I1105" s="16"/>
      <c r="J1105" s="16"/>
      <c r="K1105" s="16"/>
      <c r="L1105" s="16"/>
    </row>
    <row r="1106" spans="5:12" x14ac:dyDescent="0.2">
      <c r="E1106" s="16"/>
      <c r="F1106" s="16"/>
      <c r="G1106" s="16"/>
      <c r="H1106" s="16"/>
      <c r="I1106" s="16"/>
      <c r="J1106" s="16"/>
      <c r="K1106" s="16"/>
      <c r="L1106" s="16"/>
    </row>
    <row r="1107" spans="5:12" x14ac:dyDescent="0.2">
      <c r="E1107" s="16"/>
      <c r="F1107" s="16"/>
      <c r="G1107" s="16"/>
      <c r="H1107" s="16"/>
      <c r="I1107" s="16"/>
      <c r="J1107" s="16"/>
      <c r="K1107" s="16"/>
      <c r="L1107" s="16"/>
    </row>
    <row r="1108" spans="5:12" x14ac:dyDescent="0.2">
      <c r="E1108" s="16"/>
      <c r="F1108" s="16"/>
      <c r="G1108" s="16"/>
      <c r="H1108" s="16"/>
      <c r="I1108" s="16"/>
      <c r="J1108" s="16"/>
      <c r="K1108" s="16"/>
      <c r="L1108" s="16"/>
    </row>
    <row r="1109" spans="5:12" x14ac:dyDescent="0.2">
      <c r="E1109" s="16"/>
      <c r="F1109" s="16"/>
      <c r="G1109" s="16"/>
      <c r="H1109" s="16"/>
      <c r="I1109" s="16"/>
      <c r="J1109" s="16"/>
      <c r="K1109" s="16"/>
      <c r="L1109" s="16"/>
    </row>
    <row r="1110" spans="5:12" x14ac:dyDescent="0.2">
      <c r="E1110" s="16"/>
      <c r="F1110" s="16"/>
      <c r="G1110" s="16"/>
      <c r="H1110" s="16"/>
      <c r="I1110" s="16"/>
      <c r="J1110" s="16"/>
      <c r="K1110" s="16"/>
      <c r="L1110" s="16"/>
    </row>
    <row r="1111" spans="5:12" x14ac:dyDescent="0.2">
      <c r="E1111" s="16"/>
      <c r="F1111" s="16"/>
      <c r="G1111" s="16"/>
      <c r="H1111" s="16"/>
      <c r="I1111" s="16"/>
      <c r="J1111" s="16"/>
      <c r="K1111" s="16"/>
      <c r="L1111" s="16"/>
    </row>
    <row r="1112" spans="5:12" x14ac:dyDescent="0.2">
      <c r="E1112" s="16"/>
      <c r="F1112" s="16"/>
      <c r="G1112" s="16"/>
      <c r="H1112" s="16"/>
      <c r="I1112" s="16"/>
      <c r="J1112" s="16"/>
      <c r="K1112" s="16"/>
      <c r="L1112" s="16"/>
    </row>
    <row r="1113" spans="5:12" x14ac:dyDescent="0.2">
      <c r="E1113" s="16"/>
      <c r="F1113" s="16"/>
      <c r="G1113" s="16"/>
      <c r="H1113" s="16"/>
      <c r="I1113" s="16"/>
      <c r="J1113" s="16"/>
      <c r="K1113" s="16"/>
      <c r="L1113" s="16"/>
    </row>
    <row r="1114" spans="5:12" x14ac:dyDescent="0.2">
      <c r="E1114" s="16"/>
      <c r="F1114" s="16"/>
      <c r="G1114" s="16"/>
      <c r="H1114" s="16"/>
      <c r="I1114" s="16"/>
      <c r="J1114" s="16"/>
      <c r="K1114" s="16"/>
      <c r="L1114" s="16"/>
    </row>
    <row r="1115" spans="5:12" x14ac:dyDescent="0.2">
      <c r="E1115" s="16"/>
      <c r="F1115" s="16"/>
      <c r="G1115" s="16"/>
      <c r="H1115" s="16"/>
      <c r="I1115" s="16"/>
      <c r="J1115" s="16"/>
      <c r="K1115" s="16"/>
      <c r="L1115" s="16"/>
    </row>
    <row r="1116" spans="5:12" x14ac:dyDescent="0.2">
      <c r="E1116" s="16"/>
      <c r="F1116" s="16"/>
      <c r="G1116" s="16"/>
      <c r="H1116" s="16"/>
      <c r="I1116" s="16"/>
      <c r="J1116" s="16"/>
      <c r="K1116" s="16"/>
      <c r="L1116" s="16"/>
    </row>
    <row r="1117" spans="5:12" x14ac:dyDescent="0.2">
      <c r="E1117" s="16"/>
      <c r="F1117" s="16"/>
      <c r="G1117" s="16"/>
      <c r="H1117" s="16"/>
      <c r="I1117" s="16"/>
      <c r="J1117" s="16"/>
      <c r="K1117" s="16"/>
      <c r="L1117" s="16"/>
    </row>
    <row r="1118" spans="5:12" x14ac:dyDescent="0.2">
      <c r="E1118" s="16"/>
      <c r="F1118" s="16"/>
      <c r="G1118" s="16"/>
      <c r="H1118" s="16"/>
      <c r="I1118" s="16"/>
      <c r="J1118" s="16"/>
      <c r="K1118" s="16"/>
      <c r="L1118" s="16"/>
    </row>
    <row r="1119" spans="5:12" x14ac:dyDescent="0.2">
      <c r="E1119" s="16"/>
      <c r="F1119" s="16"/>
      <c r="G1119" s="16"/>
      <c r="H1119" s="16"/>
      <c r="I1119" s="16"/>
      <c r="J1119" s="16"/>
      <c r="K1119" s="16"/>
      <c r="L1119" s="16"/>
    </row>
    <row r="1120" spans="5:12" x14ac:dyDescent="0.2">
      <c r="E1120" s="16"/>
      <c r="F1120" s="16"/>
      <c r="G1120" s="16"/>
      <c r="H1120" s="16"/>
      <c r="I1120" s="16"/>
      <c r="J1120" s="16"/>
      <c r="K1120" s="16"/>
      <c r="L1120" s="16"/>
    </row>
    <row r="1121" spans="5:12" x14ac:dyDescent="0.2">
      <c r="E1121" s="16"/>
      <c r="F1121" s="16"/>
      <c r="G1121" s="16"/>
      <c r="H1121" s="16"/>
      <c r="I1121" s="16"/>
      <c r="J1121" s="16"/>
      <c r="K1121" s="16"/>
      <c r="L1121" s="16"/>
    </row>
    <row r="1122" spans="5:12" x14ac:dyDescent="0.2">
      <c r="E1122" s="16"/>
      <c r="F1122" s="16"/>
      <c r="G1122" s="16"/>
      <c r="H1122" s="16"/>
      <c r="I1122" s="16"/>
      <c r="J1122" s="16"/>
      <c r="K1122" s="16"/>
      <c r="L1122" s="16"/>
    </row>
    <row r="1123" spans="5:12" x14ac:dyDescent="0.2">
      <c r="E1123" s="16"/>
      <c r="F1123" s="16"/>
      <c r="G1123" s="16"/>
      <c r="H1123" s="16"/>
      <c r="I1123" s="16"/>
      <c r="J1123" s="16"/>
      <c r="K1123" s="16"/>
      <c r="L1123" s="16"/>
    </row>
    <row r="1124" spans="5:12" x14ac:dyDescent="0.2">
      <c r="E1124" s="16"/>
      <c r="F1124" s="16"/>
      <c r="G1124" s="16"/>
      <c r="H1124" s="16"/>
      <c r="I1124" s="16"/>
      <c r="J1124" s="16"/>
      <c r="K1124" s="16"/>
      <c r="L1124" s="16"/>
    </row>
    <row r="1125" spans="5:12" x14ac:dyDescent="0.2">
      <c r="E1125" s="16"/>
      <c r="F1125" s="16"/>
      <c r="G1125" s="16"/>
      <c r="H1125" s="16"/>
      <c r="I1125" s="16"/>
      <c r="J1125" s="16"/>
      <c r="K1125" s="16"/>
      <c r="L1125" s="16"/>
    </row>
    <row r="1126" spans="5:12" x14ac:dyDescent="0.2">
      <c r="E1126" s="16"/>
      <c r="F1126" s="16"/>
      <c r="G1126" s="16"/>
      <c r="H1126" s="16"/>
      <c r="I1126" s="16"/>
      <c r="J1126" s="16"/>
      <c r="K1126" s="16"/>
      <c r="L1126" s="16"/>
    </row>
    <row r="1127" spans="5:12" x14ac:dyDescent="0.2">
      <c r="E1127" s="16"/>
      <c r="F1127" s="16"/>
      <c r="G1127" s="16"/>
      <c r="H1127" s="16"/>
      <c r="I1127" s="16"/>
      <c r="J1127" s="16"/>
      <c r="K1127" s="16"/>
      <c r="L1127" s="16"/>
    </row>
    <row r="1128" spans="5:12" x14ac:dyDescent="0.2">
      <c r="E1128" s="16"/>
      <c r="F1128" s="16"/>
      <c r="G1128" s="16"/>
      <c r="H1128" s="16"/>
      <c r="I1128" s="16"/>
      <c r="J1128" s="16"/>
      <c r="K1128" s="16"/>
      <c r="L1128" s="16"/>
    </row>
    <row r="1129" spans="5:12" x14ac:dyDescent="0.2">
      <c r="E1129" s="16"/>
      <c r="F1129" s="16"/>
      <c r="G1129" s="16"/>
      <c r="H1129" s="16"/>
      <c r="I1129" s="16"/>
      <c r="J1129" s="16"/>
      <c r="K1129" s="16"/>
      <c r="L1129" s="16"/>
    </row>
    <row r="1130" spans="5:12" x14ac:dyDescent="0.2">
      <c r="E1130" s="16"/>
      <c r="F1130" s="16"/>
      <c r="G1130" s="16"/>
      <c r="H1130" s="16"/>
      <c r="I1130" s="16"/>
      <c r="J1130" s="16"/>
      <c r="K1130" s="16"/>
      <c r="L1130" s="16"/>
    </row>
    <row r="1131" spans="5:12" x14ac:dyDescent="0.2">
      <c r="E1131" s="16"/>
      <c r="F1131" s="16"/>
      <c r="G1131" s="16"/>
      <c r="H1131" s="16"/>
      <c r="I1131" s="16"/>
      <c r="J1131" s="16"/>
      <c r="K1131" s="16"/>
      <c r="L1131" s="16"/>
    </row>
    <row r="1132" spans="5:12" x14ac:dyDescent="0.2">
      <c r="E1132" s="16"/>
      <c r="F1132" s="16"/>
      <c r="G1132" s="16"/>
      <c r="H1132" s="16"/>
      <c r="I1132" s="16"/>
      <c r="J1132" s="16"/>
      <c r="K1132" s="16"/>
      <c r="L1132" s="16"/>
    </row>
    <row r="1133" spans="5:12" x14ac:dyDescent="0.2">
      <c r="E1133" s="16"/>
      <c r="F1133" s="16"/>
      <c r="G1133" s="16"/>
      <c r="H1133" s="16"/>
      <c r="I1133" s="16"/>
      <c r="J1133" s="16"/>
      <c r="K1133" s="16"/>
      <c r="L1133" s="16"/>
    </row>
    <row r="1134" spans="5:12" x14ac:dyDescent="0.2">
      <c r="E1134" s="16"/>
      <c r="F1134" s="16"/>
      <c r="G1134" s="16"/>
      <c r="H1134" s="16"/>
      <c r="I1134" s="16"/>
      <c r="J1134" s="16"/>
      <c r="K1134" s="16"/>
      <c r="L1134" s="16"/>
    </row>
    <row r="1135" spans="5:12" x14ac:dyDescent="0.2">
      <c r="E1135" s="16"/>
      <c r="F1135" s="16"/>
      <c r="G1135" s="16"/>
      <c r="H1135" s="16"/>
      <c r="I1135" s="16"/>
      <c r="J1135" s="16"/>
      <c r="K1135" s="16"/>
      <c r="L1135" s="16"/>
    </row>
    <row r="1136" spans="5:12" x14ac:dyDescent="0.2">
      <c r="E1136" s="16"/>
      <c r="F1136" s="16"/>
      <c r="G1136" s="16"/>
      <c r="H1136" s="16"/>
      <c r="I1136" s="16"/>
      <c r="J1136" s="16"/>
      <c r="K1136" s="16"/>
      <c r="L1136" s="16"/>
    </row>
    <row r="1137" spans="5:12" x14ac:dyDescent="0.2">
      <c r="E1137" s="16"/>
      <c r="F1137" s="16"/>
      <c r="G1137" s="16"/>
      <c r="H1137" s="16"/>
      <c r="I1137" s="16"/>
      <c r="J1137" s="16"/>
      <c r="K1137" s="16"/>
      <c r="L1137" s="16"/>
    </row>
    <row r="1138" spans="5:12" x14ac:dyDescent="0.2">
      <c r="E1138" s="16"/>
      <c r="F1138" s="16"/>
      <c r="G1138" s="16"/>
      <c r="H1138" s="16"/>
      <c r="I1138" s="16"/>
      <c r="J1138" s="16"/>
      <c r="K1138" s="16"/>
      <c r="L1138" s="16"/>
    </row>
    <row r="1139" spans="5:12" x14ac:dyDescent="0.2">
      <c r="E1139" s="16"/>
      <c r="F1139" s="16"/>
      <c r="G1139" s="16"/>
      <c r="H1139" s="16"/>
      <c r="I1139" s="16"/>
      <c r="J1139" s="16"/>
      <c r="K1139" s="16"/>
      <c r="L1139" s="16"/>
    </row>
    <row r="1140" spans="5:12" x14ac:dyDescent="0.2">
      <c r="E1140" s="16"/>
      <c r="F1140" s="16"/>
      <c r="G1140" s="16"/>
      <c r="H1140" s="16"/>
      <c r="I1140" s="16"/>
      <c r="J1140" s="16"/>
      <c r="K1140" s="16"/>
      <c r="L1140" s="16"/>
    </row>
    <row r="1141" spans="5:12" x14ac:dyDescent="0.2">
      <c r="E1141" s="16"/>
      <c r="F1141" s="16"/>
      <c r="G1141" s="16"/>
      <c r="H1141" s="16"/>
      <c r="I1141" s="16"/>
      <c r="J1141" s="16"/>
      <c r="K1141" s="16"/>
      <c r="L1141" s="16"/>
    </row>
    <row r="1142" spans="5:12" x14ac:dyDescent="0.2">
      <c r="E1142" s="16"/>
      <c r="F1142" s="16"/>
      <c r="G1142" s="16"/>
      <c r="H1142" s="16"/>
      <c r="I1142" s="16"/>
      <c r="J1142" s="16"/>
      <c r="K1142" s="16"/>
      <c r="L1142" s="16"/>
    </row>
    <row r="1143" spans="5:12" x14ac:dyDescent="0.2">
      <c r="E1143" s="16"/>
      <c r="F1143" s="16"/>
      <c r="G1143" s="16"/>
      <c r="H1143" s="16"/>
      <c r="I1143" s="16"/>
      <c r="J1143" s="16"/>
      <c r="K1143" s="16"/>
      <c r="L1143" s="16"/>
    </row>
    <row r="1144" spans="5:12" x14ac:dyDescent="0.2">
      <c r="E1144" s="16"/>
      <c r="F1144" s="16"/>
      <c r="G1144" s="16"/>
      <c r="H1144" s="16"/>
      <c r="I1144" s="16"/>
      <c r="J1144" s="16"/>
      <c r="K1144" s="16"/>
      <c r="L1144" s="16"/>
    </row>
    <row r="1145" spans="5:12" x14ac:dyDescent="0.2">
      <c r="E1145" s="16"/>
      <c r="F1145" s="16"/>
      <c r="G1145" s="16"/>
      <c r="H1145" s="16"/>
      <c r="I1145" s="16"/>
      <c r="J1145" s="16"/>
      <c r="K1145" s="16"/>
      <c r="L1145" s="16"/>
    </row>
    <row r="1146" spans="5:12" x14ac:dyDescent="0.2">
      <c r="E1146" s="16"/>
      <c r="F1146" s="16"/>
      <c r="G1146" s="16"/>
      <c r="H1146" s="16"/>
      <c r="I1146" s="16"/>
      <c r="J1146" s="16"/>
      <c r="K1146" s="16"/>
      <c r="L1146" s="16"/>
    </row>
    <row r="1147" spans="5:12" x14ac:dyDescent="0.2">
      <c r="E1147" s="16"/>
      <c r="F1147" s="16"/>
      <c r="G1147" s="16"/>
      <c r="H1147" s="16"/>
      <c r="I1147" s="16"/>
      <c r="J1147" s="16"/>
      <c r="K1147" s="16"/>
      <c r="L1147" s="16"/>
    </row>
    <row r="1148" spans="5:12" x14ac:dyDescent="0.2">
      <c r="E1148" s="16"/>
      <c r="F1148" s="16"/>
      <c r="G1148" s="16"/>
      <c r="H1148" s="16"/>
      <c r="I1148" s="16"/>
      <c r="J1148" s="16"/>
      <c r="K1148" s="16"/>
      <c r="L1148" s="16"/>
    </row>
    <row r="1149" spans="5:12" x14ac:dyDescent="0.2">
      <c r="E1149" s="16"/>
      <c r="F1149" s="16"/>
      <c r="G1149" s="16"/>
      <c r="H1149" s="16"/>
      <c r="I1149" s="16"/>
      <c r="J1149" s="16"/>
      <c r="K1149" s="16"/>
      <c r="L1149" s="16"/>
    </row>
    <row r="1150" spans="5:12" x14ac:dyDescent="0.2">
      <c r="E1150" s="16"/>
      <c r="F1150" s="16"/>
      <c r="G1150" s="16"/>
      <c r="H1150" s="16"/>
      <c r="I1150" s="16"/>
      <c r="J1150" s="16"/>
      <c r="K1150" s="16"/>
      <c r="L1150" s="16"/>
    </row>
    <row r="1151" spans="5:12" x14ac:dyDescent="0.2">
      <c r="E1151" s="16"/>
      <c r="F1151" s="16"/>
      <c r="G1151" s="16"/>
      <c r="H1151" s="16"/>
      <c r="I1151" s="16"/>
      <c r="J1151" s="16"/>
      <c r="K1151" s="16"/>
      <c r="L1151" s="16"/>
    </row>
    <row r="1152" spans="5:12" x14ac:dyDescent="0.2">
      <c r="E1152" s="16"/>
      <c r="F1152" s="16"/>
      <c r="G1152" s="16"/>
      <c r="H1152" s="16"/>
      <c r="I1152" s="16"/>
      <c r="J1152" s="16"/>
      <c r="K1152" s="16"/>
      <c r="L1152" s="16"/>
    </row>
    <row r="1153" spans="5:12" x14ac:dyDescent="0.2">
      <c r="E1153" s="16"/>
      <c r="F1153" s="16"/>
      <c r="G1153" s="16"/>
      <c r="H1153" s="16"/>
      <c r="I1153" s="16"/>
      <c r="J1153" s="16"/>
      <c r="K1153" s="16"/>
      <c r="L1153" s="16"/>
    </row>
    <row r="1154" spans="5:12" x14ac:dyDescent="0.2">
      <c r="E1154" s="16"/>
      <c r="F1154" s="16"/>
      <c r="G1154" s="16"/>
      <c r="H1154" s="16"/>
      <c r="I1154" s="16"/>
      <c r="J1154" s="16"/>
      <c r="K1154" s="16"/>
      <c r="L1154" s="16"/>
    </row>
    <row r="1155" spans="5:12" x14ac:dyDescent="0.2">
      <c r="E1155" s="16"/>
      <c r="F1155" s="16"/>
      <c r="G1155" s="16"/>
      <c r="H1155" s="16"/>
      <c r="I1155" s="16"/>
      <c r="J1155" s="16"/>
      <c r="K1155" s="16"/>
      <c r="L1155" s="16"/>
    </row>
    <row r="1156" spans="5:12" x14ac:dyDescent="0.2">
      <c r="E1156" s="16"/>
      <c r="F1156" s="16"/>
      <c r="G1156" s="16"/>
      <c r="H1156" s="16"/>
      <c r="I1156" s="16"/>
      <c r="J1156" s="16"/>
      <c r="K1156" s="16"/>
      <c r="L1156" s="16"/>
    </row>
    <row r="1157" spans="5:12" x14ac:dyDescent="0.2">
      <c r="E1157" s="16"/>
      <c r="F1157" s="16"/>
      <c r="G1157" s="16"/>
      <c r="H1157" s="16"/>
      <c r="I1157" s="16"/>
      <c r="J1157" s="16"/>
      <c r="K1157" s="16"/>
      <c r="L1157" s="16"/>
    </row>
    <row r="1158" spans="5:12" x14ac:dyDescent="0.2">
      <c r="E1158" s="16"/>
      <c r="F1158" s="16"/>
      <c r="G1158" s="16"/>
      <c r="H1158" s="16"/>
      <c r="I1158" s="16"/>
      <c r="J1158" s="16"/>
      <c r="K1158" s="16"/>
      <c r="L1158" s="16"/>
    </row>
    <row r="1159" spans="5:12" x14ac:dyDescent="0.2">
      <c r="E1159" s="16"/>
      <c r="F1159" s="16"/>
      <c r="G1159" s="16"/>
      <c r="H1159" s="16"/>
      <c r="I1159" s="16"/>
      <c r="J1159" s="16"/>
      <c r="K1159" s="16"/>
      <c r="L1159" s="16"/>
    </row>
    <row r="1160" spans="5:12" x14ac:dyDescent="0.2">
      <c r="E1160" s="16"/>
      <c r="F1160" s="16"/>
      <c r="G1160" s="16"/>
      <c r="H1160" s="16"/>
      <c r="I1160" s="16"/>
      <c r="J1160" s="16"/>
      <c r="K1160" s="16"/>
      <c r="L1160" s="16"/>
    </row>
    <row r="1161" spans="5:12" x14ac:dyDescent="0.2">
      <c r="E1161" s="16"/>
      <c r="F1161" s="16"/>
      <c r="G1161" s="16"/>
      <c r="H1161" s="16"/>
      <c r="I1161" s="16"/>
      <c r="J1161" s="16"/>
      <c r="K1161" s="16"/>
      <c r="L1161" s="16"/>
    </row>
    <row r="1162" spans="5:12" x14ac:dyDescent="0.2">
      <c r="E1162" s="16"/>
      <c r="F1162" s="16"/>
      <c r="G1162" s="16"/>
      <c r="H1162" s="16"/>
      <c r="I1162" s="16"/>
      <c r="J1162" s="16"/>
      <c r="K1162" s="16"/>
      <c r="L1162" s="16"/>
    </row>
    <row r="1163" spans="5:12" x14ac:dyDescent="0.2">
      <c r="E1163" s="16"/>
      <c r="F1163" s="16"/>
      <c r="G1163" s="16"/>
      <c r="H1163" s="16"/>
      <c r="I1163" s="16"/>
      <c r="J1163" s="16"/>
      <c r="K1163" s="16"/>
      <c r="L1163" s="16"/>
    </row>
    <row r="1164" spans="5:12" x14ac:dyDescent="0.2">
      <c r="E1164" s="16"/>
      <c r="F1164" s="16"/>
      <c r="G1164" s="16"/>
      <c r="H1164" s="16"/>
      <c r="I1164" s="16"/>
      <c r="J1164" s="16"/>
      <c r="K1164" s="16"/>
      <c r="L1164" s="16"/>
    </row>
    <row r="1165" spans="5:12" x14ac:dyDescent="0.2">
      <c r="E1165" s="16"/>
      <c r="F1165" s="16"/>
      <c r="G1165" s="16"/>
      <c r="H1165" s="16"/>
      <c r="I1165" s="16"/>
      <c r="J1165" s="16"/>
      <c r="K1165" s="16"/>
      <c r="L1165" s="16"/>
    </row>
    <row r="1166" spans="5:12" x14ac:dyDescent="0.2">
      <c r="E1166" s="16"/>
      <c r="F1166" s="16"/>
      <c r="G1166" s="16"/>
      <c r="H1166" s="16"/>
      <c r="I1166" s="16"/>
      <c r="J1166" s="16"/>
      <c r="K1166" s="16"/>
      <c r="L1166" s="16"/>
    </row>
    <row r="1167" spans="5:12" x14ac:dyDescent="0.2">
      <c r="E1167" s="16"/>
      <c r="F1167" s="16"/>
      <c r="G1167" s="16"/>
      <c r="H1167" s="16"/>
      <c r="I1167" s="16"/>
      <c r="J1167" s="16"/>
      <c r="K1167" s="16"/>
      <c r="L1167" s="16"/>
    </row>
    <row r="1168" spans="5:12" x14ac:dyDescent="0.2">
      <c r="E1168" s="16"/>
      <c r="F1168" s="16"/>
      <c r="G1168" s="16"/>
      <c r="H1168" s="16"/>
      <c r="I1168" s="16"/>
      <c r="J1168" s="16"/>
      <c r="K1168" s="16"/>
      <c r="L1168" s="16"/>
    </row>
    <row r="1169" spans="5:12" x14ac:dyDescent="0.2">
      <c r="E1169" s="16"/>
      <c r="F1169" s="16"/>
      <c r="G1169" s="16"/>
      <c r="H1169" s="16"/>
      <c r="I1169" s="16"/>
      <c r="J1169" s="16"/>
      <c r="K1169" s="16"/>
      <c r="L1169" s="16"/>
    </row>
    <row r="1170" spans="5:12" x14ac:dyDescent="0.2">
      <c r="E1170" s="16"/>
      <c r="F1170" s="16"/>
      <c r="G1170" s="16"/>
      <c r="H1170" s="16"/>
      <c r="I1170" s="16"/>
      <c r="J1170" s="16"/>
      <c r="K1170" s="16"/>
      <c r="L1170" s="16"/>
    </row>
    <row r="1171" spans="5:12" x14ac:dyDescent="0.2">
      <c r="E1171" s="16"/>
      <c r="F1171" s="16"/>
      <c r="G1171" s="16"/>
      <c r="H1171" s="16"/>
      <c r="I1171" s="16"/>
      <c r="J1171" s="16"/>
      <c r="K1171" s="16"/>
      <c r="L1171" s="16"/>
    </row>
    <row r="1172" spans="5:12" x14ac:dyDescent="0.2">
      <c r="E1172" s="16"/>
      <c r="F1172" s="16"/>
      <c r="G1172" s="16"/>
      <c r="H1172" s="16"/>
      <c r="I1172" s="16"/>
      <c r="J1172" s="16"/>
      <c r="K1172" s="16"/>
      <c r="L1172" s="16"/>
    </row>
    <row r="1173" spans="5:12" x14ac:dyDescent="0.2">
      <c r="E1173" s="16"/>
      <c r="F1173" s="16"/>
      <c r="G1173" s="16"/>
      <c r="H1173" s="16"/>
      <c r="I1173" s="16"/>
      <c r="J1173" s="16"/>
      <c r="K1173" s="16"/>
      <c r="L1173" s="16"/>
    </row>
    <row r="1174" spans="5:12" x14ac:dyDescent="0.2">
      <c r="E1174" s="16"/>
      <c r="F1174" s="16"/>
      <c r="G1174" s="16"/>
      <c r="H1174" s="16"/>
      <c r="I1174" s="16"/>
      <c r="J1174" s="16"/>
      <c r="K1174" s="16"/>
      <c r="L1174" s="16"/>
    </row>
    <row r="1175" spans="5:12" x14ac:dyDescent="0.2">
      <c r="E1175" s="16"/>
      <c r="F1175" s="16"/>
      <c r="G1175" s="16"/>
      <c r="H1175" s="16"/>
      <c r="I1175" s="16"/>
      <c r="J1175" s="16"/>
      <c r="K1175" s="16"/>
      <c r="L1175" s="16"/>
    </row>
    <row r="1176" spans="5:12" x14ac:dyDescent="0.2">
      <c r="E1176" s="16"/>
      <c r="F1176" s="16"/>
      <c r="G1176" s="16"/>
      <c r="H1176" s="16"/>
      <c r="I1176" s="16"/>
      <c r="J1176" s="16"/>
      <c r="K1176" s="16"/>
      <c r="L1176" s="16"/>
    </row>
    <row r="1177" spans="5:12" x14ac:dyDescent="0.2">
      <c r="E1177" s="16"/>
      <c r="F1177" s="16"/>
      <c r="G1177" s="16"/>
      <c r="H1177" s="16"/>
      <c r="I1177" s="16"/>
      <c r="J1177" s="16"/>
      <c r="K1177" s="16"/>
      <c r="L1177" s="16"/>
    </row>
    <row r="1178" spans="5:12" x14ac:dyDescent="0.2">
      <c r="E1178" s="16"/>
      <c r="F1178" s="16"/>
      <c r="G1178" s="16"/>
      <c r="H1178" s="16"/>
      <c r="I1178" s="16"/>
      <c r="J1178" s="16"/>
      <c r="K1178" s="16"/>
      <c r="L1178" s="16"/>
    </row>
    <row r="1179" spans="5:12" x14ac:dyDescent="0.2">
      <c r="E1179" s="16"/>
      <c r="F1179" s="16"/>
      <c r="G1179" s="16"/>
      <c r="H1179" s="16"/>
      <c r="I1179" s="16"/>
      <c r="J1179" s="16"/>
      <c r="K1179" s="16"/>
      <c r="L1179" s="16"/>
    </row>
    <row r="1180" spans="5:12" x14ac:dyDescent="0.2">
      <c r="E1180" s="16"/>
      <c r="F1180" s="16"/>
      <c r="G1180" s="16"/>
      <c r="H1180" s="16"/>
      <c r="I1180" s="16"/>
      <c r="J1180" s="16"/>
      <c r="K1180" s="16"/>
      <c r="L1180" s="16"/>
    </row>
    <row r="1181" spans="5:12" x14ac:dyDescent="0.2">
      <c r="E1181" s="16"/>
      <c r="F1181" s="16"/>
      <c r="G1181" s="16"/>
      <c r="H1181" s="16"/>
      <c r="I1181" s="16"/>
      <c r="J1181" s="16"/>
      <c r="K1181" s="16"/>
      <c r="L1181" s="16"/>
    </row>
    <row r="1182" spans="5:12" x14ac:dyDescent="0.2">
      <c r="E1182" s="16"/>
      <c r="F1182" s="16"/>
      <c r="G1182" s="16"/>
      <c r="H1182" s="16"/>
      <c r="I1182" s="16"/>
      <c r="J1182" s="16"/>
      <c r="K1182" s="16"/>
      <c r="L1182" s="16"/>
    </row>
    <row r="1183" spans="5:12" x14ac:dyDescent="0.2">
      <c r="E1183" s="16"/>
      <c r="F1183" s="16"/>
      <c r="G1183" s="16"/>
      <c r="H1183" s="16"/>
      <c r="I1183" s="16"/>
      <c r="J1183" s="16"/>
      <c r="K1183" s="16"/>
      <c r="L1183" s="16"/>
    </row>
    <row r="1184" spans="5:12" x14ac:dyDescent="0.2">
      <c r="E1184" s="16"/>
      <c r="F1184" s="16"/>
      <c r="G1184" s="16"/>
      <c r="H1184" s="16"/>
      <c r="I1184" s="16"/>
      <c r="J1184" s="16"/>
      <c r="K1184" s="16"/>
      <c r="L1184" s="16"/>
    </row>
    <row r="1185" spans="5:12" x14ac:dyDescent="0.2">
      <c r="E1185" s="16"/>
      <c r="F1185" s="16"/>
      <c r="G1185" s="16"/>
      <c r="H1185" s="16"/>
      <c r="I1185" s="16"/>
      <c r="J1185" s="16"/>
      <c r="K1185" s="16"/>
      <c r="L1185" s="16"/>
    </row>
    <row r="1186" spans="5:12" x14ac:dyDescent="0.2">
      <c r="E1186" s="16"/>
      <c r="F1186" s="16"/>
      <c r="G1186" s="16"/>
      <c r="H1186" s="16"/>
      <c r="I1186" s="16"/>
      <c r="J1186" s="16"/>
      <c r="K1186" s="16"/>
      <c r="L1186" s="16"/>
    </row>
    <row r="1187" spans="5:12" x14ac:dyDescent="0.2">
      <c r="E1187" s="16"/>
      <c r="F1187" s="16"/>
      <c r="G1187" s="16"/>
      <c r="H1187" s="16"/>
      <c r="I1187" s="16"/>
      <c r="J1187" s="16"/>
      <c r="K1187" s="16"/>
      <c r="L1187" s="16"/>
    </row>
    <row r="1188" spans="5:12" x14ac:dyDescent="0.2">
      <c r="E1188" s="16"/>
      <c r="F1188" s="16"/>
      <c r="G1188" s="16"/>
      <c r="H1188" s="16"/>
      <c r="I1188" s="16"/>
      <c r="J1188" s="16"/>
      <c r="K1188" s="16"/>
      <c r="L1188" s="16"/>
    </row>
    <row r="1189" spans="5:12" x14ac:dyDescent="0.2">
      <c r="E1189" s="16"/>
      <c r="F1189" s="16"/>
      <c r="G1189" s="16"/>
      <c r="H1189" s="16"/>
      <c r="I1189" s="16"/>
      <c r="J1189" s="16"/>
      <c r="K1189" s="16"/>
      <c r="L1189" s="16"/>
    </row>
    <row r="1190" spans="5:12" x14ac:dyDescent="0.2">
      <c r="E1190" s="16"/>
      <c r="F1190" s="16"/>
      <c r="G1190" s="16"/>
      <c r="H1190" s="16"/>
      <c r="I1190" s="16"/>
      <c r="J1190" s="16"/>
      <c r="K1190" s="16"/>
      <c r="L1190" s="16"/>
    </row>
    <row r="1191" spans="5:12" x14ac:dyDescent="0.2">
      <c r="E1191" s="16"/>
      <c r="F1191" s="16"/>
      <c r="G1191" s="16"/>
      <c r="H1191" s="16"/>
      <c r="I1191" s="16"/>
      <c r="J1191" s="16"/>
      <c r="K1191" s="16"/>
      <c r="L1191" s="16"/>
    </row>
    <row r="1192" spans="5:12" x14ac:dyDescent="0.2">
      <c r="E1192" s="16"/>
      <c r="F1192" s="16"/>
      <c r="G1192" s="16"/>
      <c r="H1192" s="16"/>
      <c r="I1192" s="16"/>
      <c r="J1192" s="16"/>
      <c r="K1192" s="16"/>
      <c r="L1192" s="16"/>
    </row>
    <row r="1193" spans="5:12" x14ac:dyDescent="0.2">
      <c r="E1193" s="16"/>
      <c r="F1193" s="16"/>
      <c r="G1193" s="16"/>
      <c r="H1193" s="16"/>
      <c r="I1193" s="16"/>
      <c r="J1193" s="16"/>
      <c r="K1193" s="16"/>
      <c r="L1193" s="16"/>
    </row>
    <row r="1194" spans="5:12" x14ac:dyDescent="0.2">
      <c r="E1194" s="16"/>
      <c r="F1194" s="16"/>
      <c r="G1194" s="16"/>
      <c r="H1194" s="16"/>
      <c r="I1194" s="16"/>
      <c r="J1194" s="16"/>
      <c r="K1194" s="16"/>
      <c r="L1194" s="16"/>
    </row>
    <row r="1195" spans="5:12" x14ac:dyDescent="0.2">
      <c r="E1195" s="16"/>
      <c r="F1195" s="16"/>
      <c r="G1195" s="16"/>
      <c r="H1195" s="16"/>
      <c r="I1195" s="16"/>
      <c r="J1195" s="16"/>
      <c r="K1195" s="16"/>
      <c r="L1195" s="16"/>
    </row>
    <row r="1196" spans="5:12" x14ac:dyDescent="0.2">
      <c r="E1196" s="16"/>
      <c r="F1196" s="16"/>
      <c r="G1196" s="16"/>
      <c r="H1196" s="16"/>
      <c r="I1196" s="16"/>
      <c r="J1196" s="16"/>
      <c r="K1196" s="16"/>
      <c r="L1196" s="16"/>
    </row>
    <row r="1197" spans="5:12" x14ac:dyDescent="0.2">
      <c r="E1197" s="16"/>
      <c r="F1197" s="16"/>
      <c r="G1197" s="16"/>
      <c r="H1197" s="16"/>
      <c r="I1197" s="16"/>
      <c r="J1197" s="16"/>
      <c r="K1197" s="16"/>
      <c r="L1197" s="16"/>
    </row>
    <row r="1198" spans="5:12" x14ac:dyDescent="0.2">
      <c r="E1198" s="16"/>
      <c r="F1198" s="16"/>
      <c r="G1198" s="16"/>
      <c r="H1198" s="16"/>
      <c r="I1198" s="16"/>
      <c r="J1198" s="16"/>
      <c r="K1198" s="16"/>
      <c r="L1198" s="16"/>
    </row>
    <row r="1199" spans="5:12" x14ac:dyDescent="0.2">
      <c r="E1199" s="16"/>
      <c r="F1199" s="16"/>
      <c r="G1199" s="16"/>
      <c r="H1199" s="16"/>
      <c r="I1199" s="16"/>
      <c r="J1199" s="16"/>
      <c r="K1199" s="16"/>
      <c r="L1199" s="16"/>
    </row>
    <row r="1200" spans="5:12" x14ac:dyDescent="0.2">
      <c r="E1200" s="16"/>
      <c r="F1200" s="16"/>
      <c r="G1200" s="16"/>
      <c r="H1200" s="16"/>
      <c r="I1200" s="16"/>
      <c r="J1200" s="16"/>
      <c r="K1200" s="16"/>
      <c r="L1200" s="16"/>
    </row>
    <row r="1201" spans="5:12" x14ac:dyDescent="0.2">
      <c r="E1201" s="16"/>
      <c r="F1201" s="16"/>
      <c r="G1201" s="16"/>
      <c r="H1201" s="16"/>
      <c r="I1201" s="16"/>
      <c r="J1201" s="16"/>
      <c r="K1201" s="16"/>
      <c r="L1201" s="16"/>
    </row>
    <row r="1202" spans="5:12" x14ac:dyDescent="0.2">
      <c r="E1202" s="16"/>
      <c r="F1202" s="16"/>
      <c r="G1202" s="16"/>
      <c r="H1202" s="16"/>
      <c r="I1202" s="16"/>
      <c r="J1202" s="16"/>
      <c r="K1202" s="16"/>
      <c r="L1202" s="16"/>
    </row>
    <row r="1203" spans="5:12" x14ac:dyDescent="0.2">
      <c r="E1203" s="16"/>
      <c r="F1203" s="16"/>
      <c r="G1203" s="16"/>
      <c r="H1203" s="16"/>
      <c r="I1203" s="16"/>
      <c r="J1203" s="16"/>
      <c r="K1203" s="16"/>
      <c r="L1203" s="16"/>
    </row>
    <row r="1204" spans="5:12" x14ac:dyDescent="0.2">
      <c r="E1204" s="16"/>
      <c r="F1204" s="16"/>
      <c r="G1204" s="16"/>
      <c r="H1204" s="16"/>
      <c r="I1204" s="16"/>
      <c r="J1204" s="16"/>
      <c r="K1204" s="16"/>
      <c r="L1204" s="16"/>
    </row>
    <row r="1205" spans="5:12" x14ac:dyDescent="0.2">
      <c r="E1205" s="16"/>
      <c r="F1205" s="16"/>
      <c r="G1205" s="16"/>
      <c r="H1205" s="16"/>
      <c r="I1205" s="16"/>
      <c r="J1205" s="16"/>
      <c r="K1205" s="16"/>
      <c r="L1205" s="16"/>
    </row>
    <row r="1206" spans="5:12" x14ac:dyDescent="0.2">
      <c r="E1206" s="16"/>
      <c r="F1206" s="16"/>
      <c r="G1206" s="16"/>
      <c r="H1206" s="16"/>
      <c r="I1206" s="16"/>
      <c r="J1206" s="16"/>
      <c r="K1206" s="16"/>
      <c r="L1206" s="16"/>
    </row>
    <row r="1207" spans="5:12" x14ac:dyDescent="0.2">
      <c r="E1207" s="16"/>
      <c r="F1207" s="16"/>
      <c r="G1207" s="16"/>
      <c r="H1207" s="16"/>
      <c r="I1207" s="16"/>
      <c r="J1207" s="16"/>
      <c r="K1207" s="16"/>
      <c r="L1207" s="16"/>
    </row>
    <row r="1208" spans="5:12" x14ac:dyDescent="0.2">
      <c r="E1208" s="16"/>
      <c r="F1208" s="16"/>
      <c r="G1208" s="16"/>
      <c r="H1208" s="16"/>
      <c r="I1208" s="16"/>
      <c r="J1208" s="16"/>
      <c r="K1208" s="16"/>
      <c r="L1208" s="16"/>
    </row>
    <row r="1209" spans="5:12" x14ac:dyDescent="0.2">
      <c r="E1209" s="16"/>
      <c r="F1209" s="16"/>
      <c r="G1209" s="16"/>
      <c r="H1209" s="16"/>
      <c r="I1209" s="16"/>
      <c r="J1209" s="16"/>
      <c r="K1209" s="16"/>
      <c r="L1209" s="16"/>
    </row>
    <row r="1210" spans="5:12" x14ac:dyDescent="0.2">
      <c r="E1210" s="16"/>
      <c r="F1210" s="16"/>
      <c r="G1210" s="16"/>
      <c r="H1210" s="16"/>
      <c r="I1210" s="16"/>
      <c r="J1210" s="16"/>
      <c r="K1210" s="16"/>
      <c r="L1210" s="16"/>
    </row>
    <row r="1211" spans="5:12" x14ac:dyDescent="0.2">
      <c r="E1211" s="16"/>
      <c r="F1211" s="16"/>
      <c r="G1211" s="16"/>
      <c r="H1211" s="16"/>
      <c r="I1211" s="16"/>
      <c r="J1211" s="16"/>
      <c r="K1211" s="16"/>
      <c r="L1211" s="16"/>
    </row>
    <row r="1212" spans="5:12" x14ac:dyDescent="0.2">
      <c r="E1212" s="16"/>
      <c r="F1212" s="16"/>
      <c r="G1212" s="16"/>
      <c r="H1212" s="16"/>
      <c r="I1212" s="16"/>
      <c r="J1212" s="16"/>
      <c r="K1212" s="16"/>
      <c r="L1212" s="16"/>
    </row>
    <row r="1213" spans="5:12" x14ac:dyDescent="0.2">
      <c r="E1213" s="16"/>
      <c r="F1213" s="16"/>
      <c r="G1213" s="16"/>
      <c r="H1213" s="16"/>
      <c r="I1213" s="16"/>
      <c r="J1213" s="16"/>
      <c r="K1213" s="16"/>
      <c r="L1213" s="16"/>
    </row>
    <row r="1214" spans="5:12" x14ac:dyDescent="0.2">
      <c r="E1214" s="16"/>
      <c r="F1214" s="16"/>
      <c r="G1214" s="16"/>
      <c r="H1214" s="16"/>
      <c r="I1214" s="16"/>
      <c r="J1214" s="16"/>
      <c r="K1214" s="16"/>
      <c r="L1214" s="16"/>
    </row>
    <row r="1215" spans="5:12" x14ac:dyDescent="0.2">
      <c r="E1215" s="16"/>
      <c r="F1215" s="16"/>
      <c r="G1215" s="16"/>
      <c r="H1215" s="16"/>
      <c r="I1215" s="16"/>
      <c r="J1215" s="16"/>
      <c r="K1215" s="16"/>
      <c r="L1215" s="16"/>
    </row>
    <row r="1216" spans="5:12" x14ac:dyDescent="0.2">
      <c r="E1216" s="16"/>
      <c r="F1216" s="16"/>
      <c r="G1216" s="16"/>
      <c r="H1216" s="16"/>
      <c r="I1216" s="16"/>
      <c r="J1216" s="16"/>
      <c r="K1216" s="16"/>
      <c r="L1216" s="16"/>
    </row>
    <row r="1217" spans="5:12" x14ac:dyDescent="0.2">
      <c r="E1217" s="16"/>
      <c r="F1217" s="16"/>
      <c r="G1217" s="16"/>
      <c r="H1217" s="16"/>
      <c r="I1217" s="16"/>
      <c r="J1217" s="16"/>
      <c r="K1217" s="16"/>
      <c r="L1217" s="16"/>
    </row>
    <row r="1218" spans="5:12" x14ac:dyDescent="0.2">
      <c r="E1218" s="16"/>
      <c r="F1218" s="16"/>
      <c r="G1218" s="16"/>
      <c r="H1218" s="16"/>
      <c r="I1218" s="16"/>
      <c r="J1218" s="16"/>
      <c r="K1218" s="16"/>
      <c r="L1218" s="16"/>
    </row>
    <row r="1219" spans="5:12" x14ac:dyDescent="0.2">
      <c r="E1219" s="16"/>
      <c r="F1219" s="16"/>
      <c r="G1219" s="16"/>
      <c r="H1219" s="16"/>
      <c r="I1219" s="16"/>
      <c r="J1219" s="16"/>
      <c r="K1219" s="16"/>
      <c r="L1219" s="16"/>
    </row>
    <row r="1220" spans="5:12" x14ac:dyDescent="0.2">
      <c r="E1220" s="16"/>
      <c r="F1220" s="16"/>
      <c r="G1220" s="16"/>
      <c r="H1220" s="16"/>
      <c r="I1220" s="16"/>
      <c r="J1220" s="16"/>
      <c r="K1220" s="16"/>
      <c r="L1220" s="16"/>
    </row>
    <row r="1221" spans="5:12" x14ac:dyDescent="0.2">
      <c r="E1221" s="16"/>
      <c r="F1221" s="16"/>
      <c r="G1221" s="16"/>
      <c r="H1221" s="16"/>
      <c r="I1221" s="16"/>
      <c r="J1221" s="16"/>
      <c r="K1221" s="16"/>
      <c r="L1221" s="16"/>
    </row>
    <row r="1222" spans="5:12" x14ac:dyDescent="0.2">
      <c r="E1222" s="16"/>
      <c r="F1222" s="16"/>
      <c r="G1222" s="16"/>
      <c r="H1222" s="16"/>
      <c r="I1222" s="16"/>
      <c r="J1222" s="16"/>
      <c r="K1222" s="16"/>
      <c r="L1222" s="16"/>
    </row>
    <row r="1223" spans="5:12" x14ac:dyDescent="0.2">
      <c r="E1223" s="16"/>
      <c r="F1223" s="16"/>
      <c r="G1223" s="16"/>
      <c r="H1223" s="16"/>
      <c r="I1223" s="16"/>
      <c r="J1223" s="16"/>
      <c r="K1223" s="16"/>
      <c r="L1223" s="16"/>
    </row>
    <row r="1224" spans="5:12" x14ac:dyDescent="0.2">
      <c r="E1224" s="16"/>
      <c r="F1224" s="16"/>
      <c r="G1224" s="16"/>
      <c r="H1224" s="16"/>
      <c r="I1224" s="16"/>
      <c r="J1224" s="16"/>
      <c r="K1224" s="16"/>
      <c r="L1224" s="16"/>
    </row>
    <row r="1225" spans="5:12" x14ac:dyDescent="0.2">
      <c r="E1225" s="16"/>
      <c r="F1225" s="16"/>
      <c r="G1225" s="16"/>
      <c r="H1225" s="16"/>
      <c r="I1225" s="16"/>
      <c r="J1225" s="16"/>
      <c r="K1225" s="16"/>
      <c r="L1225" s="16"/>
    </row>
    <row r="1226" spans="5:12" x14ac:dyDescent="0.2">
      <c r="E1226" s="16"/>
      <c r="F1226" s="16"/>
      <c r="G1226" s="16"/>
      <c r="H1226" s="16"/>
      <c r="I1226" s="16"/>
      <c r="J1226" s="16"/>
      <c r="K1226" s="16"/>
      <c r="L1226" s="16"/>
    </row>
    <row r="1227" spans="5:12" x14ac:dyDescent="0.2">
      <c r="E1227" s="16"/>
      <c r="F1227" s="16"/>
      <c r="G1227" s="16"/>
      <c r="H1227" s="16"/>
      <c r="I1227" s="16"/>
      <c r="J1227" s="16"/>
      <c r="K1227" s="16"/>
      <c r="L1227" s="16"/>
    </row>
    <row r="1228" spans="5:12" x14ac:dyDescent="0.2">
      <c r="E1228" s="16"/>
      <c r="F1228" s="16"/>
      <c r="G1228" s="16"/>
      <c r="H1228" s="16"/>
      <c r="I1228" s="16"/>
      <c r="J1228" s="16"/>
      <c r="K1228" s="16"/>
      <c r="L1228" s="16"/>
    </row>
    <row r="1229" spans="5:12" x14ac:dyDescent="0.2">
      <c r="E1229" s="16"/>
      <c r="F1229" s="16"/>
      <c r="G1229" s="16"/>
      <c r="H1229" s="16"/>
      <c r="I1229" s="16"/>
      <c r="J1229" s="16"/>
      <c r="K1229" s="16"/>
      <c r="L1229" s="16"/>
    </row>
    <row r="1230" spans="5:12" x14ac:dyDescent="0.2">
      <c r="E1230" s="16"/>
      <c r="F1230" s="16"/>
      <c r="G1230" s="16"/>
      <c r="H1230" s="16"/>
      <c r="I1230" s="16"/>
      <c r="J1230" s="16"/>
      <c r="K1230" s="16"/>
      <c r="L1230" s="16"/>
    </row>
    <row r="1231" spans="5:12" x14ac:dyDescent="0.2">
      <c r="E1231" s="16"/>
      <c r="F1231" s="16"/>
      <c r="G1231" s="16"/>
      <c r="H1231" s="16"/>
      <c r="I1231" s="16"/>
      <c r="J1231" s="16"/>
      <c r="K1231" s="16"/>
      <c r="L1231" s="16"/>
    </row>
    <row r="1232" spans="5:12" x14ac:dyDescent="0.2">
      <c r="E1232" s="16"/>
      <c r="F1232" s="16"/>
      <c r="G1232" s="16"/>
      <c r="H1232" s="16"/>
      <c r="I1232" s="16"/>
      <c r="J1232" s="16"/>
      <c r="K1232" s="16"/>
      <c r="L1232" s="16"/>
    </row>
    <row r="1233" spans="5:12" x14ac:dyDescent="0.2">
      <c r="E1233" s="16"/>
      <c r="F1233" s="16"/>
      <c r="G1233" s="16"/>
      <c r="H1233" s="16"/>
      <c r="I1233" s="16"/>
      <c r="J1233" s="16"/>
      <c r="K1233" s="16"/>
      <c r="L1233" s="16"/>
    </row>
    <row r="1234" spans="5:12" x14ac:dyDescent="0.2">
      <c r="E1234" s="16"/>
      <c r="F1234" s="16"/>
      <c r="G1234" s="16"/>
      <c r="H1234" s="16"/>
      <c r="I1234" s="16"/>
      <c r="J1234" s="16"/>
      <c r="K1234" s="16"/>
      <c r="L1234" s="16"/>
    </row>
    <row r="1235" spans="5:12" x14ac:dyDescent="0.2">
      <c r="E1235" s="16"/>
      <c r="F1235" s="16"/>
      <c r="G1235" s="16"/>
      <c r="H1235" s="16"/>
      <c r="I1235" s="16"/>
      <c r="J1235" s="16"/>
      <c r="K1235" s="16"/>
      <c r="L1235" s="16"/>
    </row>
    <row r="1236" spans="5:12" x14ac:dyDescent="0.2">
      <c r="E1236" s="16"/>
      <c r="F1236" s="16"/>
      <c r="G1236" s="16"/>
      <c r="H1236" s="16"/>
      <c r="I1236" s="16"/>
      <c r="J1236" s="16"/>
      <c r="K1236" s="16"/>
      <c r="L1236" s="16"/>
    </row>
    <row r="1237" spans="5:12" x14ac:dyDescent="0.2">
      <c r="E1237" s="16"/>
      <c r="F1237" s="16"/>
      <c r="G1237" s="16"/>
      <c r="H1237" s="16"/>
      <c r="I1237" s="16"/>
      <c r="J1237" s="16"/>
      <c r="K1237" s="16"/>
      <c r="L1237" s="16"/>
    </row>
    <row r="1238" spans="5:12" x14ac:dyDescent="0.2">
      <c r="E1238" s="16"/>
      <c r="F1238" s="16"/>
      <c r="G1238" s="16"/>
      <c r="H1238" s="16"/>
      <c r="I1238" s="16"/>
      <c r="J1238" s="16"/>
      <c r="K1238" s="16"/>
      <c r="L1238" s="16"/>
    </row>
    <row r="1239" spans="5:12" x14ac:dyDescent="0.2">
      <c r="E1239" s="16"/>
      <c r="F1239" s="16"/>
      <c r="G1239" s="16"/>
      <c r="H1239" s="16"/>
      <c r="I1239" s="16"/>
      <c r="J1239" s="16"/>
      <c r="K1239" s="16"/>
      <c r="L1239" s="16"/>
    </row>
    <row r="1240" spans="5:12" x14ac:dyDescent="0.2">
      <c r="E1240" s="16"/>
      <c r="F1240" s="16"/>
      <c r="G1240" s="16"/>
      <c r="H1240" s="16"/>
      <c r="I1240" s="16"/>
      <c r="J1240" s="16"/>
      <c r="K1240" s="16"/>
      <c r="L1240" s="16"/>
    </row>
    <row r="1241" spans="5:12" x14ac:dyDescent="0.2">
      <c r="E1241" s="16"/>
      <c r="F1241" s="16"/>
      <c r="G1241" s="16"/>
      <c r="H1241" s="16"/>
      <c r="I1241" s="16"/>
      <c r="J1241" s="16"/>
      <c r="K1241" s="16"/>
      <c r="L1241" s="16"/>
    </row>
    <row r="1242" spans="5:12" x14ac:dyDescent="0.2">
      <c r="E1242" s="16"/>
      <c r="F1242" s="16"/>
      <c r="G1242" s="16"/>
      <c r="H1242" s="16"/>
      <c r="I1242" s="16"/>
      <c r="J1242" s="16"/>
      <c r="K1242" s="16"/>
      <c r="L1242" s="16"/>
    </row>
    <row r="1243" spans="5:12" x14ac:dyDescent="0.2">
      <c r="E1243" s="16"/>
      <c r="F1243" s="16"/>
      <c r="G1243" s="16"/>
      <c r="H1243" s="16"/>
      <c r="I1243" s="16"/>
      <c r="J1243" s="16"/>
      <c r="K1243" s="16"/>
      <c r="L1243" s="16"/>
    </row>
    <row r="1244" spans="5:12" x14ac:dyDescent="0.2">
      <c r="E1244" s="16"/>
      <c r="F1244" s="16"/>
      <c r="G1244" s="16"/>
      <c r="H1244" s="16"/>
      <c r="I1244" s="16"/>
      <c r="J1244" s="16"/>
      <c r="K1244" s="16"/>
      <c r="L1244" s="16"/>
    </row>
    <row r="1245" spans="5:12" x14ac:dyDescent="0.2">
      <c r="E1245" s="16"/>
      <c r="F1245" s="16"/>
      <c r="G1245" s="16"/>
      <c r="H1245" s="16"/>
      <c r="I1245" s="16"/>
      <c r="J1245" s="16"/>
      <c r="K1245" s="16"/>
      <c r="L1245" s="16"/>
    </row>
    <row r="1246" spans="5:12" x14ac:dyDescent="0.2">
      <c r="E1246" s="16"/>
      <c r="F1246" s="16"/>
      <c r="G1246" s="16"/>
      <c r="H1246" s="16"/>
      <c r="I1246" s="16"/>
      <c r="J1246" s="16"/>
      <c r="K1246" s="16"/>
      <c r="L1246" s="16"/>
    </row>
    <row r="1247" spans="5:12" x14ac:dyDescent="0.2">
      <c r="E1247" s="16"/>
      <c r="F1247" s="16"/>
      <c r="G1247" s="16"/>
      <c r="H1247" s="16"/>
      <c r="I1247" s="16"/>
      <c r="J1247" s="16"/>
      <c r="K1247" s="16"/>
      <c r="L1247" s="16"/>
    </row>
    <row r="1248" spans="5:12" x14ac:dyDescent="0.2">
      <c r="E1248" s="16"/>
      <c r="F1248" s="16"/>
      <c r="G1248" s="16"/>
      <c r="H1248" s="16"/>
      <c r="I1248" s="16"/>
      <c r="J1248" s="16"/>
      <c r="K1248" s="16"/>
      <c r="L1248" s="16"/>
    </row>
    <row r="1249" spans="5:12" x14ac:dyDescent="0.2">
      <c r="E1249" s="16"/>
      <c r="F1249" s="16"/>
      <c r="G1249" s="16"/>
      <c r="H1249" s="16"/>
      <c r="I1249" s="16"/>
      <c r="J1249" s="16"/>
      <c r="K1249" s="16"/>
      <c r="L1249" s="16"/>
    </row>
    <row r="1250" spans="5:12" x14ac:dyDescent="0.2">
      <c r="E1250" s="16"/>
      <c r="F1250" s="16"/>
      <c r="G1250" s="16"/>
      <c r="H1250" s="16"/>
      <c r="I1250" s="16"/>
      <c r="J1250" s="16"/>
      <c r="K1250" s="16"/>
      <c r="L1250" s="16"/>
    </row>
    <row r="1251" spans="5:12" x14ac:dyDescent="0.2">
      <c r="E1251" s="16"/>
      <c r="F1251" s="16"/>
      <c r="G1251" s="16"/>
      <c r="H1251" s="16"/>
      <c r="I1251" s="16"/>
      <c r="J1251" s="16"/>
      <c r="K1251" s="16"/>
      <c r="L1251" s="16"/>
    </row>
    <row r="1252" spans="5:12" x14ac:dyDescent="0.2">
      <c r="E1252" s="16"/>
      <c r="F1252" s="16"/>
      <c r="G1252" s="16"/>
      <c r="H1252" s="16"/>
      <c r="I1252" s="16"/>
      <c r="J1252" s="16"/>
      <c r="K1252" s="16"/>
      <c r="L1252" s="16"/>
    </row>
    <row r="1253" spans="5:12" x14ac:dyDescent="0.2">
      <c r="E1253" s="16"/>
      <c r="F1253" s="16"/>
      <c r="G1253" s="16"/>
      <c r="H1253" s="16"/>
      <c r="I1253" s="16"/>
      <c r="J1253" s="16"/>
      <c r="K1253" s="16"/>
      <c r="L1253" s="16"/>
    </row>
    <row r="1254" spans="5:12" x14ac:dyDescent="0.2">
      <c r="E1254" s="16"/>
      <c r="F1254" s="16"/>
      <c r="G1254" s="16"/>
      <c r="H1254" s="16"/>
      <c r="I1254" s="16"/>
      <c r="J1254" s="16"/>
      <c r="K1254" s="16"/>
      <c r="L1254" s="16"/>
    </row>
    <row r="1255" spans="5:12" x14ac:dyDescent="0.2">
      <c r="E1255" s="16"/>
      <c r="F1255" s="16"/>
      <c r="G1255" s="16"/>
      <c r="H1255" s="16"/>
      <c r="I1255" s="16"/>
      <c r="J1255" s="16"/>
      <c r="K1255" s="16"/>
      <c r="L1255" s="16"/>
    </row>
    <row r="1256" spans="5:12" x14ac:dyDescent="0.2">
      <c r="E1256" s="16"/>
      <c r="F1256" s="16"/>
      <c r="G1256" s="16"/>
      <c r="H1256" s="16"/>
      <c r="I1256" s="16"/>
      <c r="J1256" s="16"/>
      <c r="K1256" s="16"/>
      <c r="L1256" s="16"/>
    </row>
    <row r="1257" spans="5:12" x14ac:dyDescent="0.2">
      <c r="E1257" s="16"/>
      <c r="F1257" s="16"/>
      <c r="G1257" s="16"/>
      <c r="H1257" s="16"/>
      <c r="I1257" s="16"/>
      <c r="J1257" s="16"/>
      <c r="K1257" s="16"/>
      <c r="L1257" s="16"/>
    </row>
    <row r="1258" spans="5:12" x14ac:dyDescent="0.2">
      <c r="E1258" s="16"/>
      <c r="F1258" s="16"/>
      <c r="G1258" s="16"/>
      <c r="H1258" s="16"/>
      <c r="I1258" s="16"/>
      <c r="J1258" s="16"/>
      <c r="K1258" s="16"/>
      <c r="L1258" s="16"/>
    </row>
    <row r="1259" spans="5:12" x14ac:dyDescent="0.2">
      <c r="E1259" s="16"/>
      <c r="F1259" s="16"/>
      <c r="G1259" s="16"/>
      <c r="H1259" s="16"/>
      <c r="I1259" s="16"/>
      <c r="J1259" s="16"/>
      <c r="K1259" s="16"/>
      <c r="L1259" s="16"/>
    </row>
    <row r="1260" spans="5:12" x14ac:dyDescent="0.2">
      <c r="E1260" s="16"/>
      <c r="F1260" s="16"/>
      <c r="G1260" s="16"/>
      <c r="H1260" s="16"/>
      <c r="I1260" s="16"/>
      <c r="J1260" s="16"/>
      <c r="K1260" s="16"/>
      <c r="L1260" s="16"/>
    </row>
    <row r="1261" spans="5:12" x14ac:dyDescent="0.2">
      <c r="E1261" s="16"/>
      <c r="F1261" s="16"/>
      <c r="G1261" s="16"/>
      <c r="H1261" s="16"/>
      <c r="I1261" s="16"/>
      <c r="J1261" s="16"/>
      <c r="K1261" s="16"/>
      <c r="L1261" s="16"/>
    </row>
    <row r="1262" spans="5:12" x14ac:dyDescent="0.2">
      <c r="E1262" s="16"/>
      <c r="F1262" s="16"/>
      <c r="G1262" s="16"/>
      <c r="H1262" s="16"/>
      <c r="I1262" s="16"/>
      <c r="J1262" s="16"/>
      <c r="K1262" s="16"/>
      <c r="L1262" s="16"/>
    </row>
    <row r="1263" spans="5:12" x14ac:dyDescent="0.2">
      <c r="E1263" s="16"/>
      <c r="F1263" s="16"/>
      <c r="G1263" s="16"/>
      <c r="H1263" s="16"/>
      <c r="I1263" s="16"/>
      <c r="J1263" s="16"/>
      <c r="K1263" s="16"/>
      <c r="L1263" s="16"/>
    </row>
    <row r="1264" spans="5:12" x14ac:dyDescent="0.2">
      <c r="E1264" s="16"/>
      <c r="F1264" s="16"/>
      <c r="G1264" s="16"/>
      <c r="H1264" s="16"/>
      <c r="I1264" s="16"/>
      <c r="J1264" s="16"/>
      <c r="K1264" s="16"/>
      <c r="L1264" s="16"/>
    </row>
    <row r="1265" spans="5:12" x14ac:dyDescent="0.2">
      <c r="E1265" s="16"/>
      <c r="F1265" s="16"/>
      <c r="G1265" s="16"/>
      <c r="H1265" s="16"/>
      <c r="I1265" s="16"/>
      <c r="J1265" s="16"/>
      <c r="K1265" s="16"/>
      <c r="L1265" s="16"/>
    </row>
    <row r="1266" spans="5:12" x14ac:dyDescent="0.2">
      <c r="E1266" s="16"/>
      <c r="F1266" s="16"/>
      <c r="G1266" s="16"/>
      <c r="H1266" s="16"/>
      <c r="I1266" s="16"/>
      <c r="J1266" s="16"/>
      <c r="K1266" s="16"/>
      <c r="L1266" s="16"/>
    </row>
    <row r="1267" spans="5:12" x14ac:dyDescent="0.2">
      <c r="E1267" s="16"/>
      <c r="F1267" s="16"/>
      <c r="G1267" s="16"/>
      <c r="H1267" s="16"/>
      <c r="I1267" s="16"/>
      <c r="J1267" s="16"/>
      <c r="K1267" s="16"/>
      <c r="L1267" s="16"/>
    </row>
    <row r="1268" spans="5:12" x14ac:dyDescent="0.2">
      <c r="E1268" s="16"/>
      <c r="F1268" s="16"/>
      <c r="G1268" s="16"/>
      <c r="H1268" s="16"/>
      <c r="I1268" s="16"/>
      <c r="J1268" s="16"/>
      <c r="K1268" s="16"/>
      <c r="L1268" s="16"/>
    </row>
    <row r="1269" spans="5:12" x14ac:dyDescent="0.2">
      <c r="E1269" s="16"/>
      <c r="F1269" s="16"/>
      <c r="G1269" s="16"/>
      <c r="H1269" s="16"/>
      <c r="I1269" s="16"/>
      <c r="J1269" s="16"/>
      <c r="K1269" s="16"/>
      <c r="L1269" s="16"/>
    </row>
    <row r="1270" spans="5:12" x14ac:dyDescent="0.2">
      <c r="E1270" s="16"/>
      <c r="F1270" s="16"/>
      <c r="G1270" s="16"/>
      <c r="H1270" s="16"/>
      <c r="I1270" s="16"/>
      <c r="J1270" s="16"/>
      <c r="K1270" s="16"/>
      <c r="L1270" s="16"/>
    </row>
    <row r="1271" spans="5:12" x14ac:dyDescent="0.2">
      <c r="E1271" s="16"/>
      <c r="F1271" s="16"/>
      <c r="G1271" s="16"/>
      <c r="H1271" s="16"/>
      <c r="I1271" s="16"/>
      <c r="J1271" s="16"/>
      <c r="K1271" s="16"/>
      <c r="L1271" s="16"/>
    </row>
    <row r="1272" spans="5:12" x14ac:dyDescent="0.2">
      <c r="E1272" s="16"/>
      <c r="F1272" s="16"/>
      <c r="G1272" s="16"/>
      <c r="H1272" s="16"/>
      <c r="I1272" s="16"/>
      <c r="J1272" s="16"/>
      <c r="K1272" s="16"/>
      <c r="L1272" s="16"/>
    </row>
    <row r="1273" spans="5:12" x14ac:dyDescent="0.2">
      <c r="E1273" s="16"/>
      <c r="F1273" s="16"/>
      <c r="G1273" s="16"/>
      <c r="H1273" s="16"/>
      <c r="I1273" s="16"/>
      <c r="J1273" s="16"/>
      <c r="K1273" s="16"/>
      <c r="L1273" s="16"/>
    </row>
    <row r="1274" spans="5:12" x14ac:dyDescent="0.2">
      <c r="E1274" s="16"/>
      <c r="F1274" s="16"/>
      <c r="G1274" s="16"/>
      <c r="H1274" s="16"/>
      <c r="I1274" s="16"/>
      <c r="J1274" s="16"/>
      <c r="K1274" s="16"/>
      <c r="L1274" s="16"/>
    </row>
    <row r="1275" spans="5:12" x14ac:dyDescent="0.2">
      <c r="E1275" s="16"/>
      <c r="F1275" s="16"/>
      <c r="G1275" s="16"/>
      <c r="H1275" s="16"/>
      <c r="I1275" s="16"/>
      <c r="J1275" s="16"/>
      <c r="K1275" s="16"/>
      <c r="L1275" s="16"/>
    </row>
    <row r="1276" spans="5:12" x14ac:dyDescent="0.2">
      <c r="E1276" s="16"/>
      <c r="F1276" s="16"/>
      <c r="G1276" s="16"/>
      <c r="H1276" s="16"/>
      <c r="I1276" s="16"/>
      <c r="J1276" s="16"/>
      <c r="K1276" s="16"/>
      <c r="L1276" s="16"/>
    </row>
    <row r="1277" spans="5:12" x14ac:dyDescent="0.2">
      <c r="E1277" s="16"/>
      <c r="F1277" s="16"/>
      <c r="G1277" s="16"/>
      <c r="H1277" s="16"/>
      <c r="I1277" s="16"/>
      <c r="J1277" s="16"/>
      <c r="K1277" s="16"/>
      <c r="L1277" s="16"/>
    </row>
    <row r="1278" spans="5:12" x14ac:dyDescent="0.2">
      <c r="E1278" s="16"/>
      <c r="F1278" s="16"/>
      <c r="G1278" s="16"/>
      <c r="H1278" s="16"/>
      <c r="I1278" s="16"/>
      <c r="J1278" s="16"/>
      <c r="K1278" s="16"/>
      <c r="L1278" s="16"/>
    </row>
    <row r="1279" spans="5:12" x14ac:dyDescent="0.2">
      <c r="E1279" s="16"/>
      <c r="F1279" s="16"/>
      <c r="G1279" s="16"/>
      <c r="H1279" s="16"/>
      <c r="I1279" s="16"/>
      <c r="J1279" s="16"/>
      <c r="K1279" s="16"/>
      <c r="L1279" s="16"/>
    </row>
    <row r="1280" spans="5:12" x14ac:dyDescent="0.2">
      <c r="E1280" s="16"/>
      <c r="F1280" s="16"/>
      <c r="G1280" s="16"/>
      <c r="H1280" s="16"/>
      <c r="I1280" s="16"/>
      <c r="J1280" s="16"/>
      <c r="K1280" s="16"/>
      <c r="L1280" s="16"/>
    </row>
    <row r="1281" spans="5:12" x14ac:dyDescent="0.2">
      <c r="E1281" s="16"/>
      <c r="F1281" s="16"/>
      <c r="G1281" s="16"/>
      <c r="H1281" s="16"/>
      <c r="I1281" s="16"/>
      <c r="J1281" s="16"/>
      <c r="K1281" s="16"/>
      <c r="L1281" s="16"/>
    </row>
    <row r="1282" spans="5:12" x14ac:dyDescent="0.2">
      <c r="E1282" s="16"/>
      <c r="F1282" s="16"/>
      <c r="G1282" s="16"/>
      <c r="H1282" s="16"/>
      <c r="I1282" s="16"/>
      <c r="J1282" s="16"/>
      <c r="K1282" s="16"/>
      <c r="L1282" s="16"/>
    </row>
    <row r="1283" spans="5:12" x14ac:dyDescent="0.2">
      <c r="E1283" s="16"/>
      <c r="F1283" s="16"/>
      <c r="G1283" s="16"/>
      <c r="H1283" s="16"/>
      <c r="I1283" s="16"/>
      <c r="J1283" s="16"/>
      <c r="K1283" s="16"/>
      <c r="L1283" s="16"/>
    </row>
    <row r="1284" spans="5:12" x14ac:dyDescent="0.2">
      <c r="E1284" s="16"/>
      <c r="F1284" s="16"/>
      <c r="G1284" s="16"/>
      <c r="H1284" s="16"/>
      <c r="I1284" s="16"/>
      <c r="J1284" s="16"/>
      <c r="K1284" s="16"/>
      <c r="L1284" s="16"/>
    </row>
    <row r="1285" spans="5:12" x14ac:dyDescent="0.2">
      <c r="E1285" s="16"/>
      <c r="F1285" s="16"/>
      <c r="G1285" s="16"/>
      <c r="H1285" s="16"/>
      <c r="I1285" s="16"/>
      <c r="J1285" s="16"/>
      <c r="K1285" s="16"/>
      <c r="L1285" s="16"/>
    </row>
    <row r="1286" spans="5:12" x14ac:dyDescent="0.2">
      <c r="E1286" s="16"/>
      <c r="F1286" s="16"/>
      <c r="G1286" s="16"/>
      <c r="H1286" s="16"/>
      <c r="I1286" s="16"/>
      <c r="J1286" s="16"/>
      <c r="K1286" s="16"/>
      <c r="L1286" s="16"/>
    </row>
    <row r="1287" spans="5:12" x14ac:dyDescent="0.2">
      <c r="E1287" s="16"/>
      <c r="F1287" s="16"/>
      <c r="G1287" s="16"/>
      <c r="H1287" s="16"/>
      <c r="I1287" s="16"/>
      <c r="J1287" s="16"/>
      <c r="K1287" s="16"/>
      <c r="L1287" s="16"/>
    </row>
    <row r="1288" spans="5:12" x14ac:dyDescent="0.2">
      <c r="E1288" s="16"/>
      <c r="F1288" s="16"/>
      <c r="G1288" s="16"/>
      <c r="H1288" s="16"/>
      <c r="I1288" s="16"/>
      <c r="J1288" s="16"/>
      <c r="K1288" s="16"/>
      <c r="L1288" s="16"/>
    </row>
    <row r="1289" spans="5:12" x14ac:dyDescent="0.2">
      <c r="E1289" s="16"/>
      <c r="F1289" s="16"/>
      <c r="G1289" s="16"/>
      <c r="H1289" s="16"/>
      <c r="I1289" s="16"/>
      <c r="J1289" s="16"/>
      <c r="K1289" s="16"/>
      <c r="L1289" s="16"/>
    </row>
    <row r="1290" spans="5:12" x14ac:dyDescent="0.2">
      <c r="E1290" s="16"/>
      <c r="F1290" s="16"/>
      <c r="G1290" s="16"/>
      <c r="H1290" s="16"/>
      <c r="I1290" s="16"/>
      <c r="J1290" s="16"/>
      <c r="K1290" s="16"/>
      <c r="L1290" s="16"/>
    </row>
    <row r="1291" spans="5:12" x14ac:dyDescent="0.2">
      <c r="E1291" s="16"/>
      <c r="F1291" s="16"/>
      <c r="G1291" s="16"/>
      <c r="H1291" s="16"/>
      <c r="I1291" s="16"/>
      <c r="J1291" s="16"/>
      <c r="K1291" s="16"/>
      <c r="L1291" s="16"/>
    </row>
    <row r="1292" spans="5:12" x14ac:dyDescent="0.2">
      <c r="E1292" s="16"/>
      <c r="F1292" s="16"/>
      <c r="G1292" s="16"/>
      <c r="H1292" s="16"/>
      <c r="I1292" s="16"/>
      <c r="J1292" s="16"/>
      <c r="K1292" s="16"/>
      <c r="L1292" s="16"/>
    </row>
    <row r="1293" spans="5:12" x14ac:dyDescent="0.2">
      <c r="E1293" s="16"/>
      <c r="F1293" s="16"/>
      <c r="G1293" s="16"/>
      <c r="H1293" s="16"/>
      <c r="I1293" s="16"/>
      <c r="J1293" s="16"/>
      <c r="K1293" s="16"/>
      <c r="L1293" s="16"/>
    </row>
    <row r="1294" spans="5:12" x14ac:dyDescent="0.2">
      <c r="E1294" s="16"/>
      <c r="F1294" s="16"/>
      <c r="G1294" s="16"/>
      <c r="H1294" s="16"/>
      <c r="I1294" s="16"/>
      <c r="J1294" s="16"/>
      <c r="K1294" s="16"/>
      <c r="L1294" s="16"/>
    </row>
    <row r="1295" spans="5:12" x14ac:dyDescent="0.2">
      <c r="E1295" s="16"/>
      <c r="F1295" s="16"/>
      <c r="G1295" s="16"/>
      <c r="H1295" s="16"/>
      <c r="I1295" s="16"/>
      <c r="J1295" s="16"/>
      <c r="K1295" s="16"/>
      <c r="L1295" s="16"/>
    </row>
    <row r="1296" spans="5:12" x14ac:dyDescent="0.2">
      <c r="E1296" s="16"/>
      <c r="F1296" s="16"/>
      <c r="G1296" s="16"/>
      <c r="H1296" s="16"/>
      <c r="I1296" s="16"/>
      <c r="J1296" s="16"/>
      <c r="K1296" s="16"/>
      <c r="L1296" s="16"/>
    </row>
    <row r="1297" spans="5:12" x14ac:dyDescent="0.2">
      <c r="E1297" s="16"/>
      <c r="F1297" s="16"/>
      <c r="G1297" s="16"/>
      <c r="H1297" s="16"/>
      <c r="I1297" s="16"/>
      <c r="J1297" s="16"/>
      <c r="K1297" s="16"/>
      <c r="L1297" s="16"/>
    </row>
    <row r="1298" spans="5:12" x14ac:dyDescent="0.2">
      <c r="E1298" s="16"/>
      <c r="F1298" s="16"/>
      <c r="G1298" s="16"/>
      <c r="H1298" s="16"/>
      <c r="I1298" s="16"/>
      <c r="J1298" s="16"/>
      <c r="K1298" s="16"/>
      <c r="L1298" s="16"/>
    </row>
    <row r="1299" spans="5:12" x14ac:dyDescent="0.2">
      <c r="E1299" s="16"/>
      <c r="F1299" s="16"/>
      <c r="G1299" s="16"/>
      <c r="H1299" s="16"/>
      <c r="I1299" s="16"/>
      <c r="J1299" s="16"/>
      <c r="K1299" s="16"/>
      <c r="L1299" s="16"/>
    </row>
    <row r="1300" spans="5:12" x14ac:dyDescent="0.2">
      <c r="E1300" s="16"/>
      <c r="F1300" s="16"/>
      <c r="G1300" s="16"/>
      <c r="H1300" s="16"/>
      <c r="I1300" s="16"/>
      <c r="J1300" s="16"/>
      <c r="K1300" s="16"/>
      <c r="L1300" s="16"/>
    </row>
    <row r="1301" spans="5:12" x14ac:dyDescent="0.2">
      <c r="E1301" s="16"/>
      <c r="F1301" s="16"/>
      <c r="G1301" s="16"/>
      <c r="H1301" s="16"/>
      <c r="I1301" s="16"/>
      <c r="J1301" s="16"/>
      <c r="K1301" s="16"/>
      <c r="L1301" s="16"/>
    </row>
    <row r="1302" spans="5:12" x14ac:dyDescent="0.2">
      <c r="E1302" s="16"/>
      <c r="F1302" s="16"/>
      <c r="G1302" s="16"/>
      <c r="H1302" s="16"/>
      <c r="I1302" s="16"/>
      <c r="J1302" s="16"/>
      <c r="K1302" s="16"/>
      <c r="L1302" s="16"/>
    </row>
    <row r="1303" spans="5:12" x14ac:dyDescent="0.2">
      <c r="E1303" s="16"/>
      <c r="F1303" s="16"/>
      <c r="G1303" s="16"/>
      <c r="H1303" s="16"/>
      <c r="I1303" s="16"/>
      <c r="J1303" s="16"/>
      <c r="K1303" s="16"/>
      <c r="L1303" s="16"/>
    </row>
    <row r="1304" spans="5:12" x14ac:dyDescent="0.2">
      <c r="E1304" s="16"/>
      <c r="F1304" s="16"/>
      <c r="G1304" s="16"/>
      <c r="H1304" s="16"/>
      <c r="I1304" s="16"/>
      <c r="J1304" s="16"/>
      <c r="K1304" s="16"/>
      <c r="L1304" s="16"/>
    </row>
    <row r="1305" spans="5:12" x14ac:dyDescent="0.2">
      <c r="E1305" s="16"/>
      <c r="F1305" s="16"/>
      <c r="G1305" s="16"/>
      <c r="H1305" s="16"/>
      <c r="I1305" s="16"/>
      <c r="J1305" s="16"/>
      <c r="K1305" s="16"/>
      <c r="L1305" s="16"/>
    </row>
    <row r="1306" spans="5:12" x14ac:dyDescent="0.2">
      <c r="E1306" s="16"/>
      <c r="F1306" s="16"/>
      <c r="G1306" s="16"/>
      <c r="H1306" s="16"/>
      <c r="I1306" s="16"/>
      <c r="J1306" s="16"/>
      <c r="K1306" s="16"/>
      <c r="L1306" s="16"/>
    </row>
    <row r="1307" spans="5:12" x14ac:dyDescent="0.2">
      <c r="E1307" s="16"/>
      <c r="F1307" s="16"/>
      <c r="G1307" s="16"/>
      <c r="H1307" s="16"/>
      <c r="I1307" s="16"/>
      <c r="J1307" s="16"/>
      <c r="K1307" s="16"/>
      <c r="L1307" s="16"/>
    </row>
    <row r="1308" spans="5:12" x14ac:dyDescent="0.2">
      <c r="E1308" s="16"/>
      <c r="F1308" s="16"/>
      <c r="G1308" s="16"/>
      <c r="H1308" s="16"/>
      <c r="I1308" s="16"/>
      <c r="J1308" s="16"/>
      <c r="K1308" s="16"/>
      <c r="L1308" s="16"/>
    </row>
    <row r="1309" spans="5:12" x14ac:dyDescent="0.2">
      <c r="E1309" s="16"/>
      <c r="F1309" s="16"/>
      <c r="G1309" s="16"/>
      <c r="H1309" s="16"/>
      <c r="I1309" s="16"/>
      <c r="J1309" s="16"/>
      <c r="K1309" s="16"/>
      <c r="L1309" s="16"/>
    </row>
    <row r="1310" spans="5:12" x14ac:dyDescent="0.2">
      <c r="E1310" s="16"/>
      <c r="F1310" s="16"/>
      <c r="G1310" s="16"/>
      <c r="H1310" s="16"/>
      <c r="I1310" s="16"/>
      <c r="J1310" s="16"/>
      <c r="K1310" s="16"/>
      <c r="L1310" s="16"/>
    </row>
    <row r="1311" spans="5:12" x14ac:dyDescent="0.2">
      <c r="E1311" s="16"/>
      <c r="F1311" s="16"/>
      <c r="G1311" s="16"/>
      <c r="H1311" s="16"/>
      <c r="I1311" s="16"/>
      <c r="J1311" s="16"/>
      <c r="K1311" s="16"/>
      <c r="L1311" s="16"/>
    </row>
    <row r="1312" spans="5:12" x14ac:dyDescent="0.2">
      <c r="E1312" s="16"/>
      <c r="F1312" s="16"/>
      <c r="G1312" s="16"/>
      <c r="H1312" s="16"/>
      <c r="I1312" s="16"/>
      <c r="J1312" s="16"/>
      <c r="K1312" s="16"/>
      <c r="L1312" s="16"/>
    </row>
    <row r="1313" spans="5:12" x14ac:dyDescent="0.2">
      <c r="E1313" s="16"/>
      <c r="F1313" s="16"/>
      <c r="G1313" s="16"/>
      <c r="H1313" s="16"/>
      <c r="I1313" s="16"/>
      <c r="J1313" s="16"/>
      <c r="K1313" s="16"/>
      <c r="L1313" s="16"/>
    </row>
    <row r="1314" spans="5:12" x14ac:dyDescent="0.2">
      <c r="E1314" s="16"/>
      <c r="F1314" s="16"/>
      <c r="G1314" s="16"/>
      <c r="H1314" s="16"/>
      <c r="I1314" s="16"/>
      <c r="J1314" s="16"/>
      <c r="K1314" s="16"/>
      <c r="L1314" s="16"/>
    </row>
    <row r="1315" spans="5:12" x14ac:dyDescent="0.2">
      <c r="E1315" s="16"/>
      <c r="F1315" s="16"/>
      <c r="G1315" s="16"/>
      <c r="H1315" s="16"/>
      <c r="I1315" s="16"/>
      <c r="J1315" s="16"/>
      <c r="K1315" s="16"/>
      <c r="L1315" s="16"/>
    </row>
    <row r="1316" spans="5:12" x14ac:dyDescent="0.2">
      <c r="E1316" s="16"/>
      <c r="F1316" s="16"/>
      <c r="G1316" s="16"/>
      <c r="H1316" s="16"/>
      <c r="I1316" s="16"/>
      <c r="J1316" s="16"/>
      <c r="K1316" s="16"/>
      <c r="L1316" s="16"/>
    </row>
    <row r="1317" spans="5:12" x14ac:dyDescent="0.2">
      <c r="E1317" s="16"/>
      <c r="F1317" s="16"/>
      <c r="G1317" s="16"/>
      <c r="H1317" s="16"/>
      <c r="I1317" s="16"/>
      <c r="J1317" s="16"/>
      <c r="K1317" s="16"/>
      <c r="L1317" s="16"/>
    </row>
    <row r="1318" spans="5:12" x14ac:dyDescent="0.2">
      <c r="E1318" s="16"/>
      <c r="F1318" s="16"/>
      <c r="G1318" s="16"/>
      <c r="H1318" s="16"/>
      <c r="I1318" s="16"/>
      <c r="J1318" s="16"/>
      <c r="K1318" s="16"/>
      <c r="L1318" s="16"/>
    </row>
    <row r="1319" spans="5:12" x14ac:dyDescent="0.2">
      <c r="E1319" s="16"/>
      <c r="F1319" s="16"/>
      <c r="G1319" s="16"/>
      <c r="H1319" s="16"/>
      <c r="I1319" s="16"/>
      <c r="J1319" s="16"/>
      <c r="K1319" s="16"/>
      <c r="L1319" s="16"/>
    </row>
    <row r="1320" spans="5:12" x14ac:dyDescent="0.2">
      <c r="E1320" s="16"/>
      <c r="F1320" s="16"/>
      <c r="G1320" s="16"/>
      <c r="H1320" s="16"/>
      <c r="I1320" s="16"/>
      <c r="J1320" s="16"/>
      <c r="K1320" s="16"/>
      <c r="L1320" s="16"/>
    </row>
    <row r="1321" spans="5:12" x14ac:dyDescent="0.2">
      <c r="E1321" s="16"/>
      <c r="F1321" s="16"/>
      <c r="G1321" s="16"/>
      <c r="H1321" s="16"/>
      <c r="I1321" s="16"/>
      <c r="J1321" s="16"/>
      <c r="K1321" s="16"/>
      <c r="L1321" s="16"/>
    </row>
    <row r="1322" spans="5:12" x14ac:dyDescent="0.2">
      <c r="E1322" s="16"/>
      <c r="F1322" s="16"/>
      <c r="G1322" s="16"/>
      <c r="H1322" s="16"/>
      <c r="I1322" s="16"/>
      <c r="J1322" s="16"/>
      <c r="K1322" s="16"/>
      <c r="L1322" s="16"/>
    </row>
    <row r="1323" spans="5:12" x14ac:dyDescent="0.2">
      <c r="E1323" s="16"/>
      <c r="F1323" s="16"/>
      <c r="G1323" s="16"/>
      <c r="H1323" s="16"/>
      <c r="I1323" s="16"/>
      <c r="J1323" s="16"/>
      <c r="K1323" s="16"/>
      <c r="L1323" s="16"/>
    </row>
    <row r="1324" spans="5:12" x14ac:dyDescent="0.2">
      <c r="E1324" s="16"/>
      <c r="F1324" s="16"/>
      <c r="G1324" s="16"/>
      <c r="H1324" s="16"/>
      <c r="I1324" s="16"/>
      <c r="J1324" s="16"/>
      <c r="K1324" s="16"/>
      <c r="L1324" s="16"/>
    </row>
    <row r="1325" spans="5:12" x14ac:dyDescent="0.2">
      <c r="E1325" s="16"/>
      <c r="F1325" s="16"/>
      <c r="G1325" s="16"/>
      <c r="H1325" s="16"/>
      <c r="I1325" s="16"/>
      <c r="J1325" s="16"/>
      <c r="K1325" s="16"/>
      <c r="L1325" s="16"/>
    </row>
    <row r="1326" spans="5:12" x14ac:dyDescent="0.2">
      <c r="E1326" s="16"/>
      <c r="F1326" s="16"/>
      <c r="G1326" s="16"/>
      <c r="H1326" s="16"/>
      <c r="I1326" s="16"/>
      <c r="J1326" s="16"/>
      <c r="K1326" s="16"/>
      <c r="L1326" s="16"/>
    </row>
    <row r="1327" spans="5:12" x14ac:dyDescent="0.2">
      <c r="E1327" s="16"/>
      <c r="F1327" s="16"/>
      <c r="G1327" s="16"/>
      <c r="H1327" s="16"/>
      <c r="I1327" s="16"/>
      <c r="J1327" s="16"/>
      <c r="K1327" s="16"/>
      <c r="L1327" s="16"/>
    </row>
    <row r="1328" spans="5:12" x14ac:dyDescent="0.2">
      <c r="E1328" s="16"/>
      <c r="F1328" s="16"/>
      <c r="G1328" s="16"/>
      <c r="H1328" s="16"/>
      <c r="I1328" s="16"/>
      <c r="J1328" s="16"/>
      <c r="K1328" s="16"/>
      <c r="L1328" s="16"/>
    </row>
    <row r="1329" spans="5:12" x14ac:dyDescent="0.2">
      <c r="E1329" s="16"/>
      <c r="F1329" s="16"/>
      <c r="G1329" s="16"/>
      <c r="H1329" s="16"/>
      <c r="I1329" s="16"/>
      <c r="J1329" s="16"/>
      <c r="K1329" s="16"/>
      <c r="L1329" s="16"/>
    </row>
    <row r="1330" spans="5:12" x14ac:dyDescent="0.2">
      <c r="E1330" s="16"/>
      <c r="F1330" s="16"/>
      <c r="G1330" s="16"/>
      <c r="H1330" s="16"/>
      <c r="I1330" s="16"/>
      <c r="J1330" s="16"/>
      <c r="K1330" s="16"/>
      <c r="L1330" s="16"/>
    </row>
    <row r="1331" spans="5:12" x14ac:dyDescent="0.2">
      <c r="E1331" s="16"/>
      <c r="F1331" s="16"/>
      <c r="G1331" s="16"/>
      <c r="H1331" s="16"/>
      <c r="I1331" s="16"/>
      <c r="J1331" s="16"/>
      <c r="K1331" s="16"/>
      <c r="L1331" s="16"/>
    </row>
    <row r="1332" spans="5:12" x14ac:dyDescent="0.2">
      <c r="E1332" s="16"/>
      <c r="F1332" s="16"/>
      <c r="G1332" s="16"/>
      <c r="H1332" s="16"/>
      <c r="I1332" s="16"/>
      <c r="J1332" s="16"/>
      <c r="K1332" s="16"/>
      <c r="L1332" s="16"/>
    </row>
    <row r="1333" spans="5:12" x14ac:dyDescent="0.2">
      <c r="E1333" s="16"/>
      <c r="F1333" s="16"/>
      <c r="G1333" s="16"/>
      <c r="H1333" s="16"/>
      <c r="I1333" s="16"/>
      <c r="J1333" s="16"/>
      <c r="K1333" s="16"/>
      <c r="L1333" s="16"/>
    </row>
    <row r="1334" spans="5:12" x14ac:dyDescent="0.2">
      <c r="E1334" s="16"/>
      <c r="F1334" s="16"/>
      <c r="G1334" s="16"/>
      <c r="H1334" s="16"/>
      <c r="I1334" s="16"/>
      <c r="J1334" s="16"/>
      <c r="K1334" s="16"/>
      <c r="L1334" s="16"/>
    </row>
    <row r="1335" spans="5:12" x14ac:dyDescent="0.2">
      <c r="E1335" s="16"/>
      <c r="F1335" s="16"/>
      <c r="G1335" s="16"/>
      <c r="H1335" s="16"/>
      <c r="I1335" s="16"/>
      <c r="J1335" s="16"/>
      <c r="K1335" s="16"/>
      <c r="L1335" s="16"/>
    </row>
    <row r="1336" spans="5:12" x14ac:dyDescent="0.2">
      <c r="E1336" s="16"/>
      <c r="F1336" s="16"/>
      <c r="G1336" s="16"/>
      <c r="H1336" s="16"/>
      <c r="I1336" s="16"/>
      <c r="J1336" s="16"/>
      <c r="K1336" s="16"/>
      <c r="L1336" s="16"/>
    </row>
    <row r="1337" spans="5:12" x14ac:dyDescent="0.2">
      <c r="E1337" s="16"/>
      <c r="F1337" s="16"/>
      <c r="G1337" s="16"/>
      <c r="H1337" s="16"/>
      <c r="I1337" s="16"/>
      <c r="J1337" s="16"/>
      <c r="K1337" s="16"/>
      <c r="L1337" s="16"/>
    </row>
    <row r="1338" spans="5:12" x14ac:dyDescent="0.2">
      <c r="E1338" s="16"/>
      <c r="F1338" s="16"/>
      <c r="G1338" s="16"/>
      <c r="H1338" s="16"/>
      <c r="I1338" s="16"/>
      <c r="J1338" s="16"/>
      <c r="K1338" s="16"/>
      <c r="L1338" s="16"/>
    </row>
    <row r="1339" spans="5:12" x14ac:dyDescent="0.2">
      <c r="E1339" s="16"/>
      <c r="F1339" s="16"/>
      <c r="G1339" s="16"/>
      <c r="H1339" s="16"/>
      <c r="I1339" s="16"/>
      <c r="J1339" s="16"/>
      <c r="K1339" s="16"/>
      <c r="L1339" s="16"/>
    </row>
    <row r="1340" spans="5:12" x14ac:dyDescent="0.2">
      <c r="E1340" s="16"/>
      <c r="F1340" s="16"/>
      <c r="G1340" s="16"/>
      <c r="H1340" s="16"/>
      <c r="I1340" s="16"/>
      <c r="J1340" s="16"/>
      <c r="K1340" s="16"/>
      <c r="L1340" s="16"/>
    </row>
    <row r="1341" spans="5:12" x14ac:dyDescent="0.2">
      <c r="E1341" s="16"/>
      <c r="F1341" s="16"/>
      <c r="G1341" s="16"/>
      <c r="H1341" s="16"/>
      <c r="I1341" s="16"/>
      <c r="J1341" s="16"/>
      <c r="K1341" s="16"/>
      <c r="L1341" s="16"/>
    </row>
    <row r="1342" spans="5:12" x14ac:dyDescent="0.2">
      <c r="E1342" s="16"/>
      <c r="F1342" s="16"/>
      <c r="G1342" s="16"/>
      <c r="H1342" s="16"/>
      <c r="I1342" s="16"/>
      <c r="J1342" s="16"/>
      <c r="K1342" s="16"/>
      <c r="L1342" s="16"/>
    </row>
    <row r="1343" spans="5:12" x14ac:dyDescent="0.2">
      <c r="E1343" s="16"/>
      <c r="F1343" s="16"/>
      <c r="G1343" s="16"/>
      <c r="H1343" s="16"/>
      <c r="I1343" s="16"/>
      <c r="J1343" s="16"/>
      <c r="K1343" s="16"/>
      <c r="L1343" s="16"/>
    </row>
    <row r="1344" spans="5:12" x14ac:dyDescent="0.2">
      <c r="E1344" s="16"/>
      <c r="F1344" s="16"/>
      <c r="G1344" s="16"/>
      <c r="H1344" s="16"/>
      <c r="I1344" s="16"/>
      <c r="J1344" s="16"/>
      <c r="K1344" s="16"/>
      <c r="L1344" s="16"/>
    </row>
    <row r="1345" spans="5:12" x14ac:dyDescent="0.2">
      <c r="E1345" s="16"/>
      <c r="F1345" s="16"/>
      <c r="G1345" s="16"/>
      <c r="H1345" s="16"/>
      <c r="I1345" s="16"/>
      <c r="J1345" s="16"/>
      <c r="K1345" s="16"/>
      <c r="L1345" s="16"/>
    </row>
    <row r="1346" spans="5:12" x14ac:dyDescent="0.2">
      <c r="E1346" s="16"/>
      <c r="F1346" s="16"/>
      <c r="G1346" s="16"/>
      <c r="H1346" s="16"/>
      <c r="I1346" s="16"/>
      <c r="J1346" s="16"/>
      <c r="K1346" s="16"/>
      <c r="L1346" s="16"/>
    </row>
    <row r="1347" spans="5:12" x14ac:dyDescent="0.2">
      <c r="E1347" s="16"/>
      <c r="F1347" s="16"/>
      <c r="G1347" s="16"/>
      <c r="H1347" s="16"/>
      <c r="I1347" s="16"/>
      <c r="J1347" s="16"/>
      <c r="K1347" s="16"/>
      <c r="L1347" s="16"/>
    </row>
    <row r="1348" spans="5:12" x14ac:dyDescent="0.2">
      <c r="E1348" s="16"/>
      <c r="F1348" s="16"/>
      <c r="G1348" s="16"/>
      <c r="H1348" s="16"/>
      <c r="I1348" s="16"/>
      <c r="J1348" s="16"/>
      <c r="K1348" s="16"/>
      <c r="L1348" s="16"/>
    </row>
    <row r="1349" spans="5:12" x14ac:dyDescent="0.2">
      <c r="E1349" s="16"/>
      <c r="F1349" s="16"/>
      <c r="G1349" s="16"/>
      <c r="H1349" s="16"/>
      <c r="I1349" s="16"/>
      <c r="J1349" s="16"/>
      <c r="K1349" s="16"/>
      <c r="L1349" s="16"/>
    </row>
    <row r="1350" spans="5:12" x14ac:dyDescent="0.2">
      <c r="E1350" s="16"/>
      <c r="F1350" s="16"/>
      <c r="G1350" s="16"/>
      <c r="H1350" s="16"/>
      <c r="I1350" s="16"/>
      <c r="J1350" s="16"/>
      <c r="K1350" s="16"/>
      <c r="L1350" s="16"/>
    </row>
    <row r="1351" spans="5:12" x14ac:dyDescent="0.2">
      <c r="E1351" s="16"/>
      <c r="F1351" s="16"/>
      <c r="G1351" s="16"/>
      <c r="H1351" s="16"/>
      <c r="I1351" s="16"/>
      <c r="J1351" s="16"/>
      <c r="K1351" s="16"/>
      <c r="L1351" s="16"/>
    </row>
    <row r="1352" spans="5:12" x14ac:dyDescent="0.2">
      <c r="E1352" s="16"/>
      <c r="F1352" s="16"/>
      <c r="G1352" s="16"/>
      <c r="H1352" s="16"/>
      <c r="I1352" s="16"/>
      <c r="J1352" s="16"/>
      <c r="K1352" s="16"/>
      <c r="L1352" s="16"/>
    </row>
    <row r="1353" spans="5:12" x14ac:dyDescent="0.2">
      <c r="E1353" s="16"/>
      <c r="F1353" s="16"/>
      <c r="G1353" s="16"/>
      <c r="H1353" s="16"/>
      <c r="I1353" s="16"/>
      <c r="J1353" s="16"/>
      <c r="K1353" s="16"/>
      <c r="L1353" s="16"/>
    </row>
    <row r="1354" spans="5:12" x14ac:dyDescent="0.2">
      <c r="E1354" s="16"/>
      <c r="F1354" s="16"/>
      <c r="G1354" s="16"/>
      <c r="H1354" s="16"/>
      <c r="I1354" s="16"/>
      <c r="J1354" s="16"/>
      <c r="K1354" s="16"/>
      <c r="L1354" s="16"/>
    </row>
    <row r="1355" spans="5:12" x14ac:dyDescent="0.2">
      <c r="E1355" s="16"/>
      <c r="F1355" s="16"/>
      <c r="G1355" s="16"/>
      <c r="H1355" s="16"/>
      <c r="I1355" s="16"/>
      <c r="J1355" s="16"/>
      <c r="K1355" s="16"/>
      <c r="L1355" s="16"/>
    </row>
    <row r="1356" spans="5:12" x14ac:dyDescent="0.2">
      <c r="E1356" s="16"/>
      <c r="F1356" s="16"/>
      <c r="G1356" s="16"/>
      <c r="H1356" s="16"/>
      <c r="I1356" s="16"/>
      <c r="J1356" s="16"/>
      <c r="K1356" s="16"/>
      <c r="L1356" s="16"/>
    </row>
    <row r="1357" spans="5:12" x14ac:dyDescent="0.2">
      <c r="E1357" s="16"/>
      <c r="F1357" s="16"/>
      <c r="G1357" s="16"/>
      <c r="H1357" s="16"/>
      <c r="I1357" s="16"/>
      <c r="J1357" s="16"/>
      <c r="K1357" s="16"/>
      <c r="L1357" s="16"/>
    </row>
    <row r="1358" spans="5:12" x14ac:dyDescent="0.2">
      <c r="E1358" s="16"/>
      <c r="F1358" s="16"/>
      <c r="G1358" s="16"/>
      <c r="H1358" s="16"/>
      <c r="I1358" s="16"/>
      <c r="J1358" s="16"/>
      <c r="K1358" s="16"/>
      <c r="L1358" s="16"/>
    </row>
    <row r="1359" spans="5:12" x14ac:dyDescent="0.2">
      <c r="E1359" s="16"/>
      <c r="F1359" s="16"/>
      <c r="G1359" s="16"/>
      <c r="H1359" s="16"/>
      <c r="I1359" s="16"/>
      <c r="J1359" s="16"/>
      <c r="K1359" s="16"/>
      <c r="L1359" s="16"/>
    </row>
    <row r="1360" spans="5:12" x14ac:dyDescent="0.2">
      <c r="E1360" s="16"/>
      <c r="F1360" s="16"/>
      <c r="G1360" s="16"/>
      <c r="H1360" s="16"/>
      <c r="I1360" s="16"/>
      <c r="J1360" s="16"/>
      <c r="K1360" s="16"/>
      <c r="L1360" s="16"/>
    </row>
    <row r="1361" spans="5:12" x14ac:dyDescent="0.2">
      <c r="E1361" s="16"/>
      <c r="F1361" s="16"/>
      <c r="G1361" s="16"/>
      <c r="H1361" s="16"/>
      <c r="I1361" s="16"/>
      <c r="J1361" s="16"/>
      <c r="K1361" s="16"/>
      <c r="L1361" s="16"/>
    </row>
    <row r="1362" spans="5:12" x14ac:dyDescent="0.2">
      <c r="E1362" s="16"/>
      <c r="F1362" s="16"/>
      <c r="G1362" s="16"/>
      <c r="H1362" s="16"/>
      <c r="I1362" s="16"/>
      <c r="J1362" s="16"/>
      <c r="K1362" s="16"/>
      <c r="L1362" s="16"/>
    </row>
    <row r="1363" spans="5:12" x14ac:dyDescent="0.2">
      <c r="E1363" s="16"/>
      <c r="F1363" s="16"/>
      <c r="G1363" s="16"/>
      <c r="H1363" s="16"/>
      <c r="I1363" s="16"/>
      <c r="J1363" s="16"/>
      <c r="K1363" s="16"/>
      <c r="L1363" s="16"/>
    </row>
    <row r="1364" spans="5:12" x14ac:dyDescent="0.2">
      <c r="E1364" s="16"/>
      <c r="F1364" s="16"/>
      <c r="G1364" s="16"/>
      <c r="H1364" s="16"/>
      <c r="I1364" s="16"/>
      <c r="J1364" s="16"/>
      <c r="K1364" s="16"/>
      <c r="L1364" s="16"/>
    </row>
    <row r="1365" spans="5:12" x14ac:dyDescent="0.2">
      <c r="E1365" s="16"/>
      <c r="F1365" s="16"/>
      <c r="G1365" s="16"/>
      <c r="H1365" s="16"/>
      <c r="I1365" s="16"/>
      <c r="J1365" s="16"/>
      <c r="K1365" s="16"/>
      <c r="L1365" s="16"/>
    </row>
    <row r="1366" spans="5:12" x14ac:dyDescent="0.2">
      <c r="E1366" s="16"/>
      <c r="F1366" s="16"/>
      <c r="G1366" s="16"/>
      <c r="H1366" s="16"/>
      <c r="I1366" s="16"/>
      <c r="J1366" s="16"/>
      <c r="K1366" s="16"/>
      <c r="L1366" s="16"/>
    </row>
    <row r="1367" spans="5:12" x14ac:dyDescent="0.2">
      <c r="E1367" s="16"/>
      <c r="F1367" s="16"/>
      <c r="G1367" s="16"/>
      <c r="H1367" s="16"/>
      <c r="I1367" s="16"/>
      <c r="J1367" s="16"/>
      <c r="K1367" s="16"/>
      <c r="L1367" s="16"/>
    </row>
    <row r="1368" spans="5:12" x14ac:dyDescent="0.2">
      <c r="E1368" s="16"/>
      <c r="F1368" s="16"/>
      <c r="G1368" s="16"/>
      <c r="H1368" s="16"/>
      <c r="I1368" s="16"/>
      <c r="J1368" s="16"/>
      <c r="K1368" s="16"/>
      <c r="L1368" s="16"/>
    </row>
    <row r="1369" spans="5:12" x14ac:dyDescent="0.2">
      <c r="E1369" s="16"/>
      <c r="F1369" s="16"/>
      <c r="G1369" s="16"/>
      <c r="H1369" s="16"/>
      <c r="I1369" s="16"/>
      <c r="J1369" s="16"/>
      <c r="K1369" s="16"/>
      <c r="L1369" s="16"/>
    </row>
    <row r="1370" spans="5:12" x14ac:dyDescent="0.2">
      <c r="E1370" s="16"/>
      <c r="F1370" s="16"/>
      <c r="G1370" s="16"/>
      <c r="H1370" s="16"/>
      <c r="I1370" s="16"/>
      <c r="J1370" s="16"/>
      <c r="K1370" s="16"/>
      <c r="L1370" s="16"/>
    </row>
    <row r="1371" spans="5:12" x14ac:dyDescent="0.2">
      <c r="E1371" s="16"/>
      <c r="F1371" s="16"/>
      <c r="G1371" s="16"/>
      <c r="H1371" s="16"/>
      <c r="I1371" s="16"/>
      <c r="J1371" s="16"/>
      <c r="K1371" s="16"/>
      <c r="L1371" s="16"/>
    </row>
    <row r="1372" spans="5:12" x14ac:dyDescent="0.2">
      <c r="E1372" s="16"/>
      <c r="F1372" s="16"/>
      <c r="G1372" s="16"/>
      <c r="H1372" s="16"/>
      <c r="I1372" s="16"/>
      <c r="J1372" s="16"/>
      <c r="K1372" s="16"/>
      <c r="L1372" s="16"/>
    </row>
    <row r="1373" spans="5:12" x14ac:dyDescent="0.2">
      <c r="E1373" s="16"/>
      <c r="F1373" s="16"/>
      <c r="G1373" s="16"/>
      <c r="H1373" s="16"/>
      <c r="I1373" s="16"/>
      <c r="J1373" s="16"/>
      <c r="K1373" s="16"/>
      <c r="L1373" s="16"/>
    </row>
    <row r="1374" spans="5:12" x14ac:dyDescent="0.2">
      <c r="E1374" s="16"/>
      <c r="F1374" s="16"/>
      <c r="G1374" s="16"/>
      <c r="H1374" s="16"/>
      <c r="I1374" s="16"/>
      <c r="J1374" s="16"/>
      <c r="K1374" s="16"/>
      <c r="L1374" s="16"/>
    </row>
    <row r="1375" spans="5:12" x14ac:dyDescent="0.2">
      <c r="E1375" s="16"/>
      <c r="F1375" s="16"/>
      <c r="G1375" s="16"/>
      <c r="H1375" s="16"/>
      <c r="I1375" s="16"/>
      <c r="J1375" s="16"/>
      <c r="K1375" s="16"/>
      <c r="L1375" s="16"/>
    </row>
    <row r="1376" spans="5:12" x14ac:dyDescent="0.2">
      <c r="E1376" s="16"/>
      <c r="F1376" s="16"/>
      <c r="G1376" s="16"/>
      <c r="H1376" s="16"/>
      <c r="I1376" s="16"/>
      <c r="J1376" s="16"/>
      <c r="K1376" s="16"/>
      <c r="L1376" s="16"/>
    </row>
    <row r="1377" spans="5:12" x14ac:dyDescent="0.2">
      <c r="E1377" s="16"/>
      <c r="F1377" s="16"/>
      <c r="G1377" s="16"/>
      <c r="H1377" s="16"/>
      <c r="I1377" s="16"/>
      <c r="J1377" s="16"/>
      <c r="K1377" s="16"/>
      <c r="L1377" s="16"/>
    </row>
    <row r="1378" spans="5:12" x14ac:dyDescent="0.2">
      <c r="E1378" s="16"/>
      <c r="F1378" s="16"/>
      <c r="G1378" s="16"/>
      <c r="H1378" s="16"/>
      <c r="I1378" s="16"/>
      <c r="J1378" s="16"/>
      <c r="K1378" s="16"/>
      <c r="L1378" s="16"/>
    </row>
    <row r="1379" spans="5:12" x14ac:dyDescent="0.2">
      <c r="E1379" s="16"/>
      <c r="F1379" s="16"/>
      <c r="G1379" s="16"/>
      <c r="H1379" s="16"/>
      <c r="I1379" s="16"/>
      <c r="J1379" s="16"/>
      <c r="K1379" s="16"/>
      <c r="L1379" s="16"/>
    </row>
    <row r="1380" spans="5:12" x14ac:dyDescent="0.2">
      <c r="E1380" s="16"/>
      <c r="F1380" s="16"/>
      <c r="G1380" s="16"/>
      <c r="H1380" s="16"/>
      <c r="I1380" s="16"/>
      <c r="J1380" s="16"/>
      <c r="K1380" s="16"/>
      <c r="L1380" s="16"/>
    </row>
    <row r="1381" spans="5:12" x14ac:dyDescent="0.2">
      <c r="E1381" s="16"/>
      <c r="F1381" s="16"/>
      <c r="G1381" s="16"/>
      <c r="H1381" s="16"/>
      <c r="I1381" s="16"/>
      <c r="J1381" s="16"/>
      <c r="K1381" s="16"/>
      <c r="L1381" s="16"/>
    </row>
    <row r="1382" spans="5:12" x14ac:dyDescent="0.2">
      <c r="E1382" s="16"/>
      <c r="F1382" s="16"/>
      <c r="G1382" s="16"/>
      <c r="H1382" s="16"/>
      <c r="I1382" s="16"/>
      <c r="J1382" s="16"/>
      <c r="K1382" s="16"/>
      <c r="L1382" s="16"/>
    </row>
    <row r="1383" spans="5:12" x14ac:dyDescent="0.2">
      <c r="E1383" s="16"/>
      <c r="F1383" s="16"/>
      <c r="G1383" s="16"/>
      <c r="H1383" s="16"/>
      <c r="I1383" s="16"/>
      <c r="J1383" s="16"/>
      <c r="K1383" s="16"/>
      <c r="L1383" s="16"/>
    </row>
    <row r="1384" spans="5:12" x14ac:dyDescent="0.2">
      <c r="E1384" s="16"/>
      <c r="F1384" s="16"/>
      <c r="G1384" s="16"/>
      <c r="H1384" s="16"/>
      <c r="I1384" s="16"/>
      <c r="J1384" s="16"/>
      <c r="K1384" s="16"/>
      <c r="L1384" s="16"/>
    </row>
    <row r="1385" spans="5:12" x14ac:dyDescent="0.2">
      <c r="E1385" s="16"/>
      <c r="F1385" s="16"/>
      <c r="G1385" s="16"/>
      <c r="H1385" s="16"/>
      <c r="I1385" s="16"/>
      <c r="J1385" s="16"/>
      <c r="K1385" s="16"/>
      <c r="L1385" s="16"/>
    </row>
    <row r="1386" spans="5:12" x14ac:dyDescent="0.2">
      <c r="E1386" s="16"/>
      <c r="F1386" s="16"/>
      <c r="G1386" s="16"/>
      <c r="H1386" s="16"/>
      <c r="I1386" s="16"/>
      <c r="J1386" s="16"/>
      <c r="K1386" s="16"/>
      <c r="L1386" s="16"/>
    </row>
    <row r="1387" spans="5:12" x14ac:dyDescent="0.2">
      <c r="E1387" s="16"/>
      <c r="F1387" s="16"/>
      <c r="G1387" s="16"/>
      <c r="H1387" s="16"/>
      <c r="I1387" s="16"/>
      <c r="J1387" s="16"/>
      <c r="K1387" s="16"/>
      <c r="L1387" s="16"/>
    </row>
    <row r="1388" spans="5:12" x14ac:dyDescent="0.2">
      <c r="E1388" s="16"/>
      <c r="F1388" s="16"/>
      <c r="G1388" s="16"/>
      <c r="H1388" s="16"/>
      <c r="I1388" s="16"/>
      <c r="J1388" s="16"/>
      <c r="K1388" s="16"/>
      <c r="L1388" s="16"/>
    </row>
    <row r="1389" spans="5:12" x14ac:dyDescent="0.2">
      <c r="E1389" s="16"/>
      <c r="F1389" s="16"/>
      <c r="G1389" s="16"/>
      <c r="H1389" s="16"/>
      <c r="I1389" s="16"/>
      <c r="J1389" s="16"/>
      <c r="K1389" s="16"/>
      <c r="L1389" s="16"/>
    </row>
    <row r="1390" spans="5:12" x14ac:dyDescent="0.2">
      <c r="E1390" s="16"/>
      <c r="F1390" s="16"/>
      <c r="G1390" s="16"/>
      <c r="H1390" s="16"/>
      <c r="I1390" s="16"/>
      <c r="J1390" s="16"/>
      <c r="K1390" s="16"/>
      <c r="L1390" s="16"/>
    </row>
    <row r="1391" spans="5:12" x14ac:dyDescent="0.2">
      <c r="E1391" s="16"/>
      <c r="F1391" s="16"/>
      <c r="G1391" s="16"/>
      <c r="H1391" s="16"/>
      <c r="I1391" s="16"/>
      <c r="J1391" s="16"/>
      <c r="K1391" s="16"/>
      <c r="L1391" s="16"/>
    </row>
    <row r="1392" spans="5:12" x14ac:dyDescent="0.2">
      <c r="E1392" s="16"/>
      <c r="F1392" s="16"/>
      <c r="G1392" s="16"/>
      <c r="H1392" s="16"/>
      <c r="I1392" s="16"/>
      <c r="J1392" s="16"/>
      <c r="K1392" s="16"/>
      <c r="L1392" s="16"/>
    </row>
    <row r="1393" spans="5:12" x14ac:dyDescent="0.2">
      <c r="E1393" s="16"/>
      <c r="F1393" s="16"/>
      <c r="G1393" s="16"/>
      <c r="H1393" s="16"/>
      <c r="I1393" s="16"/>
      <c r="J1393" s="16"/>
      <c r="K1393" s="16"/>
      <c r="L1393" s="16"/>
    </row>
    <row r="1394" spans="5:12" x14ac:dyDescent="0.2">
      <c r="E1394" s="16"/>
      <c r="F1394" s="16"/>
      <c r="G1394" s="16"/>
      <c r="H1394" s="16"/>
      <c r="I1394" s="16"/>
      <c r="J1394" s="16"/>
      <c r="K1394" s="16"/>
      <c r="L1394" s="16"/>
    </row>
    <row r="1395" spans="5:12" x14ac:dyDescent="0.2">
      <c r="E1395" s="16"/>
      <c r="F1395" s="16"/>
      <c r="G1395" s="16"/>
      <c r="H1395" s="16"/>
      <c r="I1395" s="16"/>
      <c r="J1395" s="16"/>
      <c r="K1395" s="16"/>
      <c r="L1395" s="16"/>
    </row>
    <row r="1396" spans="5:12" x14ac:dyDescent="0.2">
      <c r="E1396" s="16"/>
      <c r="F1396" s="16"/>
      <c r="G1396" s="16"/>
      <c r="H1396" s="16"/>
      <c r="I1396" s="16"/>
      <c r="J1396" s="16"/>
      <c r="K1396" s="16"/>
      <c r="L1396" s="16"/>
    </row>
    <row r="1397" spans="5:12" x14ac:dyDescent="0.2">
      <c r="E1397" s="16"/>
      <c r="F1397" s="16"/>
      <c r="G1397" s="16"/>
      <c r="H1397" s="16"/>
      <c r="I1397" s="16"/>
      <c r="J1397" s="16"/>
      <c r="K1397" s="16"/>
      <c r="L1397" s="16"/>
    </row>
    <row r="1398" spans="5:12" x14ac:dyDescent="0.2">
      <c r="E1398" s="16"/>
      <c r="F1398" s="16"/>
      <c r="G1398" s="16"/>
      <c r="H1398" s="16"/>
      <c r="I1398" s="16"/>
      <c r="J1398" s="16"/>
      <c r="K1398" s="16"/>
      <c r="L1398" s="16"/>
    </row>
    <row r="1399" spans="5:12" x14ac:dyDescent="0.2">
      <c r="E1399" s="16"/>
      <c r="F1399" s="16"/>
      <c r="G1399" s="16"/>
      <c r="H1399" s="16"/>
      <c r="I1399" s="16"/>
      <c r="J1399" s="16"/>
      <c r="K1399" s="16"/>
      <c r="L1399" s="16"/>
    </row>
    <row r="1400" spans="5:12" x14ac:dyDescent="0.2">
      <c r="E1400" s="16"/>
      <c r="F1400" s="16"/>
      <c r="G1400" s="16"/>
      <c r="H1400" s="16"/>
      <c r="I1400" s="16"/>
      <c r="J1400" s="16"/>
      <c r="K1400" s="16"/>
      <c r="L1400" s="16"/>
    </row>
    <row r="1401" spans="5:12" x14ac:dyDescent="0.2">
      <c r="E1401" s="16"/>
      <c r="F1401" s="16"/>
      <c r="G1401" s="16"/>
      <c r="H1401" s="16"/>
      <c r="I1401" s="16"/>
      <c r="J1401" s="16"/>
      <c r="K1401" s="16"/>
      <c r="L1401" s="16"/>
    </row>
    <row r="1402" spans="5:12" x14ac:dyDescent="0.2">
      <c r="E1402" s="16"/>
      <c r="F1402" s="16"/>
      <c r="G1402" s="16"/>
      <c r="H1402" s="16"/>
      <c r="I1402" s="16"/>
      <c r="J1402" s="16"/>
      <c r="K1402" s="16"/>
      <c r="L1402" s="16"/>
    </row>
    <row r="1403" spans="5:12" x14ac:dyDescent="0.2">
      <c r="E1403" s="16"/>
      <c r="F1403" s="16"/>
      <c r="G1403" s="16"/>
      <c r="H1403" s="16"/>
      <c r="I1403" s="16"/>
      <c r="J1403" s="16"/>
      <c r="K1403" s="16"/>
      <c r="L1403" s="16"/>
    </row>
    <row r="1404" spans="5:12" x14ac:dyDescent="0.2">
      <c r="E1404" s="16"/>
      <c r="F1404" s="16"/>
      <c r="G1404" s="16"/>
      <c r="H1404" s="16"/>
      <c r="I1404" s="16"/>
      <c r="J1404" s="16"/>
      <c r="K1404" s="16"/>
      <c r="L1404" s="16"/>
    </row>
    <row r="1405" spans="5:12" x14ac:dyDescent="0.2">
      <c r="E1405" s="16"/>
      <c r="F1405" s="16"/>
      <c r="G1405" s="16"/>
      <c r="H1405" s="16"/>
      <c r="I1405" s="16"/>
      <c r="J1405" s="16"/>
      <c r="K1405" s="16"/>
      <c r="L1405" s="16"/>
    </row>
    <row r="1406" spans="5:12" x14ac:dyDescent="0.2">
      <c r="E1406" s="16"/>
      <c r="F1406" s="16"/>
      <c r="G1406" s="16"/>
      <c r="H1406" s="16"/>
      <c r="I1406" s="16"/>
      <c r="J1406" s="16"/>
      <c r="K1406" s="16"/>
      <c r="L1406" s="16"/>
    </row>
    <row r="1407" spans="5:12" x14ac:dyDescent="0.2">
      <c r="E1407" s="16"/>
      <c r="F1407" s="16"/>
      <c r="G1407" s="16"/>
      <c r="H1407" s="16"/>
      <c r="I1407" s="16"/>
      <c r="J1407" s="16"/>
      <c r="K1407" s="16"/>
      <c r="L1407" s="16"/>
    </row>
    <row r="1408" spans="5:12" x14ac:dyDescent="0.2">
      <c r="E1408" s="16"/>
      <c r="F1408" s="16"/>
      <c r="G1408" s="16"/>
      <c r="H1408" s="16"/>
      <c r="I1408" s="16"/>
      <c r="J1408" s="16"/>
      <c r="K1408" s="16"/>
      <c r="L1408" s="16"/>
    </row>
    <row r="1409" spans="5:12" x14ac:dyDescent="0.2">
      <c r="E1409" s="16"/>
      <c r="F1409" s="16"/>
      <c r="G1409" s="16"/>
      <c r="H1409" s="16"/>
      <c r="I1409" s="16"/>
      <c r="J1409" s="16"/>
      <c r="K1409" s="16"/>
      <c r="L1409" s="16"/>
    </row>
    <row r="1410" spans="5:12" x14ac:dyDescent="0.2">
      <c r="E1410" s="16"/>
      <c r="F1410" s="16"/>
      <c r="G1410" s="16"/>
      <c r="H1410" s="16"/>
      <c r="I1410" s="16"/>
      <c r="J1410" s="16"/>
      <c r="K1410" s="16"/>
      <c r="L1410" s="16"/>
    </row>
    <row r="1411" spans="5:12" x14ac:dyDescent="0.2">
      <c r="E1411" s="16"/>
      <c r="F1411" s="16"/>
      <c r="G1411" s="16"/>
      <c r="H1411" s="16"/>
      <c r="I1411" s="16"/>
      <c r="J1411" s="16"/>
      <c r="K1411" s="16"/>
      <c r="L1411" s="16"/>
    </row>
    <row r="1412" spans="5:12" x14ac:dyDescent="0.2">
      <c r="E1412" s="16"/>
      <c r="F1412" s="16"/>
      <c r="G1412" s="16"/>
      <c r="H1412" s="16"/>
      <c r="I1412" s="16"/>
      <c r="J1412" s="16"/>
      <c r="K1412" s="16"/>
      <c r="L1412" s="16"/>
    </row>
    <row r="1413" spans="5:12" x14ac:dyDescent="0.2">
      <c r="E1413" s="16"/>
      <c r="F1413" s="16"/>
      <c r="G1413" s="16"/>
      <c r="H1413" s="16"/>
      <c r="I1413" s="16"/>
      <c r="J1413" s="16"/>
      <c r="K1413" s="16"/>
      <c r="L1413" s="16"/>
    </row>
    <row r="1414" spans="5:12" x14ac:dyDescent="0.2">
      <c r="E1414" s="16"/>
      <c r="F1414" s="16"/>
      <c r="G1414" s="16"/>
      <c r="H1414" s="16"/>
      <c r="I1414" s="16"/>
      <c r="J1414" s="16"/>
      <c r="K1414" s="16"/>
      <c r="L1414" s="16"/>
    </row>
    <row r="1415" spans="5:12" x14ac:dyDescent="0.2">
      <c r="E1415" s="16"/>
      <c r="F1415" s="16"/>
      <c r="G1415" s="16"/>
      <c r="H1415" s="16"/>
      <c r="I1415" s="16"/>
      <c r="J1415" s="16"/>
      <c r="K1415" s="16"/>
      <c r="L1415" s="16"/>
    </row>
    <row r="1416" spans="5:12" x14ac:dyDescent="0.2">
      <c r="E1416" s="16"/>
      <c r="F1416" s="16"/>
      <c r="G1416" s="16"/>
      <c r="H1416" s="16"/>
      <c r="I1416" s="16"/>
      <c r="J1416" s="16"/>
      <c r="K1416" s="16"/>
      <c r="L1416" s="16"/>
    </row>
    <row r="1417" spans="5:12" x14ac:dyDescent="0.2">
      <c r="E1417" s="16"/>
      <c r="F1417" s="16"/>
      <c r="G1417" s="16"/>
      <c r="H1417" s="16"/>
      <c r="I1417" s="16"/>
      <c r="J1417" s="16"/>
      <c r="K1417" s="16"/>
      <c r="L1417" s="16"/>
    </row>
    <row r="1418" spans="5:12" x14ac:dyDescent="0.2">
      <c r="E1418" s="16"/>
      <c r="F1418" s="16"/>
      <c r="G1418" s="16"/>
      <c r="H1418" s="16"/>
      <c r="I1418" s="16"/>
      <c r="J1418" s="16"/>
      <c r="K1418" s="16"/>
      <c r="L1418" s="16"/>
    </row>
    <row r="1419" spans="5:12" x14ac:dyDescent="0.2">
      <c r="E1419" s="16"/>
      <c r="F1419" s="16"/>
      <c r="G1419" s="16"/>
      <c r="H1419" s="16"/>
      <c r="I1419" s="16"/>
      <c r="J1419" s="16"/>
      <c r="K1419" s="16"/>
      <c r="L1419" s="16"/>
    </row>
    <row r="1420" spans="5:12" x14ac:dyDescent="0.2">
      <c r="E1420" s="16"/>
      <c r="F1420" s="16"/>
      <c r="G1420" s="16"/>
      <c r="H1420" s="16"/>
      <c r="I1420" s="16"/>
      <c r="J1420" s="16"/>
      <c r="K1420" s="16"/>
      <c r="L1420" s="16"/>
    </row>
    <row r="1421" spans="5:12" x14ac:dyDescent="0.2">
      <c r="E1421" s="16"/>
      <c r="F1421" s="16"/>
      <c r="G1421" s="16"/>
      <c r="H1421" s="16"/>
      <c r="I1421" s="16"/>
      <c r="J1421" s="16"/>
      <c r="K1421" s="16"/>
      <c r="L1421" s="16"/>
    </row>
    <row r="1422" spans="5:12" x14ac:dyDescent="0.2">
      <c r="E1422" s="16"/>
      <c r="F1422" s="16"/>
      <c r="G1422" s="16"/>
      <c r="H1422" s="16"/>
      <c r="I1422" s="16"/>
      <c r="J1422" s="16"/>
      <c r="K1422" s="16"/>
      <c r="L1422" s="16"/>
    </row>
    <row r="1423" spans="5:12" x14ac:dyDescent="0.2">
      <c r="E1423" s="16"/>
      <c r="F1423" s="16"/>
      <c r="G1423" s="16"/>
      <c r="H1423" s="16"/>
      <c r="I1423" s="16"/>
      <c r="J1423" s="16"/>
      <c r="K1423" s="16"/>
      <c r="L1423" s="16"/>
    </row>
    <row r="1424" spans="5:12" x14ac:dyDescent="0.2">
      <c r="E1424" s="16"/>
      <c r="F1424" s="16"/>
      <c r="G1424" s="16"/>
      <c r="H1424" s="16"/>
      <c r="I1424" s="16"/>
      <c r="J1424" s="16"/>
      <c r="K1424" s="16"/>
      <c r="L1424" s="16"/>
    </row>
    <row r="1425" spans="5:12" x14ac:dyDescent="0.2">
      <c r="E1425" s="16"/>
      <c r="F1425" s="16"/>
      <c r="G1425" s="16"/>
      <c r="H1425" s="16"/>
      <c r="I1425" s="16"/>
      <c r="J1425" s="16"/>
      <c r="K1425" s="16"/>
      <c r="L1425" s="16"/>
    </row>
    <row r="1426" spans="5:12" x14ac:dyDescent="0.2">
      <c r="E1426" s="16"/>
      <c r="F1426" s="16"/>
      <c r="G1426" s="16"/>
      <c r="H1426" s="16"/>
      <c r="I1426" s="16"/>
      <c r="J1426" s="16"/>
      <c r="K1426" s="16"/>
      <c r="L1426" s="16"/>
    </row>
    <row r="1427" spans="5:12" x14ac:dyDescent="0.2">
      <c r="E1427" s="16"/>
      <c r="F1427" s="16"/>
      <c r="G1427" s="16"/>
      <c r="H1427" s="16"/>
      <c r="I1427" s="16"/>
      <c r="J1427" s="16"/>
      <c r="K1427" s="16"/>
      <c r="L1427" s="16"/>
    </row>
    <row r="1428" spans="5:12" x14ac:dyDescent="0.2">
      <c r="E1428" s="16"/>
      <c r="F1428" s="16"/>
      <c r="G1428" s="16"/>
      <c r="H1428" s="16"/>
      <c r="I1428" s="16"/>
      <c r="J1428" s="16"/>
      <c r="K1428" s="16"/>
      <c r="L1428" s="16"/>
    </row>
    <row r="1429" spans="5:12" x14ac:dyDescent="0.2">
      <c r="E1429" s="16"/>
      <c r="F1429" s="16"/>
      <c r="G1429" s="16"/>
      <c r="H1429" s="16"/>
      <c r="I1429" s="16"/>
      <c r="J1429" s="16"/>
      <c r="K1429" s="16"/>
      <c r="L1429" s="16"/>
    </row>
    <row r="1430" spans="5:12" x14ac:dyDescent="0.2">
      <c r="E1430" s="16"/>
      <c r="F1430" s="16"/>
      <c r="G1430" s="16"/>
      <c r="H1430" s="16"/>
      <c r="I1430" s="16"/>
      <c r="J1430" s="16"/>
      <c r="K1430" s="16"/>
      <c r="L1430" s="16"/>
    </row>
    <row r="1431" spans="5:12" x14ac:dyDescent="0.2">
      <c r="E1431" s="16"/>
      <c r="F1431" s="16"/>
      <c r="G1431" s="16"/>
      <c r="H1431" s="16"/>
      <c r="I1431" s="16"/>
      <c r="J1431" s="16"/>
      <c r="K1431" s="16"/>
      <c r="L1431" s="16"/>
    </row>
    <row r="1432" spans="5:12" x14ac:dyDescent="0.2">
      <c r="E1432" s="16"/>
      <c r="F1432" s="16"/>
      <c r="G1432" s="16"/>
      <c r="H1432" s="16"/>
      <c r="I1432" s="16"/>
      <c r="J1432" s="16"/>
      <c r="K1432" s="16"/>
      <c r="L1432" s="16"/>
    </row>
    <row r="1433" spans="5:12" x14ac:dyDescent="0.2">
      <c r="E1433" s="16"/>
      <c r="F1433" s="16"/>
      <c r="G1433" s="16"/>
      <c r="H1433" s="16"/>
      <c r="I1433" s="16"/>
      <c r="J1433" s="16"/>
      <c r="K1433" s="16"/>
      <c r="L1433" s="16"/>
    </row>
    <row r="1434" spans="5:12" x14ac:dyDescent="0.2">
      <c r="E1434" s="16"/>
      <c r="F1434" s="16"/>
      <c r="G1434" s="16"/>
      <c r="H1434" s="16"/>
      <c r="I1434" s="16"/>
      <c r="J1434" s="16"/>
      <c r="K1434" s="16"/>
      <c r="L1434" s="16"/>
    </row>
    <row r="1435" spans="5:12" x14ac:dyDescent="0.2">
      <c r="E1435" s="16"/>
      <c r="F1435" s="16"/>
      <c r="G1435" s="16"/>
      <c r="H1435" s="16"/>
      <c r="I1435" s="16"/>
      <c r="J1435" s="16"/>
      <c r="K1435" s="16"/>
      <c r="L1435" s="16"/>
    </row>
    <row r="1436" spans="5:12" x14ac:dyDescent="0.2">
      <c r="E1436" s="16"/>
      <c r="F1436" s="16"/>
      <c r="G1436" s="16"/>
      <c r="H1436" s="16"/>
      <c r="I1436" s="16"/>
      <c r="J1436" s="16"/>
      <c r="K1436" s="16"/>
      <c r="L1436" s="16"/>
    </row>
    <row r="1437" spans="5:12" x14ac:dyDescent="0.2">
      <c r="E1437" s="16"/>
      <c r="F1437" s="16"/>
      <c r="G1437" s="16"/>
      <c r="H1437" s="16"/>
      <c r="I1437" s="16"/>
      <c r="J1437" s="16"/>
      <c r="K1437" s="16"/>
      <c r="L1437" s="16"/>
    </row>
    <row r="1438" spans="5:12" x14ac:dyDescent="0.2">
      <c r="E1438" s="16"/>
      <c r="F1438" s="16"/>
      <c r="G1438" s="16"/>
      <c r="H1438" s="16"/>
      <c r="I1438" s="16"/>
      <c r="J1438" s="16"/>
      <c r="K1438" s="16"/>
      <c r="L1438" s="16"/>
    </row>
    <row r="1439" spans="5:12" x14ac:dyDescent="0.2">
      <c r="E1439" s="16"/>
      <c r="F1439" s="16"/>
      <c r="G1439" s="16"/>
      <c r="H1439" s="16"/>
      <c r="I1439" s="16"/>
      <c r="J1439" s="16"/>
      <c r="K1439" s="16"/>
      <c r="L1439" s="16"/>
    </row>
    <row r="1440" spans="5:12" x14ac:dyDescent="0.2">
      <c r="E1440" s="16"/>
      <c r="F1440" s="16"/>
      <c r="G1440" s="16"/>
      <c r="H1440" s="16"/>
      <c r="I1440" s="16"/>
      <c r="J1440" s="16"/>
      <c r="K1440" s="16"/>
      <c r="L1440" s="16"/>
    </row>
    <row r="1441" spans="5:12" x14ac:dyDescent="0.2">
      <c r="E1441" s="16"/>
      <c r="F1441" s="16"/>
      <c r="G1441" s="16"/>
      <c r="H1441" s="16"/>
      <c r="I1441" s="16"/>
      <c r="J1441" s="16"/>
      <c r="K1441" s="16"/>
      <c r="L1441" s="16"/>
    </row>
    <row r="1442" spans="5:12" x14ac:dyDescent="0.2">
      <c r="E1442" s="16"/>
      <c r="F1442" s="16"/>
      <c r="G1442" s="16"/>
      <c r="H1442" s="16"/>
      <c r="I1442" s="16"/>
      <c r="J1442" s="16"/>
      <c r="K1442" s="16"/>
      <c r="L1442" s="16"/>
    </row>
    <row r="1443" spans="5:12" x14ac:dyDescent="0.2">
      <c r="E1443" s="16"/>
      <c r="F1443" s="16"/>
      <c r="G1443" s="16"/>
      <c r="H1443" s="16"/>
      <c r="I1443" s="16"/>
      <c r="J1443" s="16"/>
      <c r="K1443" s="16"/>
      <c r="L1443" s="16"/>
    </row>
    <row r="1444" spans="5:12" x14ac:dyDescent="0.2">
      <c r="E1444" s="16"/>
      <c r="F1444" s="16"/>
      <c r="G1444" s="16"/>
      <c r="H1444" s="16"/>
      <c r="I1444" s="16"/>
      <c r="J1444" s="16"/>
      <c r="K1444" s="16"/>
      <c r="L1444" s="16"/>
    </row>
    <row r="1445" spans="5:12" x14ac:dyDescent="0.2">
      <c r="E1445" s="16"/>
      <c r="F1445" s="16"/>
      <c r="G1445" s="16"/>
      <c r="H1445" s="16"/>
      <c r="I1445" s="16"/>
      <c r="J1445" s="16"/>
      <c r="K1445" s="16"/>
      <c r="L1445" s="16"/>
    </row>
    <row r="1446" spans="5:12" x14ac:dyDescent="0.2">
      <c r="E1446" s="16"/>
      <c r="F1446" s="16"/>
      <c r="G1446" s="16"/>
      <c r="H1446" s="16"/>
      <c r="I1446" s="16"/>
      <c r="J1446" s="16"/>
      <c r="K1446" s="16"/>
      <c r="L1446" s="16"/>
    </row>
    <row r="1447" spans="5:12" x14ac:dyDescent="0.2">
      <c r="E1447" s="16"/>
      <c r="F1447" s="16"/>
      <c r="G1447" s="16"/>
      <c r="H1447" s="16"/>
      <c r="I1447" s="16"/>
      <c r="J1447" s="16"/>
      <c r="K1447" s="16"/>
      <c r="L1447" s="16"/>
    </row>
    <row r="1448" spans="5:12" x14ac:dyDescent="0.2">
      <c r="E1448" s="16"/>
      <c r="F1448" s="16"/>
      <c r="G1448" s="16"/>
      <c r="H1448" s="16"/>
      <c r="I1448" s="16"/>
      <c r="J1448" s="16"/>
      <c r="K1448" s="16"/>
      <c r="L1448" s="16"/>
    </row>
    <row r="1449" spans="5:12" x14ac:dyDescent="0.2">
      <c r="E1449" s="16"/>
      <c r="F1449" s="16"/>
      <c r="G1449" s="16"/>
      <c r="H1449" s="16"/>
      <c r="I1449" s="16"/>
      <c r="J1449" s="16"/>
      <c r="K1449" s="16"/>
      <c r="L1449" s="16"/>
    </row>
    <row r="1450" spans="5:12" x14ac:dyDescent="0.2">
      <c r="E1450" s="16"/>
      <c r="F1450" s="16"/>
      <c r="G1450" s="16"/>
      <c r="H1450" s="16"/>
      <c r="I1450" s="16"/>
      <c r="J1450" s="16"/>
      <c r="K1450" s="16"/>
      <c r="L1450" s="16"/>
    </row>
    <row r="1451" spans="5:12" x14ac:dyDescent="0.2">
      <c r="E1451" s="16"/>
      <c r="F1451" s="16"/>
      <c r="G1451" s="16"/>
      <c r="H1451" s="16"/>
      <c r="I1451" s="16"/>
      <c r="J1451" s="16"/>
      <c r="K1451" s="16"/>
      <c r="L1451" s="16"/>
    </row>
    <row r="1452" spans="5:12" x14ac:dyDescent="0.2">
      <c r="E1452" s="16"/>
      <c r="F1452" s="16"/>
      <c r="G1452" s="16"/>
      <c r="H1452" s="16"/>
      <c r="I1452" s="16"/>
      <c r="J1452" s="16"/>
      <c r="K1452" s="16"/>
      <c r="L1452" s="16"/>
    </row>
    <row r="1453" spans="5:12" x14ac:dyDescent="0.2">
      <c r="E1453" s="16"/>
      <c r="F1453" s="16"/>
      <c r="G1453" s="16"/>
      <c r="H1453" s="16"/>
      <c r="I1453" s="16"/>
      <c r="J1453" s="16"/>
      <c r="K1453" s="16"/>
      <c r="L1453" s="16"/>
    </row>
    <row r="1454" spans="5:12" x14ac:dyDescent="0.2">
      <c r="E1454" s="16"/>
      <c r="F1454" s="16"/>
      <c r="G1454" s="16"/>
      <c r="H1454" s="16"/>
      <c r="I1454" s="16"/>
      <c r="J1454" s="16"/>
      <c r="K1454" s="16"/>
      <c r="L1454" s="16"/>
    </row>
    <row r="1455" spans="5:12" x14ac:dyDescent="0.2">
      <c r="E1455" s="16"/>
      <c r="F1455" s="16"/>
      <c r="G1455" s="16"/>
      <c r="H1455" s="16"/>
      <c r="I1455" s="16"/>
      <c r="J1455" s="16"/>
      <c r="K1455" s="16"/>
      <c r="L1455" s="16"/>
    </row>
    <row r="1456" spans="5:12" x14ac:dyDescent="0.2">
      <c r="E1456" s="16"/>
      <c r="F1456" s="16"/>
      <c r="G1456" s="16"/>
      <c r="H1456" s="16"/>
      <c r="I1456" s="16"/>
      <c r="J1456" s="16"/>
      <c r="K1456" s="16"/>
      <c r="L1456" s="16"/>
    </row>
    <row r="1457" spans="5:12" x14ac:dyDescent="0.2">
      <c r="E1457" s="16"/>
      <c r="F1457" s="16"/>
      <c r="G1457" s="16"/>
      <c r="H1457" s="16"/>
      <c r="I1457" s="16"/>
      <c r="J1457" s="16"/>
      <c r="K1457" s="16"/>
      <c r="L1457" s="16"/>
    </row>
    <row r="1458" spans="5:12" x14ac:dyDescent="0.2">
      <c r="E1458" s="16"/>
      <c r="F1458" s="16"/>
      <c r="G1458" s="16"/>
      <c r="H1458" s="16"/>
      <c r="I1458" s="16"/>
      <c r="J1458" s="16"/>
      <c r="K1458" s="16"/>
      <c r="L1458" s="16"/>
    </row>
    <row r="1459" spans="5:12" x14ac:dyDescent="0.2">
      <c r="E1459" s="16"/>
      <c r="F1459" s="16"/>
      <c r="G1459" s="16"/>
      <c r="H1459" s="16"/>
      <c r="I1459" s="16"/>
      <c r="J1459" s="16"/>
      <c r="K1459" s="16"/>
      <c r="L1459" s="16"/>
    </row>
    <row r="1460" spans="5:12" x14ac:dyDescent="0.2">
      <c r="E1460" s="16"/>
      <c r="F1460" s="16"/>
      <c r="G1460" s="16"/>
      <c r="H1460" s="16"/>
      <c r="I1460" s="16"/>
      <c r="J1460" s="16"/>
      <c r="K1460" s="16"/>
      <c r="L1460" s="16"/>
    </row>
    <row r="1461" spans="5:12" x14ac:dyDescent="0.2">
      <c r="E1461" s="16"/>
      <c r="F1461" s="16"/>
      <c r="G1461" s="16"/>
      <c r="H1461" s="16"/>
      <c r="I1461" s="16"/>
      <c r="J1461" s="16"/>
      <c r="K1461" s="16"/>
      <c r="L1461" s="16"/>
    </row>
    <row r="1462" spans="5:12" x14ac:dyDescent="0.2">
      <c r="E1462" s="16"/>
      <c r="F1462" s="16"/>
      <c r="G1462" s="16"/>
      <c r="H1462" s="16"/>
      <c r="I1462" s="16"/>
      <c r="J1462" s="16"/>
      <c r="K1462" s="16"/>
      <c r="L1462" s="16"/>
    </row>
    <row r="1463" spans="5:12" x14ac:dyDescent="0.2">
      <c r="E1463" s="16"/>
      <c r="F1463" s="16"/>
      <c r="G1463" s="16"/>
      <c r="H1463" s="16"/>
      <c r="I1463" s="16"/>
      <c r="J1463" s="16"/>
      <c r="K1463" s="16"/>
      <c r="L1463" s="16"/>
    </row>
    <row r="1464" spans="5:12" x14ac:dyDescent="0.2">
      <c r="E1464" s="16"/>
      <c r="F1464" s="16"/>
      <c r="G1464" s="16"/>
      <c r="H1464" s="16"/>
      <c r="I1464" s="16"/>
      <c r="J1464" s="16"/>
      <c r="K1464" s="16"/>
      <c r="L1464" s="16"/>
    </row>
    <row r="1465" spans="5:12" x14ac:dyDescent="0.2">
      <c r="E1465" s="16"/>
      <c r="F1465" s="16"/>
      <c r="G1465" s="16"/>
      <c r="H1465" s="16"/>
      <c r="I1465" s="16"/>
      <c r="J1465" s="16"/>
      <c r="K1465" s="16"/>
      <c r="L1465" s="16"/>
    </row>
    <row r="1466" spans="5:12" x14ac:dyDescent="0.2">
      <c r="E1466" s="16"/>
      <c r="F1466" s="16"/>
      <c r="G1466" s="16"/>
      <c r="H1466" s="16"/>
      <c r="I1466" s="16"/>
      <c r="J1466" s="16"/>
      <c r="K1466" s="16"/>
      <c r="L1466" s="16"/>
    </row>
    <row r="1467" spans="5:12" x14ac:dyDescent="0.2">
      <c r="E1467" s="16"/>
      <c r="F1467" s="16"/>
      <c r="G1467" s="16"/>
      <c r="H1467" s="16"/>
      <c r="I1467" s="16"/>
      <c r="J1467" s="16"/>
      <c r="K1467" s="16"/>
      <c r="L1467" s="16"/>
    </row>
    <row r="1468" spans="5:12" x14ac:dyDescent="0.2">
      <c r="E1468" s="16"/>
      <c r="F1468" s="16"/>
      <c r="G1468" s="16"/>
      <c r="H1468" s="16"/>
      <c r="I1468" s="16"/>
      <c r="J1468" s="16"/>
      <c r="K1468" s="16"/>
      <c r="L1468" s="16"/>
    </row>
    <row r="1469" spans="5:12" x14ac:dyDescent="0.2">
      <c r="E1469" s="16"/>
      <c r="F1469" s="16"/>
      <c r="G1469" s="16"/>
      <c r="H1469" s="16"/>
      <c r="I1469" s="16"/>
      <c r="J1469" s="16"/>
      <c r="K1469" s="16"/>
      <c r="L1469" s="16"/>
    </row>
    <row r="1470" spans="5:12" x14ac:dyDescent="0.2">
      <c r="E1470" s="16"/>
      <c r="F1470" s="16"/>
      <c r="G1470" s="16"/>
      <c r="H1470" s="16"/>
      <c r="I1470" s="16"/>
      <c r="J1470" s="16"/>
      <c r="K1470" s="16"/>
      <c r="L1470" s="16"/>
    </row>
    <row r="1471" spans="5:12" x14ac:dyDescent="0.2">
      <c r="E1471" s="16"/>
      <c r="F1471" s="16"/>
      <c r="G1471" s="16"/>
      <c r="H1471" s="16"/>
      <c r="I1471" s="16"/>
      <c r="J1471" s="16"/>
      <c r="K1471" s="16"/>
      <c r="L1471" s="16"/>
    </row>
    <row r="1472" spans="5:12" x14ac:dyDescent="0.2">
      <c r="E1472" s="16"/>
      <c r="F1472" s="16"/>
      <c r="G1472" s="16"/>
      <c r="H1472" s="16"/>
      <c r="I1472" s="16"/>
      <c r="J1472" s="16"/>
      <c r="K1472" s="16"/>
      <c r="L1472" s="16"/>
    </row>
    <row r="1473" spans="5:12" x14ac:dyDescent="0.2">
      <c r="E1473" s="16"/>
      <c r="F1473" s="16"/>
      <c r="G1473" s="16"/>
      <c r="H1473" s="16"/>
      <c r="I1473" s="16"/>
      <c r="J1473" s="16"/>
      <c r="K1473" s="16"/>
      <c r="L1473" s="16"/>
    </row>
    <row r="1474" spans="5:12" x14ac:dyDescent="0.2">
      <c r="E1474" s="16"/>
      <c r="F1474" s="16"/>
      <c r="G1474" s="16"/>
      <c r="H1474" s="16"/>
      <c r="I1474" s="16"/>
      <c r="J1474" s="16"/>
      <c r="K1474" s="16"/>
      <c r="L1474" s="16"/>
    </row>
    <row r="1475" spans="5:12" x14ac:dyDescent="0.2">
      <c r="E1475" s="16"/>
      <c r="F1475" s="16"/>
      <c r="G1475" s="16"/>
      <c r="H1475" s="16"/>
      <c r="I1475" s="16"/>
      <c r="J1475" s="16"/>
      <c r="K1475" s="16"/>
      <c r="L1475" s="16"/>
    </row>
    <row r="1476" spans="5:12" x14ac:dyDescent="0.2">
      <c r="E1476" s="16"/>
      <c r="F1476" s="16"/>
      <c r="G1476" s="16"/>
      <c r="H1476" s="16"/>
      <c r="I1476" s="16"/>
      <c r="J1476" s="16"/>
      <c r="K1476" s="16"/>
      <c r="L1476" s="16"/>
    </row>
    <row r="1477" spans="5:12" x14ac:dyDescent="0.2">
      <c r="E1477" s="16"/>
      <c r="F1477" s="16"/>
      <c r="G1477" s="16"/>
      <c r="H1477" s="16"/>
      <c r="I1477" s="16"/>
      <c r="J1477" s="16"/>
      <c r="K1477" s="16"/>
      <c r="L1477" s="16"/>
    </row>
    <row r="1478" spans="5:12" x14ac:dyDescent="0.2">
      <c r="E1478" s="16"/>
      <c r="F1478" s="16"/>
      <c r="G1478" s="16"/>
      <c r="H1478" s="16"/>
      <c r="I1478" s="16"/>
      <c r="J1478" s="16"/>
      <c r="K1478" s="16"/>
      <c r="L1478" s="16"/>
    </row>
    <row r="1479" spans="5:12" x14ac:dyDescent="0.2">
      <c r="E1479" s="16"/>
      <c r="F1479" s="16"/>
      <c r="G1479" s="16"/>
      <c r="H1479" s="16"/>
      <c r="I1479" s="16"/>
      <c r="J1479" s="16"/>
      <c r="K1479" s="16"/>
      <c r="L1479" s="16"/>
    </row>
    <row r="1480" spans="5:12" x14ac:dyDescent="0.2">
      <c r="E1480" s="16"/>
      <c r="F1480" s="16"/>
      <c r="G1480" s="16"/>
      <c r="H1480" s="16"/>
      <c r="I1480" s="16"/>
      <c r="J1480" s="16"/>
      <c r="K1480" s="16"/>
      <c r="L1480" s="16"/>
    </row>
    <row r="1481" spans="5:12" x14ac:dyDescent="0.2">
      <c r="E1481" s="16"/>
      <c r="F1481" s="16"/>
      <c r="G1481" s="16"/>
      <c r="H1481" s="16"/>
      <c r="I1481" s="16"/>
      <c r="J1481" s="16"/>
      <c r="K1481" s="16"/>
      <c r="L1481" s="16"/>
    </row>
    <row r="1482" spans="5:12" x14ac:dyDescent="0.2">
      <c r="E1482" s="16"/>
      <c r="F1482" s="16"/>
      <c r="G1482" s="16"/>
      <c r="H1482" s="16"/>
      <c r="I1482" s="16"/>
      <c r="J1482" s="16"/>
      <c r="K1482" s="16"/>
      <c r="L1482" s="16"/>
    </row>
    <row r="1483" spans="5:12" x14ac:dyDescent="0.2">
      <c r="E1483" s="16"/>
      <c r="F1483" s="16"/>
      <c r="G1483" s="16"/>
      <c r="H1483" s="16"/>
      <c r="I1483" s="16"/>
      <c r="J1483" s="16"/>
      <c r="K1483" s="16"/>
      <c r="L1483" s="16"/>
    </row>
    <row r="1484" spans="5:12" x14ac:dyDescent="0.2">
      <c r="E1484" s="16"/>
      <c r="F1484" s="16"/>
      <c r="G1484" s="16"/>
      <c r="H1484" s="16"/>
      <c r="I1484" s="16"/>
      <c r="J1484" s="16"/>
      <c r="K1484" s="16"/>
      <c r="L1484" s="16"/>
    </row>
    <row r="1485" spans="5:12" x14ac:dyDescent="0.2">
      <c r="E1485" s="16"/>
      <c r="F1485" s="16"/>
      <c r="G1485" s="16"/>
      <c r="H1485" s="16"/>
      <c r="I1485" s="16"/>
      <c r="J1485" s="16"/>
      <c r="K1485" s="16"/>
      <c r="L1485" s="16"/>
    </row>
    <row r="1486" spans="5:12" x14ac:dyDescent="0.2">
      <c r="E1486" s="16"/>
      <c r="F1486" s="16"/>
      <c r="G1486" s="16"/>
      <c r="H1486" s="16"/>
      <c r="I1486" s="16"/>
      <c r="J1486" s="16"/>
      <c r="K1486" s="16"/>
      <c r="L1486" s="16"/>
    </row>
    <row r="1487" spans="5:12" x14ac:dyDescent="0.2">
      <c r="E1487" s="16"/>
      <c r="F1487" s="16"/>
      <c r="G1487" s="16"/>
      <c r="H1487" s="16"/>
      <c r="I1487" s="16"/>
      <c r="J1487" s="16"/>
      <c r="K1487" s="16"/>
      <c r="L1487" s="16"/>
    </row>
    <row r="1488" spans="5:12" x14ac:dyDescent="0.2">
      <c r="E1488" s="16"/>
      <c r="F1488" s="16"/>
      <c r="G1488" s="16"/>
      <c r="H1488" s="16"/>
      <c r="I1488" s="16"/>
      <c r="J1488" s="16"/>
      <c r="K1488" s="16"/>
      <c r="L1488" s="16"/>
    </row>
    <row r="1489" spans="5:12" x14ac:dyDescent="0.2">
      <c r="E1489" s="16"/>
      <c r="F1489" s="16"/>
      <c r="G1489" s="16"/>
      <c r="H1489" s="16"/>
      <c r="I1489" s="16"/>
      <c r="J1489" s="16"/>
      <c r="K1489" s="16"/>
      <c r="L1489" s="16"/>
    </row>
    <row r="1490" spans="5:12" x14ac:dyDescent="0.2">
      <c r="E1490" s="16"/>
      <c r="F1490" s="16"/>
      <c r="G1490" s="16"/>
      <c r="H1490" s="16"/>
      <c r="I1490" s="16"/>
      <c r="J1490" s="16"/>
      <c r="K1490" s="16"/>
      <c r="L1490" s="16"/>
    </row>
    <row r="1491" spans="5:12" x14ac:dyDescent="0.2">
      <c r="E1491" s="16"/>
      <c r="F1491" s="16"/>
      <c r="G1491" s="16"/>
      <c r="H1491" s="16"/>
      <c r="I1491" s="16"/>
      <c r="J1491" s="16"/>
      <c r="K1491" s="16"/>
      <c r="L1491" s="16"/>
    </row>
    <row r="1492" spans="5:12" x14ac:dyDescent="0.2">
      <c r="E1492" s="16"/>
      <c r="F1492" s="16"/>
      <c r="G1492" s="16"/>
      <c r="H1492" s="16"/>
      <c r="I1492" s="16"/>
      <c r="J1492" s="16"/>
      <c r="K1492" s="16"/>
      <c r="L1492" s="16"/>
    </row>
    <row r="1493" spans="5:12" x14ac:dyDescent="0.2">
      <c r="E1493" s="16"/>
      <c r="F1493" s="16"/>
      <c r="G1493" s="16"/>
      <c r="H1493" s="16"/>
      <c r="I1493" s="16"/>
      <c r="J1493" s="16"/>
      <c r="K1493" s="16"/>
      <c r="L1493" s="16"/>
    </row>
    <row r="1494" spans="5:12" x14ac:dyDescent="0.2">
      <c r="E1494" s="16"/>
      <c r="F1494" s="16"/>
      <c r="G1494" s="16"/>
      <c r="H1494" s="16"/>
      <c r="I1494" s="16"/>
      <c r="J1494" s="16"/>
      <c r="K1494" s="16"/>
      <c r="L1494" s="16"/>
    </row>
    <row r="1495" spans="5:12" x14ac:dyDescent="0.2">
      <c r="E1495" s="16"/>
      <c r="F1495" s="16"/>
      <c r="G1495" s="16"/>
      <c r="H1495" s="16"/>
      <c r="I1495" s="16"/>
      <c r="J1495" s="16"/>
      <c r="K1495" s="16"/>
      <c r="L1495" s="16"/>
    </row>
    <row r="1496" spans="5:12" x14ac:dyDescent="0.2">
      <c r="E1496" s="16"/>
      <c r="F1496" s="16"/>
      <c r="G1496" s="16"/>
      <c r="H1496" s="16"/>
      <c r="I1496" s="16"/>
      <c r="J1496" s="16"/>
      <c r="K1496" s="16"/>
      <c r="L1496" s="16"/>
    </row>
    <row r="1497" spans="5:12" x14ac:dyDescent="0.2">
      <c r="E1497" s="16"/>
      <c r="F1497" s="16"/>
      <c r="G1497" s="16"/>
      <c r="H1497" s="16"/>
      <c r="I1497" s="16"/>
      <c r="J1497" s="16"/>
      <c r="K1497" s="16"/>
      <c r="L1497" s="16"/>
    </row>
    <row r="1498" spans="5:12" x14ac:dyDescent="0.2">
      <c r="E1498" s="16"/>
      <c r="F1498" s="16"/>
      <c r="G1498" s="16"/>
      <c r="H1498" s="16"/>
      <c r="I1498" s="16"/>
      <c r="J1498" s="16"/>
      <c r="K1498" s="16"/>
      <c r="L1498" s="16"/>
    </row>
    <row r="1499" spans="5:12" x14ac:dyDescent="0.2">
      <c r="E1499" s="16"/>
      <c r="F1499" s="16"/>
      <c r="G1499" s="16"/>
      <c r="H1499" s="16"/>
      <c r="I1499" s="16"/>
      <c r="J1499" s="16"/>
      <c r="K1499" s="16"/>
      <c r="L1499" s="16"/>
    </row>
    <row r="1500" spans="5:12" x14ac:dyDescent="0.2">
      <c r="E1500" s="16"/>
      <c r="F1500" s="16"/>
      <c r="G1500" s="16"/>
      <c r="H1500" s="16"/>
      <c r="I1500" s="16"/>
      <c r="J1500" s="16"/>
      <c r="K1500" s="16"/>
      <c r="L1500" s="16"/>
    </row>
    <row r="1501" spans="5:12" x14ac:dyDescent="0.2">
      <c r="E1501" s="16"/>
      <c r="F1501" s="16"/>
      <c r="G1501" s="16"/>
      <c r="H1501" s="16"/>
      <c r="I1501" s="16"/>
      <c r="J1501" s="16"/>
      <c r="K1501" s="16"/>
      <c r="L1501" s="16"/>
    </row>
    <row r="1502" spans="5:12" x14ac:dyDescent="0.2">
      <c r="E1502" s="16"/>
      <c r="F1502" s="16"/>
      <c r="G1502" s="16"/>
      <c r="H1502" s="16"/>
      <c r="I1502" s="16"/>
      <c r="J1502" s="16"/>
      <c r="K1502" s="16"/>
      <c r="L1502" s="16"/>
    </row>
    <row r="1503" spans="5:12" x14ac:dyDescent="0.2">
      <c r="E1503" s="16"/>
      <c r="F1503" s="16"/>
      <c r="G1503" s="16"/>
      <c r="H1503" s="16"/>
      <c r="I1503" s="16"/>
      <c r="J1503" s="16"/>
      <c r="K1503" s="16"/>
      <c r="L1503" s="16"/>
    </row>
    <row r="1504" spans="5:12" x14ac:dyDescent="0.2">
      <c r="E1504" s="16"/>
      <c r="F1504" s="16"/>
      <c r="G1504" s="16"/>
      <c r="H1504" s="16"/>
      <c r="I1504" s="16"/>
      <c r="J1504" s="16"/>
      <c r="K1504" s="16"/>
      <c r="L1504" s="16"/>
    </row>
    <row r="1505" spans="5:12" x14ac:dyDescent="0.2">
      <c r="E1505" s="16"/>
      <c r="F1505" s="16"/>
      <c r="G1505" s="16"/>
      <c r="H1505" s="16"/>
      <c r="I1505" s="16"/>
      <c r="J1505" s="16"/>
      <c r="K1505" s="16"/>
      <c r="L1505" s="16"/>
    </row>
    <row r="1506" spans="5:12" x14ac:dyDescent="0.2">
      <c r="E1506" s="16"/>
      <c r="F1506" s="16"/>
      <c r="G1506" s="16"/>
      <c r="H1506" s="16"/>
      <c r="I1506" s="16"/>
      <c r="J1506" s="16"/>
      <c r="K1506" s="16"/>
      <c r="L1506" s="16"/>
    </row>
    <row r="1507" spans="5:12" x14ac:dyDescent="0.2">
      <c r="E1507" s="16"/>
      <c r="F1507" s="16"/>
      <c r="G1507" s="16"/>
      <c r="H1507" s="16"/>
      <c r="I1507" s="16"/>
      <c r="J1507" s="16"/>
      <c r="K1507" s="16"/>
      <c r="L1507" s="16"/>
    </row>
    <row r="1508" spans="5:12" x14ac:dyDescent="0.2">
      <c r="E1508" s="16"/>
      <c r="F1508" s="16"/>
      <c r="G1508" s="16"/>
      <c r="H1508" s="16"/>
      <c r="I1508" s="16"/>
      <c r="J1508" s="16"/>
      <c r="K1508" s="16"/>
      <c r="L1508" s="16"/>
    </row>
    <row r="1509" spans="5:12" x14ac:dyDescent="0.2">
      <c r="E1509" s="16"/>
      <c r="F1509" s="16"/>
      <c r="G1509" s="16"/>
      <c r="H1509" s="16"/>
      <c r="I1509" s="16"/>
      <c r="J1509" s="16"/>
      <c r="K1509" s="16"/>
      <c r="L1509" s="16"/>
    </row>
    <row r="1510" spans="5:12" x14ac:dyDescent="0.2">
      <c r="E1510" s="16"/>
      <c r="F1510" s="16"/>
      <c r="G1510" s="16"/>
      <c r="H1510" s="16"/>
      <c r="I1510" s="16"/>
      <c r="J1510" s="16"/>
      <c r="K1510" s="16"/>
      <c r="L1510" s="16"/>
    </row>
    <row r="1511" spans="5:12" x14ac:dyDescent="0.2">
      <c r="E1511" s="16"/>
      <c r="F1511" s="16"/>
      <c r="G1511" s="16"/>
      <c r="H1511" s="16"/>
      <c r="I1511" s="16"/>
      <c r="J1511" s="16"/>
      <c r="K1511" s="16"/>
      <c r="L1511" s="16"/>
    </row>
    <row r="1512" spans="5:12" x14ac:dyDescent="0.2">
      <c r="E1512" s="16"/>
      <c r="F1512" s="16"/>
      <c r="G1512" s="16"/>
      <c r="H1512" s="16"/>
      <c r="I1512" s="16"/>
      <c r="J1512" s="16"/>
      <c r="K1512" s="16"/>
      <c r="L1512" s="16"/>
    </row>
    <row r="1513" spans="5:12" x14ac:dyDescent="0.2">
      <c r="E1513" s="16"/>
      <c r="F1513" s="16"/>
      <c r="G1513" s="16"/>
      <c r="H1513" s="16"/>
      <c r="I1513" s="16"/>
      <c r="J1513" s="16"/>
      <c r="K1513" s="16"/>
      <c r="L1513" s="16"/>
    </row>
    <row r="1514" spans="5:12" x14ac:dyDescent="0.2">
      <c r="E1514" s="16"/>
      <c r="F1514" s="16"/>
      <c r="G1514" s="16"/>
      <c r="H1514" s="16"/>
      <c r="I1514" s="16"/>
      <c r="J1514" s="16"/>
      <c r="K1514" s="16"/>
      <c r="L1514" s="16"/>
    </row>
    <row r="1515" spans="5:12" x14ac:dyDescent="0.2">
      <c r="E1515" s="16"/>
      <c r="F1515" s="16"/>
      <c r="G1515" s="16"/>
      <c r="H1515" s="16"/>
      <c r="I1515" s="16"/>
      <c r="J1515" s="16"/>
      <c r="K1515" s="16"/>
      <c r="L1515" s="16"/>
    </row>
    <row r="1516" spans="5:12" x14ac:dyDescent="0.2">
      <c r="E1516" s="16"/>
      <c r="F1516" s="16"/>
      <c r="G1516" s="16"/>
      <c r="H1516" s="16"/>
      <c r="I1516" s="16"/>
      <c r="J1516" s="16"/>
      <c r="K1516" s="16"/>
      <c r="L1516" s="16"/>
    </row>
    <row r="1517" spans="5:12" x14ac:dyDescent="0.2">
      <c r="E1517" s="16"/>
      <c r="F1517" s="16"/>
      <c r="G1517" s="16"/>
      <c r="H1517" s="16"/>
      <c r="I1517" s="16"/>
      <c r="J1517" s="16"/>
      <c r="K1517" s="16"/>
      <c r="L1517" s="16"/>
    </row>
    <row r="1518" spans="5:12" x14ac:dyDescent="0.2">
      <c r="E1518" s="16"/>
      <c r="F1518" s="16"/>
      <c r="G1518" s="16"/>
      <c r="H1518" s="16"/>
      <c r="I1518" s="16"/>
      <c r="J1518" s="16"/>
      <c r="K1518" s="16"/>
      <c r="L1518" s="16"/>
    </row>
    <row r="1519" spans="5:12" x14ac:dyDescent="0.2">
      <c r="E1519" s="16"/>
      <c r="F1519" s="16"/>
      <c r="G1519" s="16"/>
      <c r="H1519" s="16"/>
      <c r="I1519" s="16"/>
      <c r="J1519" s="16"/>
      <c r="K1519" s="16"/>
      <c r="L1519" s="16"/>
    </row>
    <row r="1520" spans="5:12" x14ac:dyDescent="0.2">
      <c r="E1520" s="16"/>
      <c r="F1520" s="16"/>
      <c r="G1520" s="16"/>
      <c r="H1520" s="16"/>
      <c r="I1520" s="16"/>
      <c r="J1520" s="16"/>
      <c r="K1520" s="16"/>
      <c r="L1520" s="16"/>
    </row>
    <row r="1521" spans="5:12" x14ac:dyDescent="0.2">
      <c r="E1521" s="16"/>
      <c r="F1521" s="16"/>
      <c r="G1521" s="16"/>
      <c r="H1521" s="16"/>
      <c r="I1521" s="16"/>
      <c r="J1521" s="16"/>
      <c r="K1521" s="16"/>
      <c r="L1521" s="16"/>
    </row>
    <row r="1522" spans="5:12" x14ac:dyDescent="0.2">
      <c r="E1522" s="16"/>
      <c r="F1522" s="16"/>
      <c r="G1522" s="16"/>
      <c r="H1522" s="16"/>
      <c r="I1522" s="16"/>
      <c r="J1522" s="16"/>
      <c r="K1522" s="16"/>
      <c r="L1522" s="16"/>
    </row>
    <row r="1523" spans="5:12" x14ac:dyDescent="0.2">
      <c r="E1523" s="16"/>
      <c r="F1523" s="16"/>
      <c r="G1523" s="16"/>
      <c r="H1523" s="16"/>
      <c r="I1523" s="16"/>
      <c r="J1523" s="16"/>
      <c r="K1523" s="16"/>
      <c r="L1523" s="16"/>
    </row>
    <row r="1524" spans="5:12" x14ac:dyDescent="0.2">
      <c r="E1524" s="16"/>
      <c r="F1524" s="16"/>
      <c r="G1524" s="16"/>
      <c r="H1524" s="16"/>
      <c r="I1524" s="16"/>
      <c r="J1524" s="16"/>
      <c r="K1524" s="16"/>
      <c r="L1524" s="16"/>
    </row>
    <row r="1525" spans="5:12" x14ac:dyDescent="0.2">
      <c r="E1525" s="16"/>
      <c r="F1525" s="16"/>
      <c r="G1525" s="16"/>
      <c r="H1525" s="16"/>
      <c r="I1525" s="16"/>
      <c r="J1525" s="16"/>
      <c r="K1525" s="16"/>
      <c r="L1525" s="16"/>
    </row>
    <row r="1526" spans="5:12" x14ac:dyDescent="0.2">
      <c r="E1526" s="16"/>
      <c r="F1526" s="16"/>
      <c r="G1526" s="16"/>
      <c r="H1526" s="16"/>
      <c r="I1526" s="16"/>
      <c r="J1526" s="16"/>
      <c r="K1526" s="16"/>
      <c r="L1526" s="16"/>
    </row>
    <row r="1527" spans="5:12" x14ac:dyDescent="0.2">
      <c r="E1527" s="16"/>
      <c r="F1527" s="16"/>
      <c r="G1527" s="16"/>
      <c r="H1527" s="16"/>
      <c r="I1527" s="16"/>
      <c r="J1527" s="16"/>
      <c r="K1527" s="16"/>
      <c r="L1527" s="16"/>
    </row>
    <row r="1528" spans="5:12" x14ac:dyDescent="0.2">
      <c r="E1528" s="16"/>
      <c r="F1528" s="16"/>
      <c r="G1528" s="16"/>
      <c r="H1528" s="16"/>
      <c r="I1528" s="16"/>
      <c r="J1528" s="16"/>
      <c r="K1528" s="16"/>
      <c r="L1528" s="16"/>
    </row>
    <row r="1529" spans="5:12" x14ac:dyDescent="0.2">
      <c r="E1529" s="16"/>
      <c r="F1529" s="16"/>
      <c r="G1529" s="16"/>
      <c r="H1529" s="16"/>
      <c r="I1529" s="16"/>
      <c r="J1529" s="16"/>
      <c r="K1529" s="16"/>
      <c r="L1529" s="16"/>
    </row>
    <row r="1530" spans="5:12" x14ac:dyDescent="0.2">
      <c r="E1530" s="16"/>
      <c r="F1530" s="16"/>
      <c r="G1530" s="16"/>
      <c r="H1530" s="16"/>
      <c r="I1530" s="16"/>
      <c r="J1530" s="16"/>
      <c r="K1530" s="16"/>
      <c r="L1530" s="16"/>
    </row>
    <row r="1531" spans="5:12" x14ac:dyDescent="0.2">
      <c r="E1531" s="16"/>
      <c r="F1531" s="16"/>
      <c r="G1531" s="16"/>
      <c r="H1531" s="16"/>
      <c r="I1531" s="16"/>
      <c r="J1531" s="16"/>
      <c r="K1531" s="16"/>
      <c r="L1531" s="16"/>
    </row>
    <row r="1532" spans="5:12" x14ac:dyDescent="0.2">
      <c r="E1532" s="16"/>
      <c r="F1532" s="16"/>
      <c r="G1532" s="16"/>
      <c r="H1532" s="16"/>
      <c r="I1532" s="16"/>
      <c r="J1532" s="16"/>
      <c r="K1532" s="16"/>
      <c r="L1532" s="16"/>
    </row>
    <row r="1533" spans="5:12" x14ac:dyDescent="0.2">
      <c r="E1533" s="16"/>
      <c r="F1533" s="16"/>
      <c r="G1533" s="16"/>
      <c r="H1533" s="16"/>
      <c r="I1533" s="16"/>
      <c r="J1533" s="16"/>
      <c r="K1533" s="16"/>
      <c r="L1533" s="16"/>
    </row>
    <row r="1534" spans="5:12" x14ac:dyDescent="0.2">
      <c r="E1534" s="16"/>
      <c r="F1534" s="16"/>
      <c r="G1534" s="16"/>
      <c r="H1534" s="16"/>
      <c r="I1534" s="16"/>
      <c r="J1534" s="16"/>
      <c r="K1534" s="16"/>
      <c r="L1534" s="16"/>
    </row>
    <row r="1535" spans="5:12" x14ac:dyDescent="0.2">
      <c r="E1535" s="16"/>
      <c r="F1535" s="16"/>
      <c r="G1535" s="16"/>
      <c r="H1535" s="16"/>
      <c r="I1535" s="16"/>
      <c r="J1535" s="16"/>
      <c r="K1535" s="16"/>
      <c r="L1535" s="16"/>
    </row>
    <row r="1536" spans="5:12" x14ac:dyDescent="0.2">
      <c r="E1536" s="16"/>
      <c r="F1536" s="16"/>
      <c r="G1536" s="16"/>
      <c r="H1536" s="16"/>
      <c r="I1536" s="16"/>
      <c r="J1536" s="16"/>
      <c r="K1536" s="16"/>
      <c r="L1536" s="16"/>
    </row>
    <row r="1537" spans="5:12" x14ac:dyDescent="0.2">
      <c r="E1537" s="16"/>
      <c r="F1537" s="16"/>
      <c r="G1537" s="16"/>
      <c r="H1537" s="16"/>
      <c r="I1537" s="16"/>
      <c r="J1537" s="16"/>
      <c r="K1537" s="16"/>
      <c r="L1537" s="16"/>
    </row>
    <row r="1538" spans="5:12" x14ac:dyDescent="0.2">
      <c r="E1538" s="16"/>
      <c r="F1538" s="16"/>
      <c r="G1538" s="16"/>
      <c r="H1538" s="16"/>
      <c r="I1538" s="16"/>
      <c r="J1538" s="16"/>
      <c r="K1538" s="16"/>
      <c r="L1538" s="16"/>
    </row>
    <row r="1539" spans="5:12" x14ac:dyDescent="0.2">
      <c r="E1539" s="16"/>
      <c r="F1539" s="16"/>
      <c r="G1539" s="16"/>
      <c r="H1539" s="16"/>
      <c r="I1539" s="16"/>
      <c r="J1539" s="16"/>
      <c r="K1539" s="16"/>
      <c r="L1539" s="16"/>
    </row>
    <row r="1540" spans="5:12" x14ac:dyDescent="0.2">
      <c r="E1540" s="16"/>
      <c r="F1540" s="16"/>
      <c r="G1540" s="16"/>
      <c r="H1540" s="16"/>
      <c r="I1540" s="16"/>
      <c r="J1540" s="16"/>
      <c r="K1540" s="16"/>
      <c r="L1540" s="16"/>
    </row>
    <row r="1541" spans="5:12" x14ac:dyDescent="0.2">
      <c r="E1541" s="16"/>
      <c r="F1541" s="16"/>
      <c r="G1541" s="16"/>
      <c r="H1541" s="16"/>
      <c r="I1541" s="16"/>
      <c r="J1541" s="16"/>
      <c r="K1541" s="16"/>
      <c r="L1541" s="16"/>
    </row>
    <row r="1542" spans="5:12" x14ac:dyDescent="0.2">
      <c r="E1542" s="16"/>
      <c r="F1542" s="16"/>
      <c r="G1542" s="16"/>
      <c r="H1542" s="16"/>
      <c r="I1542" s="16"/>
      <c r="J1542" s="16"/>
      <c r="K1542" s="16"/>
      <c r="L1542" s="16"/>
    </row>
    <row r="1543" spans="5:12" x14ac:dyDescent="0.2">
      <c r="E1543" s="16"/>
      <c r="F1543" s="16"/>
      <c r="G1543" s="16"/>
      <c r="H1543" s="16"/>
      <c r="I1543" s="16"/>
      <c r="J1543" s="16"/>
      <c r="K1543" s="16"/>
      <c r="L1543" s="16"/>
    </row>
    <row r="1544" spans="5:12" x14ac:dyDescent="0.2">
      <c r="E1544" s="16"/>
      <c r="F1544" s="16"/>
      <c r="G1544" s="16"/>
      <c r="H1544" s="16"/>
      <c r="I1544" s="16"/>
      <c r="J1544" s="16"/>
      <c r="K1544" s="16"/>
      <c r="L1544" s="16"/>
    </row>
    <row r="1545" spans="5:12" x14ac:dyDescent="0.2">
      <c r="E1545" s="16"/>
      <c r="F1545" s="16"/>
      <c r="G1545" s="16"/>
      <c r="H1545" s="16"/>
      <c r="I1545" s="16"/>
      <c r="J1545" s="16"/>
      <c r="K1545" s="16"/>
      <c r="L1545" s="16"/>
    </row>
    <row r="1546" spans="5:12" x14ac:dyDescent="0.2">
      <c r="E1546" s="16"/>
      <c r="F1546" s="16"/>
      <c r="G1546" s="16"/>
      <c r="H1546" s="16"/>
      <c r="I1546" s="16"/>
      <c r="J1546" s="16"/>
      <c r="K1546" s="16"/>
      <c r="L1546" s="16"/>
    </row>
    <row r="1547" spans="5:12" x14ac:dyDescent="0.2">
      <c r="E1547" s="16"/>
      <c r="F1547" s="16"/>
      <c r="G1547" s="16"/>
      <c r="H1547" s="16"/>
      <c r="I1547" s="16"/>
      <c r="J1547" s="16"/>
      <c r="K1547" s="16"/>
      <c r="L1547" s="16"/>
    </row>
    <row r="1548" spans="5:12" x14ac:dyDescent="0.2">
      <c r="E1548" s="16"/>
      <c r="F1548" s="16"/>
      <c r="G1548" s="16"/>
      <c r="H1548" s="16"/>
      <c r="I1548" s="16"/>
      <c r="J1548" s="16"/>
      <c r="K1548" s="16"/>
      <c r="L1548" s="16"/>
    </row>
    <row r="1549" spans="5:12" x14ac:dyDescent="0.2">
      <c r="E1549" s="16"/>
      <c r="F1549" s="16"/>
      <c r="G1549" s="16"/>
      <c r="H1549" s="16"/>
      <c r="I1549" s="16"/>
      <c r="J1549" s="16"/>
      <c r="K1549" s="16"/>
      <c r="L1549" s="16"/>
    </row>
    <row r="1550" spans="5:12" x14ac:dyDescent="0.2">
      <c r="E1550" s="16"/>
      <c r="F1550" s="16"/>
      <c r="G1550" s="16"/>
      <c r="H1550" s="16"/>
      <c r="I1550" s="16"/>
      <c r="J1550" s="16"/>
      <c r="K1550" s="16"/>
      <c r="L1550" s="16"/>
    </row>
    <row r="1551" spans="5:12" x14ac:dyDescent="0.2">
      <c r="E1551" s="16"/>
      <c r="F1551" s="16"/>
      <c r="G1551" s="16"/>
      <c r="H1551" s="16"/>
      <c r="I1551" s="16"/>
      <c r="J1551" s="16"/>
      <c r="K1551" s="16"/>
      <c r="L1551" s="16"/>
    </row>
    <row r="1552" spans="5:12" x14ac:dyDescent="0.2">
      <c r="E1552" s="16"/>
      <c r="F1552" s="16"/>
      <c r="G1552" s="16"/>
      <c r="H1552" s="16"/>
      <c r="I1552" s="16"/>
      <c r="J1552" s="16"/>
      <c r="K1552" s="16"/>
      <c r="L1552" s="16"/>
    </row>
    <row r="1553" spans="5:12" x14ac:dyDescent="0.2">
      <c r="E1553" s="16"/>
      <c r="F1553" s="16"/>
      <c r="G1553" s="16"/>
      <c r="H1553" s="16"/>
      <c r="I1553" s="16"/>
      <c r="J1553" s="16"/>
      <c r="K1553" s="16"/>
      <c r="L1553" s="16"/>
    </row>
    <row r="1554" spans="5:12" x14ac:dyDescent="0.2">
      <c r="E1554" s="16"/>
      <c r="F1554" s="16"/>
      <c r="G1554" s="16"/>
      <c r="H1554" s="16"/>
      <c r="I1554" s="16"/>
      <c r="J1554" s="16"/>
      <c r="K1554" s="16"/>
      <c r="L1554" s="16"/>
    </row>
    <row r="1555" spans="5:12" x14ac:dyDescent="0.2">
      <c r="E1555" s="16"/>
      <c r="F1555" s="16"/>
      <c r="G1555" s="16"/>
      <c r="H1555" s="16"/>
      <c r="I1555" s="16"/>
      <c r="J1555" s="16"/>
      <c r="K1555" s="16"/>
      <c r="L1555" s="16"/>
    </row>
    <row r="1556" spans="5:12" x14ac:dyDescent="0.2">
      <c r="E1556" s="16"/>
      <c r="F1556" s="16"/>
      <c r="G1556" s="16"/>
      <c r="H1556" s="16"/>
      <c r="I1556" s="16"/>
      <c r="J1556" s="16"/>
      <c r="K1556" s="16"/>
      <c r="L1556" s="16"/>
    </row>
    <row r="1557" spans="5:12" x14ac:dyDescent="0.2">
      <c r="E1557" s="16"/>
      <c r="F1557" s="16"/>
      <c r="G1557" s="16"/>
      <c r="H1557" s="16"/>
      <c r="I1557" s="16"/>
      <c r="J1557" s="16"/>
      <c r="K1557" s="16"/>
      <c r="L1557" s="16"/>
    </row>
    <row r="1558" spans="5:12" x14ac:dyDescent="0.2">
      <c r="E1558" s="16"/>
      <c r="F1558" s="16"/>
      <c r="G1558" s="16"/>
      <c r="H1558" s="16"/>
      <c r="I1558" s="16"/>
      <c r="J1558" s="16"/>
      <c r="K1558" s="16"/>
      <c r="L1558" s="16"/>
    </row>
    <row r="1559" spans="5:12" x14ac:dyDescent="0.2">
      <c r="E1559" s="16"/>
      <c r="F1559" s="16"/>
      <c r="G1559" s="16"/>
      <c r="H1559" s="16"/>
      <c r="I1559" s="16"/>
      <c r="J1559" s="16"/>
      <c r="K1559" s="16"/>
      <c r="L1559" s="16"/>
    </row>
    <row r="1560" spans="5:12" x14ac:dyDescent="0.2">
      <c r="E1560" s="16"/>
      <c r="F1560" s="16"/>
      <c r="G1560" s="16"/>
      <c r="H1560" s="16"/>
      <c r="I1560" s="16"/>
      <c r="J1560" s="16"/>
      <c r="K1560" s="16"/>
      <c r="L1560" s="16"/>
    </row>
    <row r="1561" spans="5:12" x14ac:dyDescent="0.2">
      <c r="E1561" s="16"/>
      <c r="F1561" s="16"/>
      <c r="G1561" s="16"/>
      <c r="H1561" s="16"/>
      <c r="I1561" s="16"/>
      <c r="J1561" s="16"/>
      <c r="K1561" s="16"/>
      <c r="L1561" s="16"/>
    </row>
    <row r="1562" spans="5:12" x14ac:dyDescent="0.2">
      <c r="E1562" s="16"/>
      <c r="F1562" s="16"/>
      <c r="G1562" s="16"/>
      <c r="H1562" s="16"/>
      <c r="I1562" s="16"/>
      <c r="J1562" s="16"/>
      <c r="K1562" s="16"/>
      <c r="L1562" s="16"/>
    </row>
    <row r="1563" spans="5:12" x14ac:dyDescent="0.2">
      <c r="E1563" s="16"/>
      <c r="F1563" s="16"/>
      <c r="G1563" s="16"/>
      <c r="H1563" s="16"/>
      <c r="I1563" s="16"/>
      <c r="J1563" s="16"/>
      <c r="K1563" s="16"/>
      <c r="L1563" s="16"/>
    </row>
    <row r="1564" spans="5:12" x14ac:dyDescent="0.2">
      <c r="E1564" s="16"/>
      <c r="F1564" s="16"/>
      <c r="G1564" s="16"/>
      <c r="H1564" s="16"/>
      <c r="I1564" s="16"/>
      <c r="J1564" s="16"/>
      <c r="K1564" s="16"/>
      <c r="L1564" s="16"/>
    </row>
    <row r="1565" spans="5:12" x14ac:dyDescent="0.2">
      <c r="E1565" s="16"/>
      <c r="F1565" s="16"/>
      <c r="G1565" s="16"/>
      <c r="H1565" s="16"/>
      <c r="I1565" s="16"/>
      <c r="J1565" s="16"/>
      <c r="K1565" s="16"/>
      <c r="L1565" s="16"/>
    </row>
    <row r="1566" spans="5:12" x14ac:dyDescent="0.2">
      <c r="E1566" s="16"/>
      <c r="F1566" s="16"/>
      <c r="G1566" s="16"/>
      <c r="H1566" s="16"/>
      <c r="I1566" s="16"/>
      <c r="J1566" s="16"/>
      <c r="K1566" s="16"/>
      <c r="L1566" s="16"/>
    </row>
    <row r="1567" spans="5:12" x14ac:dyDescent="0.2">
      <c r="E1567" s="16"/>
      <c r="F1567" s="16"/>
      <c r="G1567" s="16"/>
      <c r="H1567" s="16"/>
      <c r="I1567" s="16"/>
      <c r="J1567" s="16"/>
      <c r="K1567" s="16"/>
      <c r="L1567" s="16"/>
    </row>
    <row r="1568" spans="5:12" x14ac:dyDescent="0.2">
      <c r="E1568" s="16"/>
      <c r="F1568" s="16"/>
      <c r="G1568" s="16"/>
      <c r="H1568" s="16"/>
      <c r="I1568" s="16"/>
      <c r="J1568" s="16"/>
      <c r="K1568" s="16"/>
      <c r="L1568" s="16"/>
    </row>
    <row r="1569" spans="5:12" x14ac:dyDescent="0.2">
      <c r="E1569" s="16"/>
      <c r="F1569" s="16"/>
      <c r="G1569" s="16"/>
      <c r="H1569" s="16"/>
      <c r="I1569" s="16"/>
      <c r="J1569" s="16"/>
      <c r="K1569" s="16"/>
      <c r="L1569" s="16"/>
    </row>
    <row r="1570" spans="5:12" x14ac:dyDescent="0.2">
      <c r="E1570" s="16"/>
      <c r="F1570" s="16"/>
      <c r="G1570" s="16"/>
      <c r="H1570" s="16"/>
      <c r="I1570" s="16"/>
      <c r="J1570" s="16"/>
      <c r="K1570" s="16"/>
      <c r="L1570" s="16"/>
    </row>
    <row r="1571" spans="5:12" x14ac:dyDescent="0.2">
      <c r="E1571" s="16"/>
      <c r="F1571" s="16"/>
      <c r="G1571" s="16"/>
      <c r="H1571" s="16"/>
      <c r="I1571" s="16"/>
      <c r="J1571" s="16"/>
      <c r="K1571" s="16"/>
      <c r="L1571" s="16"/>
    </row>
    <row r="1572" spans="5:12" x14ac:dyDescent="0.2">
      <c r="E1572" s="16"/>
      <c r="F1572" s="16"/>
      <c r="G1572" s="16"/>
      <c r="H1572" s="16"/>
      <c r="I1572" s="16"/>
      <c r="J1572" s="16"/>
      <c r="K1572" s="16"/>
      <c r="L1572" s="16"/>
    </row>
    <row r="1573" spans="5:12" x14ac:dyDescent="0.2">
      <c r="E1573" s="16"/>
      <c r="F1573" s="16"/>
      <c r="G1573" s="16"/>
      <c r="H1573" s="16"/>
      <c r="I1573" s="16"/>
      <c r="J1573" s="16"/>
      <c r="K1573" s="16"/>
      <c r="L1573" s="16"/>
    </row>
    <row r="1574" spans="5:12" x14ac:dyDescent="0.2">
      <c r="E1574" s="16"/>
      <c r="F1574" s="16"/>
      <c r="G1574" s="16"/>
      <c r="H1574" s="16"/>
      <c r="I1574" s="16"/>
      <c r="J1574" s="16"/>
      <c r="K1574" s="16"/>
      <c r="L1574" s="16"/>
    </row>
    <row r="1575" spans="5:12" x14ac:dyDescent="0.2">
      <c r="E1575" s="16"/>
      <c r="F1575" s="16"/>
      <c r="G1575" s="16"/>
      <c r="H1575" s="16"/>
      <c r="I1575" s="16"/>
      <c r="J1575" s="16"/>
      <c r="K1575" s="16"/>
      <c r="L1575" s="16"/>
    </row>
    <row r="1576" spans="5:12" x14ac:dyDescent="0.2">
      <c r="E1576" s="16"/>
      <c r="F1576" s="16"/>
      <c r="G1576" s="16"/>
      <c r="H1576" s="16"/>
      <c r="I1576" s="16"/>
      <c r="J1576" s="16"/>
      <c r="K1576" s="16"/>
      <c r="L1576" s="16"/>
    </row>
    <row r="1577" spans="5:12" x14ac:dyDescent="0.2">
      <c r="E1577" s="16"/>
      <c r="F1577" s="16"/>
      <c r="G1577" s="16"/>
      <c r="H1577" s="16"/>
      <c r="I1577" s="16"/>
      <c r="J1577" s="16"/>
      <c r="K1577" s="16"/>
      <c r="L1577" s="16"/>
    </row>
    <row r="1578" spans="5:12" x14ac:dyDescent="0.2">
      <c r="E1578" s="16"/>
      <c r="F1578" s="16"/>
      <c r="G1578" s="16"/>
      <c r="H1578" s="16"/>
      <c r="I1578" s="16"/>
      <c r="J1578" s="16"/>
      <c r="K1578" s="16"/>
      <c r="L1578" s="16"/>
    </row>
    <row r="1579" spans="5:12" x14ac:dyDescent="0.2">
      <c r="E1579" s="16"/>
      <c r="F1579" s="16"/>
      <c r="G1579" s="16"/>
      <c r="H1579" s="16"/>
      <c r="I1579" s="16"/>
      <c r="J1579" s="16"/>
      <c r="K1579" s="16"/>
      <c r="L1579" s="16"/>
    </row>
    <row r="1580" spans="5:12" x14ac:dyDescent="0.2">
      <c r="E1580" s="16"/>
      <c r="F1580" s="16"/>
      <c r="G1580" s="16"/>
      <c r="H1580" s="16"/>
      <c r="I1580" s="16"/>
      <c r="J1580" s="16"/>
      <c r="K1580" s="16"/>
      <c r="L1580" s="16"/>
    </row>
    <row r="1581" spans="5:12" x14ac:dyDescent="0.2">
      <c r="E1581" s="16"/>
      <c r="F1581" s="16"/>
      <c r="G1581" s="16"/>
      <c r="H1581" s="16"/>
      <c r="I1581" s="16"/>
      <c r="J1581" s="16"/>
      <c r="K1581" s="16"/>
      <c r="L1581" s="16"/>
    </row>
    <row r="1582" spans="5:12" x14ac:dyDescent="0.2">
      <c r="E1582" s="16"/>
      <c r="F1582" s="16"/>
      <c r="G1582" s="16"/>
      <c r="H1582" s="16"/>
      <c r="I1582" s="16"/>
      <c r="J1582" s="16"/>
      <c r="K1582" s="16"/>
      <c r="L1582" s="16"/>
    </row>
    <row r="1583" spans="5:12" x14ac:dyDescent="0.2">
      <c r="E1583" s="16"/>
      <c r="F1583" s="16"/>
      <c r="G1583" s="16"/>
      <c r="H1583" s="16"/>
      <c r="I1583" s="16"/>
      <c r="J1583" s="16"/>
      <c r="K1583" s="16"/>
      <c r="L1583" s="16"/>
    </row>
    <row r="1584" spans="5:12" x14ac:dyDescent="0.2">
      <c r="E1584" s="16"/>
      <c r="F1584" s="16"/>
      <c r="G1584" s="16"/>
      <c r="H1584" s="16"/>
      <c r="I1584" s="16"/>
      <c r="J1584" s="16"/>
      <c r="K1584" s="16"/>
      <c r="L1584" s="16"/>
    </row>
    <row r="1585" spans="5:12" x14ac:dyDescent="0.2">
      <c r="E1585" s="16"/>
      <c r="F1585" s="16"/>
      <c r="G1585" s="16"/>
      <c r="H1585" s="16"/>
      <c r="I1585" s="16"/>
      <c r="J1585" s="16"/>
      <c r="K1585" s="16"/>
      <c r="L1585" s="16"/>
    </row>
    <row r="1586" spans="5:12" x14ac:dyDescent="0.2">
      <c r="E1586" s="16"/>
      <c r="F1586" s="16"/>
      <c r="G1586" s="16"/>
      <c r="H1586" s="16"/>
      <c r="I1586" s="16"/>
      <c r="J1586" s="16"/>
      <c r="K1586" s="16"/>
      <c r="L1586" s="16"/>
    </row>
    <row r="1587" spans="5:12" x14ac:dyDescent="0.2">
      <c r="E1587" s="16"/>
      <c r="F1587" s="16"/>
      <c r="G1587" s="16"/>
      <c r="H1587" s="16"/>
      <c r="I1587" s="16"/>
      <c r="J1587" s="16"/>
      <c r="K1587" s="16"/>
      <c r="L1587" s="16"/>
    </row>
    <row r="1588" spans="5:12" x14ac:dyDescent="0.2">
      <c r="E1588" s="16"/>
      <c r="F1588" s="16"/>
      <c r="G1588" s="16"/>
      <c r="H1588" s="16"/>
      <c r="I1588" s="16"/>
      <c r="J1588" s="16"/>
      <c r="K1588" s="16"/>
      <c r="L1588" s="16"/>
    </row>
    <row r="1589" spans="5:12" x14ac:dyDescent="0.2">
      <c r="E1589" s="16"/>
      <c r="F1589" s="16"/>
      <c r="G1589" s="16"/>
      <c r="H1589" s="16"/>
      <c r="I1589" s="16"/>
      <c r="J1589" s="16"/>
      <c r="K1589" s="16"/>
      <c r="L1589" s="16"/>
    </row>
    <row r="1590" spans="5:12" x14ac:dyDescent="0.2">
      <c r="E1590" s="16"/>
      <c r="F1590" s="16"/>
      <c r="G1590" s="16"/>
      <c r="H1590" s="16"/>
      <c r="I1590" s="16"/>
      <c r="J1590" s="16"/>
      <c r="K1590" s="16"/>
      <c r="L1590" s="16"/>
    </row>
    <row r="1591" spans="5:12" x14ac:dyDescent="0.2">
      <c r="E1591" s="16"/>
      <c r="F1591" s="16"/>
      <c r="G1591" s="16"/>
      <c r="H1591" s="16"/>
      <c r="I1591" s="16"/>
      <c r="J1591" s="16"/>
      <c r="K1591" s="16"/>
      <c r="L1591" s="16"/>
    </row>
    <row r="1592" spans="5:12" x14ac:dyDescent="0.2">
      <c r="E1592" s="16"/>
      <c r="F1592" s="16"/>
      <c r="G1592" s="16"/>
      <c r="H1592" s="16"/>
      <c r="I1592" s="16"/>
      <c r="J1592" s="16"/>
      <c r="K1592" s="16"/>
      <c r="L1592" s="16"/>
    </row>
    <row r="1593" spans="5:12" x14ac:dyDescent="0.2">
      <c r="E1593" s="16"/>
      <c r="F1593" s="16"/>
      <c r="G1593" s="16"/>
      <c r="H1593" s="16"/>
      <c r="I1593" s="16"/>
      <c r="J1593" s="16"/>
      <c r="K1593" s="16"/>
      <c r="L1593" s="16"/>
    </row>
    <row r="1594" spans="5:12" x14ac:dyDescent="0.2">
      <c r="E1594" s="16"/>
      <c r="F1594" s="16"/>
      <c r="G1594" s="16"/>
      <c r="H1594" s="16"/>
      <c r="I1594" s="16"/>
      <c r="J1594" s="16"/>
      <c r="K1594" s="16"/>
      <c r="L1594" s="16"/>
    </row>
    <row r="1595" spans="5:12" x14ac:dyDescent="0.2">
      <c r="E1595" s="16"/>
      <c r="F1595" s="16"/>
      <c r="G1595" s="16"/>
      <c r="H1595" s="16"/>
      <c r="I1595" s="16"/>
      <c r="J1595" s="16"/>
      <c r="K1595" s="16"/>
      <c r="L1595" s="16"/>
    </row>
    <row r="1596" spans="5:12" x14ac:dyDescent="0.2">
      <c r="E1596" s="16"/>
      <c r="F1596" s="16"/>
      <c r="G1596" s="16"/>
      <c r="H1596" s="16"/>
      <c r="I1596" s="16"/>
      <c r="J1596" s="16"/>
      <c r="K1596" s="16"/>
      <c r="L1596" s="16"/>
    </row>
    <row r="1597" spans="5:12" x14ac:dyDescent="0.2">
      <c r="E1597" s="16"/>
      <c r="F1597" s="16"/>
      <c r="G1597" s="16"/>
      <c r="H1597" s="16"/>
      <c r="I1597" s="16"/>
      <c r="J1597" s="16"/>
      <c r="K1597" s="16"/>
      <c r="L1597" s="16"/>
    </row>
    <row r="1598" spans="5:12" x14ac:dyDescent="0.2">
      <c r="E1598" s="16"/>
      <c r="F1598" s="16"/>
      <c r="G1598" s="16"/>
      <c r="H1598" s="16"/>
      <c r="I1598" s="16"/>
      <c r="J1598" s="16"/>
      <c r="K1598" s="16"/>
      <c r="L1598" s="16"/>
    </row>
    <row r="1599" spans="5:12" x14ac:dyDescent="0.2">
      <c r="E1599" s="16"/>
      <c r="F1599" s="16"/>
      <c r="G1599" s="16"/>
      <c r="H1599" s="16"/>
      <c r="I1599" s="16"/>
      <c r="J1599" s="16"/>
      <c r="K1599" s="16"/>
      <c r="L1599" s="16"/>
    </row>
    <row r="1600" spans="5:12" x14ac:dyDescent="0.2">
      <c r="E1600" s="16"/>
      <c r="F1600" s="16"/>
      <c r="G1600" s="16"/>
      <c r="H1600" s="16"/>
      <c r="I1600" s="16"/>
      <c r="J1600" s="16"/>
      <c r="K1600" s="16"/>
      <c r="L1600" s="16"/>
    </row>
    <row r="1601" spans="5:12" x14ac:dyDescent="0.2">
      <c r="E1601" s="16"/>
      <c r="F1601" s="16"/>
      <c r="G1601" s="16"/>
      <c r="H1601" s="16"/>
      <c r="I1601" s="16"/>
      <c r="J1601" s="16"/>
      <c r="K1601" s="16"/>
      <c r="L1601" s="16"/>
    </row>
    <row r="1602" spans="5:12" x14ac:dyDescent="0.2">
      <c r="E1602" s="16"/>
      <c r="F1602" s="16"/>
      <c r="G1602" s="16"/>
      <c r="H1602" s="16"/>
      <c r="I1602" s="16"/>
      <c r="J1602" s="16"/>
      <c r="K1602" s="16"/>
      <c r="L1602" s="16"/>
    </row>
    <row r="1603" spans="5:12" x14ac:dyDescent="0.2">
      <c r="E1603" s="16"/>
      <c r="F1603" s="16"/>
      <c r="G1603" s="16"/>
      <c r="H1603" s="16"/>
      <c r="I1603" s="16"/>
      <c r="J1603" s="16"/>
      <c r="K1603" s="16"/>
      <c r="L1603" s="16"/>
    </row>
    <row r="1604" spans="5:12" x14ac:dyDescent="0.2">
      <c r="E1604" s="16"/>
      <c r="F1604" s="16"/>
      <c r="G1604" s="16"/>
      <c r="H1604" s="16"/>
      <c r="I1604" s="16"/>
      <c r="J1604" s="16"/>
      <c r="K1604" s="16"/>
      <c r="L1604" s="16"/>
    </row>
    <row r="1605" spans="5:12" x14ac:dyDescent="0.2">
      <c r="E1605" s="16"/>
      <c r="F1605" s="16"/>
      <c r="G1605" s="16"/>
      <c r="H1605" s="16"/>
      <c r="I1605" s="16"/>
      <c r="J1605" s="16"/>
      <c r="K1605" s="16"/>
      <c r="L1605" s="16"/>
    </row>
    <row r="1606" spans="5:12" x14ac:dyDescent="0.2">
      <c r="E1606" s="16"/>
      <c r="F1606" s="16"/>
      <c r="G1606" s="16"/>
      <c r="H1606" s="16"/>
      <c r="I1606" s="16"/>
      <c r="J1606" s="16"/>
      <c r="K1606" s="16"/>
      <c r="L1606" s="16"/>
    </row>
    <row r="1607" spans="5:12" x14ac:dyDescent="0.2">
      <c r="E1607" s="16"/>
      <c r="F1607" s="16"/>
      <c r="G1607" s="16"/>
      <c r="H1607" s="16"/>
      <c r="I1607" s="16"/>
      <c r="J1607" s="16"/>
      <c r="K1607" s="16"/>
      <c r="L1607" s="16"/>
    </row>
    <row r="1608" spans="5:12" x14ac:dyDescent="0.2">
      <c r="E1608" s="16"/>
      <c r="F1608" s="16"/>
      <c r="G1608" s="16"/>
      <c r="H1608" s="16"/>
      <c r="I1608" s="16"/>
      <c r="J1608" s="16"/>
      <c r="K1608" s="16"/>
      <c r="L1608" s="16"/>
    </row>
    <row r="1609" spans="5:12" x14ac:dyDescent="0.2">
      <c r="E1609" s="16"/>
      <c r="F1609" s="16"/>
      <c r="G1609" s="16"/>
      <c r="H1609" s="16"/>
      <c r="I1609" s="16"/>
      <c r="J1609" s="16"/>
      <c r="K1609" s="16"/>
      <c r="L1609" s="16"/>
    </row>
    <row r="1610" spans="5:12" x14ac:dyDescent="0.2">
      <c r="E1610" s="16"/>
      <c r="F1610" s="16"/>
      <c r="G1610" s="16"/>
      <c r="H1610" s="16"/>
      <c r="I1610" s="16"/>
      <c r="J1610" s="16"/>
      <c r="K1610" s="16"/>
      <c r="L1610" s="16"/>
    </row>
    <row r="1611" spans="5:12" x14ac:dyDescent="0.2">
      <c r="E1611" s="16"/>
      <c r="F1611" s="16"/>
      <c r="G1611" s="16"/>
      <c r="H1611" s="16"/>
      <c r="I1611" s="16"/>
      <c r="J1611" s="16"/>
      <c r="K1611" s="16"/>
      <c r="L1611" s="16"/>
    </row>
    <row r="1612" spans="5:12" x14ac:dyDescent="0.2">
      <c r="E1612" s="16"/>
      <c r="F1612" s="16"/>
      <c r="G1612" s="16"/>
      <c r="H1612" s="16"/>
      <c r="I1612" s="16"/>
      <c r="J1612" s="16"/>
      <c r="K1612" s="16"/>
      <c r="L1612" s="16"/>
    </row>
    <row r="1613" spans="5:12" x14ac:dyDescent="0.2">
      <c r="E1613" s="16"/>
      <c r="F1613" s="16"/>
      <c r="G1613" s="16"/>
      <c r="H1613" s="16"/>
      <c r="I1613" s="16"/>
      <c r="J1613" s="16"/>
      <c r="K1613" s="16"/>
      <c r="L1613" s="16"/>
    </row>
    <row r="1614" spans="5:12" x14ac:dyDescent="0.2">
      <c r="E1614" s="16"/>
      <c r="F1614" s="16"/>
      <c r="G1614" s="16"/>
      <c r="H1614" s="16"/>
      <c r="I1614" s="16"/>
      <c r="J1614" s="16"/>
      <c r="K1614" s="16"/>
      <c r="L1614" s="16"/>
    </row>
    <row r="1615" spans="5:12" x14ac:dyDescent="0.2">
      <c r="E1615" s="16"/>
      <c r="F1615" s="16"/>
      <c r="G1615" s="16"/>
      <c r="H1615" s="16"/>
      <c r="I1615" s="16"/>
      <c r="J1615" s="16"/>
      <c r="K1615" s="16"/>
      <c r="L1615" s="16"/>
    </row>
    <row r="1616" spans="5:12" x14ac:dyDescent="0.2">
      <c r="E1616" s="16"/>
      <c r="F1616" s="16"/>
      <c r="G1616" s="16"/>
      <c r="H1616" s="16"/>
      <c r="I1616" s="16"/>
      <c r="J1616" s="16"/>
      <c r="K1616" s="16"/>
      <c r="L1616" s="16"/>
    </row>
    <row r="1617" spans="5:12" x14ac:dyDescent="0.2">
      <c r="E1617" s="16"/>
      <c r="F1617" s="16"/>
      <c r="G1617" s="16"/>
      <c r="H1617" s="16"/>
      <c r="I1617" s="16"/>
      <c r="J1617" s="16"/>
      <c r="K1617" s="16"/>
      <c r="L1617" s="16"/>
    </row>
    <row r="1618" spans="5:12" x14ac:dyDescent="0.2">
      <c r="E1618" s="16"/>
      <c r="F1618" s="16"/>
      <c r="G1618" s="16"/>
      <c r="H1618" s="16"/>
      <c r="I1618" s="16"/>
      <c r="J1618" s="16"/>
      <c r="K1618" s="16"/>
      <c r="L1618" s="16"/>
    </row>
    <row r="1619" spans="5:12" x14ac:dyDescent="0.2">
      <c r="E1619" s="16"/>
      <c r="F1619" s="16"/>
      <c r="G1619" s="16"/>
      <c r="H1619" s="16"/>
      <c r="I1619" s="16"/>
      <c r="J1619" s="16"/>
      <c r="K1619" s="16"/>
      <c r="L1619" s="16"/>
    </row>
    <row r="1620" spans="5:12" x14ac:dyDescent="0.2">
      <c r="E1620" s="16"/>
      <c r="F1620" s="16"/>
      <c r="G1620" s="16"/>
      <c r="H1620" s="16"/>
      <c r="I1620" s="16"/>
      <c r="J1620" s="16"/>
      <c r="K1620" s="16"/>
      <c r="L1620" s="16"/>
    </row>
    <row r="1621" spans="5:12" x14ac:dyDescent="0.2">
      <c r="E1621" s="16"/>
      <c r="F1621" s="16"/>
      <c r="G1621" s="16"/>
      <c r="H1621" s="16"/>
      <c r="I1621" s="16"/>
      <c r="J1621" s="16"/>
      <c r="K1621" s="16"/>
      <c r="L1621" s="16"/>
    </row>
    <row r="1622" spans="5:12" x14ac:dyDescent="0.2">
      <c r="E1622" s="16"/>
      <c r="F1622" s="16"/>
      <c r="G1622" s="16"/>
      <c r="H1622" s="16"/>
      <c r="I1622" s="16"/>
      <c r="J1622" s="16"/>
      <c r="K1622" s="16"/>
      <c r="L1622" s="16"/>
    </row>
    <row r="1623" spans="5:12" x14ac:dyDescent="0.2">
      <c r="E1623" s="16"/>
      <c r="F1623" s="16"/>
      <c r="G1623" s="16"/>
      <c r="H1623" s="16"/>
      <c r="I1623" s="16"/>
      <c r="J1623" s="16"/>
      <c r="K1623" s="16"/>
      <c r="L1623" s="16"/>
    </row>
    <row r="1624" spans="5:12" x14ac:dyDescent="0.2">
      <c r="E1624" s="16"/>
      <c r="F1624" s="16"/>
      <c r="G1624" s="16"/>
      <c r="H1624" s="16"/>
      <c r="I1624" s="16"/>
      <c r="J1624" s="16"/>
      <c r="K1624" s="16"/>
      <c r="L1624" s="16"/>
    </row>
    <row r="1625" spans="5:12" x14ac:dyDescent="0.2">
      <c r="E1625" s="16"/>
      <c r="F1625" s="16"/>
      <c r="G1625" s="16"/>
      <c r="H1625" s="16"/>
      <c r="I1625" s="16"/>
      <c r="J1625" s="16"/>
      <c r="K1625" s="16"/>
      <c r="L1625" s="16"/>
    </row>
    <row r="1626" spans="5:12" x14ac:dyDescent="0.2">
      <c r="E1626" s="16"/>
      <c r="F1626" s="16"/>
      <c r="G1626" s="16"/>
      <c r="H1626" s="16"/>
      <c r="I1626" s="16"/>
      <c r="J1626" s="16"/>
      <c r="K1626" s="16"/>
      <c r="L1626" s="16"/>
    </row>
    <row r="1627" spans="5:12" x14ac:dyDescent="0.2">
      <c r="E1627" s="16"/>
      <c r="F1627" s="16"/>
      <c r="G1627" s="16"/>
      <c r="H1627" s="16"/>
      <c r="I1627" s="16"/>
      <c r="J1627" s="16"/>
      <c r="K1627" s="16"/>
      <c r="L1627" s="16"/>
    </row>
    <row r="1628" spans="5:12" x14ac:dyDescent="0.2">
      <c r="E1628" s="16"/>
      <c r="F1628" s="16"/>
      <c r="G1628" s="16"/>
      <c r="H1628" s="16"/>
      <c r="I1628" s="16"/>
      <c r="J1628" s="16"/>
      <c r="K1628" s="16"/>
      <c r="L1628" s="16"/>
    </row>
    <row r="1629" spans="5:12" x14ac:dyDescent="0.2">
      <c r="E1629" s="16"/>
      <c r="F1629" s="16"/>
      <c r="G1629" s="16"/>
      <c r="H1629" s="16"/>
      <c r="I1629" s="16"/>
      <c r="J1629" s="16"/>
      <c r="K1629" s="16"/>
      <c r="L1629" s="16"/>
    </row>
    <row r="1630" spans="5:12" x14ac:dyDescent="0.2">
      <c r="E1630" s="16"/>
      <c r="F1630" s="16"/>
      <c r="G1630" s="16"/>
      <c r="H1630" s="16"/>
      <c r="I1630" s="16"/>
      <c r="J1630" s="16"/>
      <c r="K1630" s="16"/>
      <c r="L1630" s="16"/>
    </row>
    <row r="1631" spans="5:12" x14ac:dyDescent="0.2">
      <c r="E1631" s="16"/>
      <c r="F1631" s="16"/>
      <c r="G1631" s="16"/>
      <c r="H1631" s="16"/>
      <c r="I1631" s="16"/>
      <c r="J1631" s="16"/>
      <c r="K1631" s="16"/>
      <c r="L1631" s="16"/>
    </row>
    <row r="1632" spans="5:12" x14ac:dyDescent="0.2">
      <c r="E1632" s="16"/>
      <c r="F1632" s="16"/>
      <c r="G1632" s="16"/>
      <c r="H1632" s="16"/>
      <c r="I1632" s="16"/>
      <c r="J1632" s="16"/>
      <c r="K1632" s="16"/>
      <c r="L1632" s="16"/>
    </row>
    <row r="1633" spans="5:12" x14ac:dyDescent="0.2">
      <c r="E1633" s="16"/>
      <c r="F1633" s="16"/>
      <c r="G1633" s="16"/>
      <c r="H1633" s="16"/>
      <c r="I1633" s="16"/>
      <c r="J1633" s="16"/>
      <c r="K1633" s="16"/>
      <c r="L1633" s="16"/>
    </row>
    <row r="1634" spans="5:12" x14ac:dyDescent="0.2">
      <c r="E1634" s="16"/>
      <c r="F1634" s="16"/>
      <c r="G1634" s="16"/>
      <c r="H1634" s="16"/>
      <c r="I1634" s="16"/>
      <c r="J1634" s="16"/>
      <c r="K1634" s="16"/>
      <c r="L1634" s="16"/>
    </row>
    <row r="1635" spans="5:12" x14ac:dyDescent="0.2">
      <c r="E1635" s="16"/>
      <c r="F1635" s="16"/>
      <c r="G1635" s="16"/>
      <c r="H1635" s="16"/>
      <c r="I1635" s="16"/>
      <c r="J1635" s="16"/>
      <c r="K1635" s="16"/>
      <c r="L1635" s="16"/>
    </row>
    <row r="1636" spans="5:12" x14ac:dyDescent="0.2">
      <c r="E1636" s="16"/>
      <c r="F1636" s="16"/>
      <c r="G1636" s="16"/>
      <c r="H1636" s="16"/>
      <c r="I1636" s="16"/>
      <c r="J1636" s="16"/>
      <c r="K1636" s="16"/>
      <c r="L1636" s="16"/>
    </row>
    <row r="1637" spans="5:12" x14ac:dyDescent="0.2">
      <c r="E1637" s="16"/>
      <c r="F1637" s="16"/>
      <c r="G1637" s="16"/>
      <c r="H1637" s="16"/>
      <c r="I1637" s="16"/>
      <c r="J1637" s="16"/>
      <c r="K1637" s="16"/>
      <c r="L1637" s="16"/>
    </row>
    <row r="1638" spans="5:12" x14ac:dyDescent="0.2">
      <c r="E1638" s="16"/>
      <c r="F1638" s="16"/>
      <c r="G1638" s="16"/>
      <c r="H1638" s="16"/>
      <c r="I1638" s="16"/>
      <c r="J1638" s="16"/>
      <c r="K1638" s="16"/>
      <c r="L1638" s="16"/>
    </row>
    <row r="1639" spans="5:12" x14ac:dyDescent="0.2">
      <c r="E1639" s="16"/>
      <c r="F1639" s="16"/>
      <c r="G1639" s="16"/>
      <c r="H1639" s="16"/>
      <c r="I1639" s="16"/>
      <c r="J1639" s="16"/>
      <c r="K1639" s="16"/>
      <c r="L1639" s="16"/>
    </row>
    <row r="1640" spans="5:12" x14ac:dyDescent="0.2">
      <c r="E1640" s="16"/>
      <c r="F1640" s="16"/>
      <c r="G1640" s="16"/>
      <c r="H1640" s="16"/>
      <c r="I1640" s="16"/>
      <c r="J1640" s="16"/>
      <c r="K1640" s="16"/>
      <c r="L1640" s="16"/>
    </row>
    <row r="1641" spans="5:12" x14ac:dyDescent="0.2">
      <c r="E1641" s="16"/>
      <c r="F1641" s="16"/>
      <c r="G1641" s="16"/>
      <c r="H1641" s="16"/>
      <c r="I1641" s="16"/>
      <c r="J1641" s="16"/>
      <c r="K1641" s="16"/>
      <c r="L1641" s="16"/>
    </row>
    <row r="1642" spans="5:12" x14ac:dyDescent="0.2">
      <c r="E1642" s="16"/>
      <c r="F1642" s="16"/>
      <c r="G1642" s="16"/>
      <c r="H1642" s="16"/>
      <c r="I1642" s="16"/>
      <c r="J1642" s="16"/>
      <c r="K1642" s="16"/>
      <c r="L1642" s="16"/>
    </row>
    <row r="1643" spans="5:12" x14ac:dyDescent="0.2">
      <c r="E1643" s="16"/>
      <c r="F1643" s="16"/>
      <c r="G1643" s="16"/>
      <c r="H1643" s="16"/>
      <c r="I1643" s="16"/>
      <c r="J1643" s="16"/>
      <c r="K1643" s="16"/>
      <c r="L1643" s="16"/>
    </row>
    <row r="1644" spans="5:12" x14ac:dyDescent="0.2">
      <c r="E1644" s="16"/>
      <c r="F1644" s="16"/>
      <c r="G1644" s="16"/>
      <c r="H1644" s="16"/>
      <c r="I1644" s="16"/>
      <c r="J1644" s="16"/>
      <c r="K1644" s="16"/>
      <c r="L1644" s="16"/>
    </row>
    <row r="1645" spans="5:12" x14ac:dyDescent="0.2">
      <c r="E1645" s="16"/>
      <c r="F1645" s="16"/>
      <c r="G1645" s="16"/>
      <c r="H1645" s="16"/>
      <c r="I1645" s="16"/>
      <c r="J1645" s="16"/>
      <c r="K1645" s="16"/>
      <c r="L1645" s="16"/>
    </row>
    <row r="1646" spans="5:12" x14ac:dyDescent="0.2">
      <c r="E1646" s="16"/>
      <c r="F1646" s="16"/>
      <c r="G1646" s="16"/>
      <c r="H1646" s="16"/>
      <c r="I1646" s="16"/>
      <c r="J1646" s="16"/>
      <c r="K1646" s="16"/>
      <c r="L1646" s="16"/>
    </row>
    <row r="1647" spans="5:12" x14ac:dyDescent="0.2">
      <c r="E1647" s="16"/>
      <c r="F1647" s="16"/>
      <c r="G1647" s="16"/>
      <c r="H1647" s="16"/>
      <c r="I1647" s="16"/>
      <c r="J1647" s="16"/>
      <c r="K1647" s="16"/>
      <c r="L1647" s="16"/>
    </row>
    <row r="1648" spans="5:12" x14ac:dyDescent="0.2">
      <c r="E1648" s="16"/>
      <c r="F1648" s="16"/>
      <c r="G1648" s="16"/>
      <c r="H1648" s="16"/>
      <c r="I1648" s="16"/>
      <c r="J1648" s="16"/>
      <c r="K1648" s="16"/>
      <c r="L1648" s="16"/>
    </row>
    <row r="1649" spans="5:12" x14ac:dyDescent="0.2">
      <c r="E1649" s="16"/>
      <c r="F1649" s="16"/>
      <c r="G1649" s="16"/>
      <c r="H1649" s="16"/>
      <c r="I1649" s="16"/>
      <c r="J1649" s="16"/>
      <c r="K1649" s="16"/>
      <c r="L1649" s="16"/>
    </row>
    <row r="1650" spans="5:12" x14ac:dyDescent="0.2">
      <c r="E1650" s="16"/>
      <c r="F1650" s="16"/>
      <c r="G1650" s="16"/>
      <c r="H1650" s="16"/>
      <c r="I1650" s="16"/>
      <c r="J1650" s="16"/>
      <c r="K1650" s="16"/>
      <c r="L1650" s="16"/>
    </row>
    <row r="1651" spans="5:12" x14ac:dyDescent="0.2">
      <c r="E1651" s="16"/>
      <c r="F1651" s="16"/>
      <c r="G1651" s="16"/>
      <c r="H1651" s="16"/>
      <c r="I1651" s="16"/>
      <c r="J1651" s="16"/>
      <c r="K1651" s="16"/>
      <c r="L1651" s="16"/>
    </row>
    <row r="1652" spans="5:12" x14ac:dyDescent="0.2">
      <c r="E1652" s="16"/>
      <c r="F1652" s="16"/>
      <c r="G1652" s="16"/>
      <c r="H1652" s="16"/>
      <c r="I1652" s="16"/>
      <c r="J1652" s="16"/>
      <c r="K1652" s="16"/>
      <c r="L1652" s="16"/>
    </row>
    <row r="1653" spans="5:12" x14ac:dyDescent="0.2">
      <c r="E1653" s="16"/>
      <c r="F1653" s="16"/>
      <c r="G1653" s="16"/>
      <c r="H1653" s="16"/>
      <c r="I1653" s="16"/>
      <c r="J1653" s="16"/>
      <c r="K1653" s="16"/>
      <c r="L1653" s="16"/>
    </row>
    <row r="1654" spans="5:12" x14ac:dyDescent="0.2">
      <c r="E1654" s="16"/>
      <c r="F1654" s="16"/>
      <c r="G1654" s="16"/>
      <c r="H1654" s="16"/>
      <c r="I1654" s="16"/>
      <c r="J1654" s="16"/>
      <c r="K1654" s="16"/>
      <c r="L1654" s="16"/>
    </row>
    <row r="1655" spans="5:12" x14ac:dyDescent="0.2">
      <c r="E1655" s="16"/>
      <c r="F1655" s="16"/>
      <c r="G1655" s="16"/>
      <c r="H1655" s="16"/>
      <c r="I1655" s="16"/>
      <c r="J1655" s="16"/>
      <c r="K1655" s="16"/>
      <c r="L1655" s="16"/>
    </row>
    <row r="1656" spans="5:12" x14ac:dyDescent="0.2">
      <c r="E1656" s="16"/>
      <c r="F1656" s="16"/>
      <c r="G1656" s="16"/>
      <c r="H1656" s="16"/>
      <c r="I1656" s="16"/>
      <c r="J1656" s="16"/>
      <c r="K1656" s="16"/>
      <c r="L1656" s="16"/>
    </row>
    <row r="1657" spans="5:12" x14ac:dyDescent="0.2">
      <c r="E1657" s="16"/>
      <c r="F1657" s="16"/>
      <c r="G1657" s="16"/>
      <c r="H1657" s="16"/>
      <c r="I1657" s="16"/>
      <c r="J1657" s="16"/>
      <c r="K1657" s="16"/>
      <c r="L1657" s="16"/>
    </row>
    <row r="1658" spans="5:12" x14ac:dyDescent="0.2">
      <c r="E1658" s="16"/>
      <c r="F1658" s="16"/>
      <c r="G1658" s="16"/>
      <c r="H1658" s="16"/>
      <c r="I1658" s="16"/>
      <c r="J1658" s="16"/>
      <c r="K1658" s="16"/>
      <c r="L1658" s="16"/>
    </row>
    <row r="1659" spans="5:12" x14ac:dyDescent="0.2">
      <c r="E1659" s="16"/>
      <c r="F1659" s="16"/>
      <c r="G1659" s="16"/>
      <c r="H1659" s="16"/>
      <c r="I1659" s="16"/>
      <c r="J1659" s="16"/>
      <c r="K1659" s="16"/>
      <c r="L1659" s="16"/>
    </row>
    <row r="1660" spans="5:12" x14ac:dyDescent="0.2">
      <c r="E1660" s="16"/>
      <c r="F1660" s="16"/>
      <c r="G1660" s="16"/>
      <c r="H1660" s="16"/>
      <c r="I1660" s="16"/>
      <c r="J1660" s="16"/>
      <c r="K1660" s="16"/>
      <c r="L1660" s="16"/>
    </row>
    <row r="1661" spans="5:12" x14ac:dyDescent="0.2">
      <c r="E1661" s="16"/>
      <c r="F1661" s="16"/>
      <c r="G1661" s="16"/>
      <c r="H1661" s="16"/>
      <c r="I1661" s="16"/>
      <c r="J1661" s="16"/>
      <c r="K1661" s="16"/>
      <c r="L1661" s="16"/>
    </row>
    <row r="1662" spans="5:12" x14ac:dyDescent="0.2">
      <c r="E1662" s="16"/>
      <c r="F1662" s="16"/>
      <c r="G1662" s="16"/>
      <c r="H1662" s="16"/>
      <c r="I1662" s="16"/>
      <c r="J1662" s="16"/>
      <c r="K1662" s="16"/>
      <c r="L1662" s="16"/>
    </row>
    <row r="1663" spans="5:12" x14ac:dyDescent="0.2">
      <c r="E1663" s="16"/>
      <c r="F1663" s="16"/>
      <c r="G1663" s="16"/>
      <c r="H1663" s="16"/>
      <c r="I1663" s="16"/>
      <c r="J1663" s="16"/>
      <c r="K1663" s="16"/>
      <c r="L1663" s="16"/>
    </row>
    <row r="1664" spans="5:12" x14ac:dyDescent="0.2">
      <c r="E1664" s="16"/>
      <c r="F1664" s="16"/>
      <c r="G1664" s="16"/>
      <c r="H1664" s="16"/>
      <c r="I1664" s="16"/>
      <c r="J1664" s="16"/>
      <c r="K1664" s="16"/>
      <c r="L1664" s="16"/>
    </row>
    <row r="1665" spans="5:12" x14ac:dyDescent="0.2">
      <c r="E1665" s="16"/>
      <c r="F1665" s="16"/>
      <c r="G1665" s="16"/>
      <c r="H1665" s="16"/>
      <c r="I1665" s="16"/>
      <c r="J1665" s="16"/>
      <c r="K1665" s="16"/>
      <c r="L1665" s="16"/>
    </row>
    <row r="1666" spans="5:12" x14ac:dyDescent="0.2">
      <c r="E1666" s="16"/>
      <c r="F1666" s="16"/>
      <c r="G1666" s="16"/>
      <c r="H1666" s="16"/>
      <c r="I1666" s="16"/>
      <c r="J1666" s="16"/>
      <c r="K1666" s="16"/>
      <c r="L1666" s="16"/>
    </row>
    <row r="1667" spans="5:12" x14ac:dyDescent="0.2">
      <c r="E1667" s="16"/>
      <c r="F1667" s="16"/>
      <c r="G1667" s="16"/>
      <c r="H1667" s="16"/>
      <c r="I1667" s="16"/>
      <c r="J1667" s="16"/>
      <c r="K1667" s="16"/>
      <c r="L1667" s="16"/>
    </row>
    <row r="1668" spans="5:12" x14ac:dyDescent="0.2">
      <c r="E1668" s="16"/>
      <c r="F1668" s="16"/>
      <c r="G1668" s="16"/>
      <c r="H1668" s="16"/>
      <c r="I1668" s="16"/>
      <c r="J1668" s="16"/>
      <c r="K1668" s="16"/>
      <c r="L1668" s="16"/>
    </row>
    <row r="1669" spans="5:12" x14ac:dyDescent="0.2">
      <c r="E1669" s="16"/>
      <c r="F1669" s="16"/>
      <c r="G1669" s="16"/>
      <c r="H1669" s="16"/>
      <c r="I1669" s="16"/>
      <c r="J1669" s="16"/>
      <c r="K1669" s="16"/>
      <c r="L1669" s="16"/>
    </row>
    <row r="1670" spans="5:12" x14ac:dyDescent="0.2">
      <c r="E1670" s="16"/>
      <c r="F1670" s="16"/>
      <c r="G1670" s="16"/>
      <c r="H1670" s="16"/>
      <c r="I1670" s="16"/>
      <c r="J1670" s="16"/>
      <c r="K1670" s="16"/>
      <c r="L1670" s="16"/>
    </row>
    <row r="1671" spans="5:12" x14ac:dyDescent="0.2">
      <c r="E1671" s="16"/>
      <c r="F1671" s="16"/>
      <c r="G1671" s="16"/>
      <c r="H1671" s="16"/>
      <c r="I1671" s="16"/>
      <c r="J1671" s="16"/>
      <c r="K1671" s="16"/>
      <c r="L1671" s="16"/>
    </row>
    <row r="1672" spans="5:12" x14ac:dyDescent="0.2">
      <c r="E1672" s="16"/>
      <c r="F1672" s="16"/>
      <c r="G1672" s="16"/>
      <c r="H1672" s="16"/>
      <c r="I1672" s="16"/>
      <c r="J1672" s="16"/>
      <c r="K1672" s="16"/>
      <c r="L1672" s="16"/>
    </row>
    <row r="1673" spans="5:12" x14ac:dyDescent="0.2">
      <c r="E1673" s="16"/>
      <c r="F1673" s="16"/>
      <c r="G1673" s="16"/>
      <c r="H1673" s="16"/>
      <c r="I1673" s="16"/>
      <c r="J1673" s="16"/>
      <c r="K1673" s="16"/>
      <c r="L1673" s="16"/>
    </row>
    <row r="1674" spans="5:12" x14ac:dyDescent="0.2">
      <c r="E1674" s="16"/>
      <c r="F1674" s="16"/>
      <c r="G1674" s="16"/>
      <c r="H1674" s="16"/>
      <c r="I1674" s="16"/>
      <c r="J1674" s="16"/>
      <c r="K1674" s="16"/>
      <c r="L1674" s="16"/>
    </row>
    <row r="1675" spans="5:12" x14ac:dyDescent="0.2">
      <c r="E1675" s="16"/>
      <c r="F1675" s="16"/>
      <c r="G1675" s="16"/>
      <c r="H1675" s="16"/>
      <c r="I1675" s="16"/>
      <c r="J1675" s="16"/>
      <c r="K1675" s="16"/>
      <c r="L1675" s="16"/>
    </row>
    <row r="1676" spans="5:12" x14ac:dyDescent="0.2">
      <c r="E1676" s="16"/>
      <c r="F1676" s="16"/>
      <c r="G1676" s="16"/>
      <c r="H1676" s="16"/>
      <c r="I1676" s="16"/>
      <c r="J1676" s="16"/>
      <c r="K1676" s="16"/>
      <c r="L1676" s="16"/>
    </row>
    <row r="1677" spans="5:12" x14ac:dyDescent="0.2">
      <c r="E1677" s="16"/>
      <c r="F1677" s="16"/>
      <c r="G1677" s="16"/>
      <c r="H1677" s="16"/>
      <c r="I1677" s="16"/>
      <c r="J1677" s="16"/>
      <c r="K1677" s="16"/>
      <c r="L1677" s="16"/>
    </row>
    <row r="1678" spans="5:12" x14ac:dyDescent="0.2">
      <c r="E1678" s="16"/>
      <c r="F1678" s="16"/>
      <c r="G1678" s="16"/>
      <c r="H1678" s="16"/>
      <c r="I1678" s="16"/>
      <c r="J1678" s="16"/>
      <c r="K1678" s="16"/>
      <c r="L1678" s="16"/>
    </row>
    <row r="1679" spans="5:12" x14ac:dyDescent="0.2">
      <c r="E1679" s="16"/>
      <c r="F1679" s="16"/>
      <c r="G1679" s="16"/>
      <c r="H1679" s="16"/>
      <c r="I1679" s="16"/>
      <c r="J1679" s="16"/>
      <c r="K1679" s="16"/>
      <c r="L1679" s="16"/>
    </row>
    <row r="1680" spans="5:12" x14ac:dyDescent="0.2">
      <c r="E1680" s="16"/>
      <c r="F1680" s="16"/>
      <c r="G1680" s="16"/>
      <c r="H1680" s="16"/>
      <c r="I1680" s="16"/>
      <c r="J1680" s="16"/>
      <c r="K1680" s="16"/>
      <c r="L1680" s="16"/>
    </row>
    <row r="1681" spans="5:12" x14ac:dyDescent="0.2">
      <c r="E1681" s="16"/>
      <c r="F1681" s="16"/>
      <c r="G1681" s="16"/>
      <c r="H1681" s="16"/>
      <c r="I1681" s="16"/>
      <c r="J1681" s="16"/>
      <c r="K1681" s="16"/>
      <c r="L1681" s="16"/>
    </row>
    <row r="1682" spans="5:12" x14ac:dyDescent="0.2">
      <c r="E1682" s="16"/>
      <c r="F1682" s="16"/>
      <c r="G1682" s="16"/>
      <c r="H1682" s="16"/>
      <c r="I1682" s="16"/>
      <c r="J1682" s="16"/>
      <c r="K1682" s="16"/>
      <c r="L1682" s="16"/>
    </row>
    <row r="1683" spans="5:12" x14ac:dyDescent="0.2">
      <c r="E1683" s="16"/>
      <c r="F1683" s="16"/>
      <c r="G1683" s="16"/>
      <c r="H1683" s="16"/>
      <c r="I1683" s="16"/>
      <c r="J1683" s="16"/>
      <c r="K1683" s="16"/>
      <c r="L1683" s="16"/>
    </row>
    <row r="1684" spans="5:12" x14ac:dyDescent="0.2">
      <c r="E1684" s="16"/>
      <c r="F1684" s="16"/>
      <c r="G1684" s="16"/>
      <c r="H1684" s="16"/>
      <c r="I1684" s="16"/>
      <c r="J1684" s="16"/>
      <c r="K1684" s="16"/>
      <c r="L1684" s="16"/>
    </row>
    <row r="1685" spans="5:12" x14ac:dyDescent="0.2">
      <c r="E1685" s="16"/>
      <c r="F1685" s="16"/>
      <c r="G1685" s="16"/>
      <c r="H1685" s="16"/>
      <c r="I1685" s="16"/>
      <c r="J1685" s="16"/>
      <c r="K1685" s="16"/>
      <c r="L1685" s="16"/>
    </row>
    <row r="1686" spans="5:12" x14ac:dyDescent="0.2">
      <c r="E1686" s="16"/>
      <c r="F1686" s="16"/>
      <c r="G1686" s="16"/>
      <c r="H1686" s="16"/>
      <c r="I1686" s="16"/>
      <c r="J1686" s="16"/>
      <c r="K1686" s="16"/>
      <c r="L1686" s="16"/>
    </row>
    <row r="1687" spans="5:12" x14ac:dyDescent="0.2">
      <c r="E1687" s="16"/>
      <c r="F1687" s="16"/>
      <c r="G1687" s="16"/>
      <c r="H1687" s="16"/>
      <c r="I1687" s="16"/>
      <c r="J1687" s="16"/>
      <c r="K1687" s="16"/>
      <c r="L1687" s="16"/>
    </row>
    <row r="1688" spans="5:12" x14ac:dyDescent="0.2">
      <c r="E1688" s="16"/>
      <c r="F1688" s="16"/>
      <c r="G1688" s="16"/>
      <c r="H1688" s="16"/>
      <c r="I1688" s="16"/>
      <c r="J1688" s="16"/>
      <c r="K1688" s="16"/>
      <c r="L1688" s="16"/>
    </row>
    <row r="1689" spans="5:12" x14ac:dyDescent="0.2">
      <c r="E1689" s="16"/>
      <c r="F1689" s="16"/>
      <c r="G1689" s="16"/>
      <c r="H1689" s="16"/>
      <c r="I1689" s="16"/>
      <c r="J1689" s="16"/>
      <c r="K1689" s="16"/>
      <c r="L1689" s="16"/>
    </row>
    <row r="1690" spans="5:12" x14ac:dyDescent="0.2">
      <c r="E1690" s="16"/>
      <c r="F1690" s="16"/>
      <c r="G1690" s="16"/>
      <c r="H1690" s="16"/>
      <c r="I1690" s="16"/>
      <c r="J1690" s="16"/>
      <c r="K1690" s="16"/>
      <c r="L1690" s="16"/>
    </row>
    <row r="1691" spans="5:12" x14ac:dyDescent="0.2">
      <c r="E1691" s="16"/>
      <c r="F1691" s="16"/>
      <c r="G1691" s="16"/>
      <c r="H1691" s="16"/>
      <c r="I1691" s="16"/>
      <c r="J1691" s="16"/>
      <c r="K1691" s="16"/>
      <c r="L1691" s="16"/>
    </row>
    <row r="1692" spans="5:12" x14ac:dyDescent="0.2">
      <c r="E1692" s="16"/>
      <c r="F1692" s="16"/>
      <c r="G1692" s="16"/>
      <c r="H1692" s="16"/>
      <c r="I1692" s="16"/>
      <c r="J1692" s="16"/>
      <c r="K1692" s="16"/>
      <c r="L1692" s="16"/>
    </row>
    <row r="1693" spans="5:12" x14ac:dyDescent="0.2">
      <c r="E1693" s="16"/>
      <c r="F1693" s="16"/>
      <c r="G1693" s="16"/>
      <c r="H1693" s="16"/>
      <c r="I1693" s="16"/>
      <c r="J1693" s="16"/>
      <c r="K1693" s="16"/>
      <c r="L1693" s="16"/>
    </row>
    <row r="1694" spans="5:12" x14ac:dyDescent="0.2">
      <c r="E1694" s="16"/>
      <c r="F1694" s="16"/>
      <c r="G1694" s="16"/>
      <c r="H1694" s="16"/>
      <c r="I1694" s="16"/>
      <c r="J1694" s="16"/>
      <c r="K1694" s="16"/>
      <c r="L1694" s="16"/>
    </row>
    <row r="1695" spans="5:12" x14ac:dyDescent="0.2">
      <c r="E1695" s="16"/>
      <c r="F1695" s="16"/>
      <c r="G1695" s="16"/>
      <c r="H1695" s="16"/>
      <c r="I1695" s="16"/>
      <c r="J1695" s="16"/>
      <c r="K1695" s="16"/>
      <c r="L1695" s="16"/>
    </row>
    <row r="1696" spans="5:12" x14ac:dyDescent="0.2">
      <c r="E1696" s="16"/>
      <c r="F1696" s="16"/>
      <c r="G1696" s="16"/>
      <c r="H1696" s="16"/>
      <c r="I1696" s="16"/>
      <c r="J1696" s="16"/>
      <c r="K1696" s="16"/>
      <c r="L1696" s="16"/>
    </row>
    <row r="1697" spans="5:12" x14ac:dyDescent="0.2">
      <c r="E1697" s="16"/>
      <c r="F1697" s="16"/>
      <c r="G1697" s="16"/>
      <c r="H1697" s="16"/>
      <c r="I1697" s="16"/>
      <c r="J1697" s="16"/>
      <c r="K1697" s="16"/>
      <c r="L1697" s="16"/>
    </row>
    <row r="1698" spans="5:12" x14ac:dyDescent="0.2">
      <c r="E1698" s="16"/>
      <c r="F1698" s="16"/>
      <c r="G1698" s="16"/>
      <c r="H1698" s="16"/>
      <c r="I1698" s="16"/>
      <c r="J1698" s="16"/>
      <c r="K1698" s="16"/>
      <c r="L1698" s="16"/>
    </row>
    <row r="1699" spans="5:12" x14ac:dyDescent="0.2">
      <c r="E1699" s="16"/>
      <c r="F1699" s="16"/>
      <c r="G1699" s="16"/>
      <c r="H1699" s="16"/>
      <c r="I1699" s="16"/>
      <c r="J1699" s="16"/>
      <c r="K1699" s="16"/>
      <c r="L1699" s="16"/>
    </row>
    <row r="1700" spans="5:12" x14ac:dyDescent="0.2">
      <c r="E1700" s="16"/>
      <c r="F1700" s="16"/>
      <c r="G1700" s="16"/>
      <c r="H1700" s="16"/>
      <c r="I1700" s="16"/>
      <c r="J1700" s="16"/>
      <c r="K1700" s="16"/>
      <c r="L1700" s="16"/>
    </row>
    <row r="1701" spans="5:12" x14ac:dyDescent="0.2">
      <c r="E1701" s="16"/>
      <c r="F1701" s="16"/>
      <c r="G1701" s="16"/>
      <c r="H1701" s="16"/>
      <c r="I1701" s="16"/>
      <c r="J1701" s="16"/>
      <c r="K1701" s="16"/>
      <c r="L1701" s="16"/>
    </row>
    <row r="1702" spans="5:12" x14ac:dyDescent="0.2">
      <c r="E1702" s="16"/>
      <c r="F1702" s="16"/>
      <c r="G1702" s="16"/>
      <c r="H1702" s="16"/>
      <c r="I1702" s="16"/>
      <c r="J1702" s="16"/>
      <c r="K1702" s="16"/>
      <c r="L1702" s="16"/>
    </row>
    <row r="1703" spans="5:12" x14ac:dyDescent="0.2">
      <c r="E1703" s="16"/>
      <c r="F1703" s="16"/>
      <c r="G1703" s="16"/>
      <c r="H1703" s="16"/>
      <c r="I1703" s="16"/>
      <c r="J1703" s="16"/>
      <c r="K1703" s="16"/>
      <c r="L1703" s="16"/>
    </row>
    <row r="1704" spans="5:12" x14ac:dyDescent="0.2">
      <c r="E1704" s="16"/>
      <c r="F1704" s="16"/>
      <c r="G1704" s="16"/>
      <c r="H1704" s="16"/>
      <c r="I1704" s="16"/>
      <c r="J1704" s="16"/>
      <c r="K1704" s="16"/>
      <c r="L1704" s="16"/>
    </row>
    <row r="1705" spans="5:12" x14ac:dyDescent="0.2">
      <c r="E1705" s="16"/>
      <c r="F1705" s="16"/>
      <c r="G1705" s="16"/>
      <c r="H1705" s="16"/>
      <c r="I1705" s="16"/>
      <c r="J1705" s="16"/>
      <c r="K1705" s="16"/>
      <c r="L1705" s="16"/>
    </row>
    <row r="1706" spans="5:12" x14ac:dyDescent="0.2">
      <c r="E1706" s="16"/>
      <c r="F1706" s="16"/>
      <c r="G1706" s="16"/>
      <c r="H1706" s="16"/>
      <c r="I1706" s="16"/>
      <c r="J1706" s="16"/>
      <c r="K1706" s="16"/>
      <c r="L1706" s="16"/>
    </row>
    <row r="1707" spans="5:12" x14ac:dyDescent="0.2">
      <c r="E1707" s="16"/>
      <c r="F1707" s="16"/>
      <c r="G1707" s="16"/>
      <c r="H1707" s="16"/>
      <c r="I1707" s="16"/>
      <c r="J1707" s="16"/>
      <c r="K1707" s="16"/>
      <c r="L1707" s="16"/>
    </row>
    <row r="1708" spans="5:12" x14ac:dyDescent="0.2">
      <c r="E1708" s="16"/>
      <c r="F1708" s="16"/>
      <c r="G1708" s="16"/>
      <c r="H1708" s="16"/>
      <c r="I1708" s="16"/>
      <c r="J1708" s="16"/>
      <c r="K1708" s="16"/>
      <c r="L1708" s="16"/>
    </row>
    <row r="1709" spans="5:12" x14ac:dyDescent="0.2">
      <c r="E1709" s="16"/>
      <c r="F1709" s="16"/>
      <c r="G1709" s="16"/>
      <c r="H1709" s="16"/>
      <c r="I1709" s="16"/>
      <c r="J1709" s="16"/>
      <c r="K1709" s="16"/>
      <c r="L1709" s="16"/>
    </row>
    <row r="1710" spans="5:12" x14ac:dyDescent="0.2">
      <c r="E1710" s="16"/>
      <c r="F1710" s="16"/>
      <c r="G1710" s="16"/>
      <c r="H1710" s="16"/>
      <c r="I1710" s="16"/>
      <c r="J1710" s="16"/>
      <c r="K1710" s="16"/>
      <c r="L1710" s="16"/>
    </row>
    <row r="1711" spans="5:12" x14ac:dyDescent="0.2">
      <c r="E1711" s="16"/>
      <c r="F1711" s="16"/>
      <c r="G1711" s="16"/>
      <c r="H1711" s="16"/>
      <c r="I1711" s="16"/>
      <c r="J1711" s="16"/>
      <c r="K1711" s="16"/>
      <c r="L1711" s="16"/>
    </row>
    <row r="1712" spans="5:12" x14ac:dyDescent="0.2">
      <c r="E1712" s="16"/>
      <c r="F1712" s="16"/>
      <c r="G1712" s="16"/>
      <c r="H1712" s="16"/>
      <c r="I1712" s="16"/>
      <c r="J1712" s="16"/>
      <c r="K1712" s="16"/>
      <c r="L1712" s="16"/>
    </row>
    <row r="1713" spans="5:12" x14ac:dyDescent="0.2">
      <c r="E1713" s="16"/>
      <c r="F1713" s="16"/>
      <c r="G1713" s="16"/>
      <c r="H1713" s="16"/>
      <c r="I1713" s="16"/>
      <c r="J1713" s="16"/>
      <c r="K1713" s="16"/>
      <c r="L1713" s="16"/>
    </row>
    <row r="1714" spans="5:12" x14ac:dyDescent="0.2">
      <c r="E1714" s="16"/>
      <c r="F1714" s="16"/>
      <c r="G1714" s="16"/>
      <c r="H1714" s="16"/>
      <c r="I1714" s="16"/>
      <c r="J1714" s="16"/>
      <c r="K1714" s="16"/>
      <c r="L1714" s="16"/>
    </row>
    <row r="1715" spans="5:12" x14ac:dyDescent="0.2">
      <c r="E1715" s="16"/>
      <c r="F1715" s="16"/>
      <c r="G1715" s="16"/>
      <c r="H1715" s="16"/>
      <c r="I1715" s="16"/>
      <c r="J1715" s="16"/>
      <c r="K1715" s="16"/>
      <c r="L1715" s="16"/>
    </row>
    <row r="1716" spans="5:12" x14ac:dyDescent="0.2">
      <c r="E1716" s="16"/>
      <c r="F1716" s="16"/>
      <c r="G1716" s="16"/>
      <c r="H1716" s="16"/>
      <c r="I1716" s="16"/>
      <c r="J1716" s="16"/>
      <c r="K1716" s="16"/>
      <c r="L1716" s="16"/>
    </row>
    <row r="1717" spans="5:12" x14ac:dyDescent="0.2">
      <c r="E1717" s="16"/>
      <c r="F1717" s="16"/>
      <c r="G1717" s="16"/>
      <c r="H1717" s="16"/>
      <c r="I1717" s="16"/>
      <c r="J1717" s="16"/>
      <c r="K1717" s="16"/>
      <c r="L1717" s="16"/>
    </row>
    <row r="1718" spans="5:12" x14ac:dyDescent="0.2">
      <c r="E1718" s="16"/>
      <c r="F1718" s="16"/>
      <c r="G1718" s="16"/>
      <c r="H1718" s="16"/>
      <c r="I1718" s="16"/>
      <c r="J1718" s="16"/>
      <c r="K1718" s="16"/>
      <c r="L1718" s="16"/>
    </row>
    <row r="1719" spans="5:12" x14ac:dyDescent="0.2">
      <c r="E1719" s="16"/>
      <c r="F1719" s="16"/>
      <c r="G1719" s="16"/>
      <c r="H1719" s="16"/>
      <c r="I1719" s="16"/>
      <c r="J1719" s="16"/>
      <c r="K1719" s="16"/>
      <c r="L1719" s="16"/>
    </row>
    <row r="1720" spans="5:12" x14ac:dyDescent="0.2">
      <c r="E1720" s="16"/>
      <c r="F1720" s="16"/>
      <c r="G1720" s="16"/>
      <c r="H1720" s="16"/>
      <c r="I1720" s="16"/>
      <c r="J1720" s="16"/>
      <c r="K1720" s="16"/>
      <c r="L1720" s="16"/>
    </row>
    <row r="1721" spans="5:12" x14ac:dyDescent="0.2">
      <c r="E1721" s="16"/>
      <c r="F1721" s="16"/>
      <c r="G1721" s="16"/>
      <c r="H1721" s="16"/>
      <c r="I1721" s="16"/>
      <c r="J1721" s="16"/>
      <c r="K1721" s="16"/>
      <c r="L1721" s="16"/>
    </row>
    <row r="1722" spans="5:12" x14ac:dyDescent="0.2">
      <c r="E1722" s="16"/>
      <c r="F1722" s="16"/>
      <c r="G1722" s="16"/>
      <c r="H1722" s="16"/>
      <c r="I1722" s="16"/>
      <c r="J1722" s="16"/>
      <c r="K1722" s="16"/>
      <c r="L1722" s="16"/>
    </row>
    <row r="1723" spans="5:12" x14ac:dyDescent="0.2">
      <c r="E1723" s="16"/>
      <c r="F1723" s="16"/>
      <c r="G1723" s="16"/>
      <c r="H1723" s="16"/>
      <c r="I1723" s="16"/>
      <c r="J1723" s="16"/>
      <c r="K1723" s="16"/>
      <c r="L1723" s="16"/>
    </row>
    <row r="1724" spans="5:12" x14ac:dyDescent="0.2">
      <c r="E1724" s="16"/>
      <c r="F1724" s="16"/>
      <c r="G1724" s="16"/>
      <c r="H1724" s="16"/>
      <c r="I1724" s="16"/>
      <c r="J1724" s="16"/>
      <c r="K1724" s="16"/>
      <c r="L1724" s="16"/>
    </row>
    <row r="1725" spans="5:12" x14ac:dyDescent="0.2">
      <c r="E1725" s="16"/>
      <c r="F1725" s="16"/>
      <c r="G1725" s="16"/>
      <c r="H1725" s="16"/>
      <c r="I1725" s="16"/>
      <c r="J1725" s="16"/>
      <c r="K1725" s="16"/>
      <c r="L1725" s="16"/>
    </row>
    <row r="1726" spans="5:12" x14ac:dyDescent="0.2">
      <c r="E1726" s="16"/>
      <c r="F1726" s="16"/>
      <c r="G1726" s="16"/>
      <c r="H1726" s="16"/>
      <c r="I1726" s="16"/>
      <c r="J1726" s="16"/>
      <c r="K1726" s="16"/>
      <c r="L1726" s="16"/>
    </row>
    <row r="1727" spans="5:12" x14ac:dyDescent="0.2">
      <c r="E1727" s="16"/>
      <c r="F1727" s="16"/>
      <c r="G1727" s="16"/>
      <c r="H1727" s="16"/>
      <c r="I1727" s="16"/>
      <c r="J1727" s="16"/>
      <c r="K1727" s="16"/>
      <c r="L1727" s="16"/>
    </row>
    <row r="1728" spans="5:12" x14ac:dyDescent="0.2">
      <c r="E1728" s="16"/>
      <c r="F1728" s="16"/>
      <c r="G1728" s="16"/>
      <c r="H1728" s="16"/>
      <c r="I1728" s="16"/>
      <c r="J1728" s="16"/>
      <c r="K1728" s="16"/>
      <c r="L1728" s="16"/>
    </row>
    <row r="1729" spans="5:12" x14ac:dyDescent="0.2">
      <c r="E1729" s="16"/>
      <c r="F1729" s="16"/>
      <c r="G1729" s="16"/>
      <c r="H1729" s="16"/>
      <c r="I1729" s="16"/>
      <c r="J1729" s="16"/>
      <c r="K1729" s="16"/>
      <c r="L1729" s="16"/>
    </row>
    <row r="1730" spans="5:12" x14ac:dyDescent="0.2">
      <c r="E1730" s="16"/>
      <c r="F1730" s="16"/>
      <c r="G1730" s="16"/>
      <c r="H1730" s="16"/>
      <c r="I1730" s="16"/>
      <c r="J1730" s="16"/>
      <c r="K1730" s="16"/>
      <c r="L1730" s="16"/>
    </row>
    <row r="1731" spans="5:12" x14ac:dyDescent="0.2">
      <c r="E1731" s="16"/>
      <c r="F1731" s="16"/>
      <c r="G1731" s="16"/>
      <c r="H1731" s="16"/>
      <c r="I1731" s="16"/>
      <c r="J1731" s="16"/>
      <c r="K1731" s="16"/>
      <c r="L1731" s="16"/>
    </row>
    <row r="1732" spans="5:12" x14ac:dyDescent="0.2">
      <c r="E1732" s="16"/>
      <c r="F1732" s="16"/>
      <c r="G1732" s="16"/>
      <c r="H1732" s="16"/>
      <c r="I1732" s="16"/>
      <c r="J1732" s="16"/>
      <c r="K1732" s="16"/>
      <c r="L1732" s="16"/>
    </row>
    <row r="1733" spans="5:12" x14ac:dyDescent="0.2">
      <c r="E1733" s="16"/>
      <c r="F1733" s="16"/>
      <c r="G1733" s="16"/>
      <c r="H1733" s="16"/>
      <c r="I1733" s="16"/>
      <c r="J1733" s="16"/>
      <c r="K1733" s="16"/>
      <c r="L1733" s="16"/>
    </row>
    <row r="1734" spans="5:12" x14ac:dyDescent="0.2">
      <c r="E1734" s="16"/>
      <c r="F1734" s="16"/>
      <c r="G1734" s="16"/>
      <c r="H1734" s="16"/>
      <c r="I1734" s="16"/>
      <c r="J1734" s="16"/>
      <c r="K1734" s="16"/>
      <c r="L1734" s="16"/>
    </row>
    <row r="1735" spans="5:12" x14ac:dyDescent="0.2">
      <c r="E1735" s="16"/>
      <c r="F1735" s="16"/>
      <c r="G1735" s="16"/>
      <c r="H1735" s="16"/>
      <c r="I1735" s="16"/>
      <c r="J1735" s="16"/>
      <c r="K1735" s="16"/>
      <c r="L1735" s="16"/>
    </row>
    <row r="1736" spans="5:12" x14ac:dyDescent="0.2">
      <c r="E1736" s="16"/>
      <c r="F1736" s="16"/>
      <c r="G1736" s="16"/>
      <c r="H1736" s="16"/>
      <c r="I1736" s="16"/>
      <c r="J1736" s="16"/>
      <c r="K1736" s="16"/>
      <c r="L1736" s="16"/>
    </row>
    <row r="1737" spans="5:12" x14ac:dyDescent="0.2">
      <c r="E1737" s="16"/>
      <c r="F1737" s="16"/>
      <c r="G1737" s="16"/>
      <c r="H1737" s="16"/>
      <c r="I1737" s="16"/>
      <c r="J1737" s="16"/>
      <c r="K1737" s="16"/>
      <c r="L1737" s="16"/>
    </row>
    <row r="1738" spans="5:12" x14ac:dyDescent="0.2">
      <c r="E1738" s="16"/>
      <c r="F1738" s="16"/>
      <c r="G1738" s="16"/>
      <c r="H1738" s="16"/>
      <c r="I1738" s="16"/>
      <c r="J1738" s="16"/>
      <c r="K1738" s="16"/>
      <c r="L1738" s="16"/>
    </row>
    <row r="1739" spans="5:12" x14ac:dyDescent="0.2">
      <c r="E1739" s="16"/>
      <c r="F1739" s="16"/>
      <c r="G1739" s="16"/>
      <c r="H1739" s="16"/>
      <c r="I1739" s="16"/>
      <c r="J1739" s="16"/>
      <c r="K1739" s="16"/>
      <c r="L1739" s="16"/>
    </row>
    <row r="1740" spans="5:12" x14ac:dyDescent="0.2">
      <c r="E1740" s="16"/>
      <c r="F1740" s="16"/>
      <c r="G1740" s="16"/>
      <c r="H1740" s="16"/>
      <c r="I1740" s="16"/>
      <c r="J1740" s="16"/>
      <c r="K1740" s="16"/>
      <c r="L1740" s="16"/>
    </row>
    <row r="1741" spans="5:12" x14ac:dyDescent="0.2">
      <c r="E1741" s="16"/>
      <c r="F1741" s="16"/>
      <c r="G1741" s="16"/>
      <c r="H1741" s="16"/>
      <c r="I1741" s="16"/>
      <c r="J1741" s="16"/>
      <c r="K1741" s="16"/>
      <c r="L1741" s="16"/>
    </row>
    <row r="1742" spans="5:12" x14ac:dyDescent="0.2">
      <c r="E1742" s="16"/>
      <c r="F1742" s="16"/>
      <c r="G1742" s="16"/>
      <c r="H1742" s="16"/>
      <c r="I1742" s="16"/>
      <c r="J1742" s="16"/>
      <c r="K1742" s="16"/>
      <c r="L1742" s="16"/>
    </row>
    <row r="1743" spans="5:12" x14ac:dyDescent="0.2">
      <c r="E1743" s="16"/>
      <c r="F1743" s="16"/>
      <c r="G1743" s="16"/>
      <c r="H1743" s="16"/>
      <c r="I1743" s="16"/>
      <c r="J1743" s="16"/>
      <c r="K1743" s="16"/>
      <c r="L1743" s="16"/>
    </row>
    <row r="1744" spans="5:12" x14ac:dyDescent="0.2">
      <c r="E1744" s="16"/>
      <c r="F1744" s="16"/>
      <c r="G1744" s="16"/>
      <c r="H1744" s="16"/>
      <c r="I1744" s="16"/>
      <c r="J1744" s="16"/>
      <c r="K1744" s="16"/>
      <c r="L1744" s="16"/>
    </row>
    <row r="1745" spans="5:12" x14ac:dyDescent="0.2">
      <c r="E1745" s="16"/>
      <c r="F1745" s="16"/>
      <c r="G1745" s="16"/>
      <c r="H1745" s="16"/>
      <c r="I1745" s="16"/>
      <c r="J1745" s="16"/>
      <c r="K1745" s="16"/>
      <c r="L1745" s="16"/>
    </row>
    <row r="1746" spans="5:12" x14ac:dyDescent="0.2">
      <c r="E1746" s="16"/>
      <c r="F1746" s="16"/>
      <c r="G1746" s="16"/>
      <c r="H1746" s="16"/>
      <c r="I1746" s="16"/>
      <c r="J1746" s="16"/>
      <c r="K1746" s="16"/>
      <c r="L1746" s="16"/>
    </row>
    <row r="1747" spans="5:12" x14ac:dyDescent="0.2">
      <c r="E1747" s="16"/>
      <c r="F1747" s="16"/>
      <c r="G1747" s="16"/>
      <c r="H1747" s="16"/>
      <c r="I1747" s="16"/>
      <c r="J1747" s="16"/>
      <c r="K1747" s="16"/>
      <c r="L1747" s="16"/>
    </row>
    <row r="1748" spans="5:12" x14ac:dyDescent="0.2">
      <c r="E1748" s="16"/>
      <c r="F1748" s="16"/>
      <c r="G1748" s="16"/>
      <c r="H1748" s="16"/>
      <c r="I1748" s="16"/>
      <c r="J1748" s="16"/>
      <c r="K1748" s="16"/>
      <c r="L1748" s="16"/>
    </row>
    <row r="1749" spans="5:12" x14ac:dyDescent="0.2">
      <c r="E1749" s="16"/>
      <c r="F1749" s="16"/>
      <c r="G1749" s="16"/>
      <c r="H1749" s="16"/>
      <c r="I1749" s="16"/>
      <c r="J1749" s="16"/>
      <c r="K1749" s="16"/>
      <c r="L1749" s="16"/>
    </row>
    <row r="1750" spans="5:12" x14ac:dyDescent="0.2">
      <c r="E1750" s="16"/>
      <c r="F1750" s="16"/>
      <c r="G1750" s="16"/>
      <c r="H1750" s="16"/>
      <c r="I1750" s="16"/>
      <c r="J1750" s="16"/>
      <c r="K1750" s="16"/>
      <c r="L1750" s="16"/>
    </row>
    <row r="1751" spans="5:12" x14ac:dyDescent="0.2">
      <c r="E1751" s="16"/>
      <c r="F1751" s="16"/>
      <c r="G1751" s="16"/>
      <c r="H1751" s="16"/>
      <c r="I1751" s="16"/>
      <c r="J1751" s="16"/>
      <c r="K1751" s="16"/>
      <c r="L1751" s="16"/>
    </row>
    <row r="1752" spans="5:12" x14ac:dyDescent="0.2">
      <c r="E1752" s="16"/>
      <c r="F1752" s="16"/>
      <c r="G1752" s="16"/>
      <c r="H1752" s="16"/>
      <c r="I1752" s="16"/>
      <c r="J1752" s="16"/>
      <c r="K1752" s="16"/>
      <c r="L1752" s="16"/>
    </row>
    <row r="1753" spans="5:12" x14ac:dyDescent="0.2">
      <c r="E1753" s="16"/>
      <c r="F1753" s="16"/>
      <c r="G1753" s="16"/>
      <c r="H1753" s="16"/>
      <c r="I1753" s="16"/>
      <c r="J1753" s="16"/>
      <c r="K1753" s="16"/>
      <c r="L1753" s="16"/>
    </row>
    <row r="1754" spans="5:12" x14ac:dyDescent="0.2">
      <c r="E1754" s="16"/>
      <c r="F1754" s="16"/>
      <c r="G1754" s="16"/>
      <c r="H1754" s="16"/>
      <c r="I1754" s="16"/>
      <c r="J1754" s="16"/>
      <c r="K1754" s="16"/>
      <c r="L1754" s="16"/>
    </row>
    <row r="1755" spans="5:12" x14ac:dyDescent="0.2">
      <c r="E1755" s="16"/>
      <c r="F1755" s="16"/>
      <c r="G1755" s="16"/>
      <c r="H1755" s="16"/>
      <c r="I1755" s="16"/>
      <c r="J1755" s="16"/>
      <c r="K1755" s="16"/>
      <c r="L1755" s="16"/>
    </row>
    <row r="1756" spans="5:12" x14ac:dyDescent="0.2">
      <c r="E1756" s="16"/>
      <c r="F1756" s="16"/>
      <c r="G1756" s="16"/>
      <c r="H1756" s="16"/>
      <c r="I1756" s="16"/>
      <c r="J1756" s="16"/>
      <c r="K1756" s="16"/>
      <c r="L1756" s="16"/>
    </row>
    <row r="1757" spans="5:12" x14ac:dyDescent="0.2">
      <c r="E1757" s="16"/>
      <c r="F1757" s="16"/>
      <c r="G1757" s="16"/>
      <c r="H1757" s="16"/>
      <c r="I1757" s="16"/>
      <c r="J1757" s="16"/>
      <c r="K1757" s="16"/>
      <c r="L1757" s="16"/>
    </row>
    <row r="1758" spans="5:12" x14ac:dyDescent="0.2">
      <c r="E1758" s="16"/>
      <c r="F1758" s="16"/>
      <c r="G1758" s="16"/>
      <c r="H1758" s="16"/>
      <c r="I1758" s="16"/>
      <c r="J1758" s="16"/>
      <c r="K1758" s="16"/>
      <c r="L1758" s="16"/>
    </row>
    <row r="1759" spans="5:12" x14ac:dyDescent="0.2">
      <c r="E1759" s="16"/>
      <c r="F1759" s="16"/>
      <c r="G1759" s="16"/>
      <c r="H1759" s="16"/>
      <c r="I1759" s="16"/>
      <c r="J1759" s="16"/>
      <c r="K1759" s="16"/>
      <c r="L1759" s="16"/>
    </row>
    <row r="1760" spans="5:12" x14ac:dyDescent="0.2">
      <c r="E1760" s="16"/>
      <c r="F1760" s="16"/>
      <c r="G1760" s="16"/>
      <c r="H1760" s="16"/>
      <c r="I1760" s="16"/>
      <c r="J1760" s="16"/>
      <c r="K1760" s="16"/>
      <c r="L1760" s="16"/>
    </row>
    <row r="1761" spans="5:12" x14ac:dyDescent="0.2">
      <c r="E1761" s="16"/>
      <c r="F1761" s="16"/>
      <c r="G1761" s="16"/>
      <c r="H1761" s="16"/>
      <c r="I1761" s="16"/>
      <c r="J1761" s="16"/>
      <c r="K1761" s="16"/>
      <c r="L1761" s="16"/>
    </row>
    <row r="1762" spans="5:12" x14ac:dyDescent="0.2">
      <c r="E1762" s="16"/>
      <c r="F1762" s="16"/>
      <c r="G1762" s="16"/>
      <c r="H1762" s="16"/>
      <c r="I1762" s="16"/>
      <c r="J1762" s="16"/>
      <c r="K1762" s="16"/>
      <c r="L1762" s="16"/>
    </row>
    <row r="1763" spans="5:12" x14ac:dyDescent="0.2">
      <c r="E1763" s="16"/>
      <c r="F1763" s="16"/>
      <c r="G1763" s="16"/>
      <c r="H1763" s="16"/>
      <c r="I1763" s="16"/>
      <c r="J1763" s="16"/>
      <c r="K1763" s="16"/>
      <c r="L1763" s="16"/>
    </row>
    <row r="1764" spans="5:12" x14ac:dyDescent="0.2">
      <c r="E1764" s="16"/>
      <c r="F1764" s="16"/>
      <c r="G1764" s="16"/>
      <c r="H1764" s="16"/>
      <c r="I1764" s="16"/>
      <c r="J1764" s="16"/>
      <c r="K1764" s="16"/>
      <c r="L1764" s="16"/>
    </row>
    <row r="1765" spans="5:12" x14ac:dyDescent="0.2">
      <c r="E1765" s="16"/>
      <c r="F1765" s="16"/>
      <c r="G1765" s="16"/>
      <c r="H1765" s="16"/>
      <c r="I1765" s="16"/>
      <c r="J1765" s="16"/>
      <c r="K1765" s="16"/>
      <c r="L1765" s="16"/>
    </row>
    <row r="1766" spans="5:12" x14ac:dyDescent="0.2">
      <c r="E1766" s="16"/>
      <c r="F1766" s="16"/>
      <c r="G1766" s="16"/>
      <c r="H1766" s="16"/>
      <c r="I1766" s="16"/>
      <c r="J1766" s="16"/>
      <c r="K1766" s="16"/>
      <c r="L1766" s="16"/>
    </row>
    <row r="1767" spans="5:12" x14ac:dyDescent="0.2">
      <c r="E1767" s="16"/>
      <c r="F1767" s="16"/>
      <c r="G1767" s="16"/>
      <c r="H1767" s="16"/>
      <c r="I1767" s="16"/>
      <c r="J1767" s="16"/>
      <c r="K1767" s="16"/>
      <c r="L1767" s="16"/>
    </row>
    <row r="1768" spans="5:12" x14ac:dyDescent="0.2">
      <c r="E1768" s="16"/>
      <c r="F1768" s="16"/>
      <c r="G1768" s="16"/>
      <c r="H1768" s="16"/>
      <c r="I1768" s="16"/>
      <c r="J1768" s="16"/>
      <c r="K1768" s="16"/>
      <c r="L1768" s="16"/>
    </row>
    <row r="1769" spans="5:12" x14ac:dyDescent="0.2">
      <c r="E1769" s="16"/>
      <c r="F1769" s="16"/>
      <c r="G1769" s="16"/>
      <c r="H1769" s="16"/>
      <c r="I1769" s="16"/>
      <c r="J1769" s="16"/>
      <c r="K1769" s="16"/>
      <c r="L1769" s="16"/>
    </row>
    <row r="1770" spans="5:12" x14ac:dyDescent="0.2">
      <c r="E1770" s="16"/>
      <c r="F1770" s="16"/>
      <c r="G1770" s="16"/>
      <c r="H1770" s="16"/>
      <c r="I1770" s="16"/>
      <c r="J1770" s="16"/>
      <c r="K1770" s="16"/>
      <c r="L1770" s="16"/>
    </row>
    <row r="1771" spans="5:12" x14ac:dyDescent="0.2">
      <c r="E1771" s="16"/>
      <c r="F1771" s="16"/>
      <c r="G1771" s="16"/>
      <c r="H1771" s="16"/>
      <c r="I1771" s="16"/>
      <c r="J1771" s="16"/>
      <c r="K1771" s="16"/>
      <c r="L1771" s="16"/>
    </row>
    <row r="1772" spans="5:12" x14ac:dyDescent="0.2">
      <c r="E1772" s="16"/>
      <c r="F1772" s="16"/>
      <c r="G1772" s="16"/>
      <c r="H1772" s="16"/>
      <c r="I1772" s="16"/>
      <c r="J1772" s="16"/>
      <c r="K1772" s="16"/>
      <c r="L1772" s="16"/>
    </row>
    <row r="1773" spans="5:12" x14ac:dyDescent="0.2">
      <c r="E1773" s="16"/>
      <c r="F1773" s="16"/>
      <c r="G1773" s="16"/>
      <c r="H1773" s="16"/>
      <c r="I1773" s="16"/>
      <c r="J1773" s="16"/>
      <c r="K1773" s="16"/>
      <c r="L1773" s="16"/>
    </row>
    <row r="1774" spans="5:12" x14ac:dyDescent="0.2">
      <c r="E1774" s="16"/>
      <c r="F1774" s="16"/>
      <c r="G1774" s="16"/>
      <c r="H1774" s="16"/>
      <c r="I1774" s="16"/>
      <c r="J1774" s="16"/>
      <c r="K1774" s="16"/>
      <c r="L1774" s="16"/>
    </row>
    <row r="1775" spans="5:12" x14ac:dyDescent="0.2">
      <c r="E1775" s="16"/>
      <c r="F1775" s="16"/>
      <c r="G1775" s="16"/>
      <c r="H1775" s="16"/>
      <c r="I1775" s="16"/>
      <c r="J1775" s="16"/>
      <c r="K1775" s="16"/>
      <c r="L1775" s="16"/>
    </row>
    <row r="1776" spans="5:12" x14ac:dyDescent="0.2">
      <c r="E1776" s="16"/>
      <c r="F1776" s="16"/>
      <c r="G1776" s="16"/>
      <c r="H1776" s="16"/>
      <c r="I1776" s="16"/>
      <c r="J1776" s="16"/>
      <c r="K1776" s="16"/>
      <c r="L1776" s="16"/>
    </row>
    <row r="1777" spans="5:12" x14ac:dyDescent="0.2">
      <c r="E1777" s="16"/>
      <c r="F1777" s="16"/>
      <c r="G1777" s="16"/>
      <c r="H1777" s="16"/>
      <c r="I1777" s="16"/>
      <c r="J1777" s="16"/>
      <c r="K1777" s="16"/>
      <c r="L1777" s="16"/>
    </row>
    <row r="1778" spans="5:12" x14ac:dyDescent="0.2">
      <c r="E1778" s="16"/>
      <c r="F1778" s="16"/>
      <c r="G1778" s="16"/>
      <c r="H1778" s="16"/>
      <c r="I1778" s="16"/>
      <c r="J1778" s="16"/>
      <c r="K1778" s="16"/>
      <c r="L1778" s="16"/>
    </row>
    <row r="1779" spans="5:12" x14ac:dyDescent="0.2">
      <c r="E1779" s="16"/>
      <c r="F1779" s="16"/>
      <c r="G1779" s="16"/>
      <c r="H1779" s="16"/>
      <c r="I1779" s="16"/>
      <c r="J1779" s="16"/>
      <c r="K1779" s="16"/>
      <c r="L1779" s="16"/>
    </row>
    <row r="1780" spans="5:12" x14ac:dyDescent="0.2">
      <c r="E1780" s="16"/>
      <c r="F1780" s="16"/>
      <c r="G1780" s="16"/>
      <c r="H1780" s="16"/>
      <c r="I1780" s="16"/>
      <c r="J1780" s="16"/>
      <c r="K1780" s="16"/>
      <c r="L1780" s="16"/>
    </row>
    <row r="1781" spans="5:12" x14ac:dyDescent="0.2">
      <c r="E1781" s="16"/>
      <c r="F1781" s="16"/>
      <c r="G1781" s="16"/>
      <c r="H1781" s="16"/>
      <c r="I1781" s="16"/>
      <c r="J1781" s="16"/>
      <c r="K1781" s="16"/>
      <c r="L1781" s="16"/>
    </row>
    <row r="1782" spans="5:12" x14ac:dyDescent="0.2">
      <c r="E1782" s="16"/>
      <c r="F1782" s="16"/>
      <c r="G1782" s="16"/>
      <c r="H1782" s="16"/>
      <c r="I1782" s="16"/>
      <c r="J1782" s="16"/>
      <c r="K1782" s="16"/>
      <c r="L1782" s="16"/>
    </row>
    <row r="1783" spans="5:12" x14ac:dyDescent="0.2">
      <c r="E1783" s="16"/>
      <c r="F1783" s="16"/>
      <c r="G1783" s="16"/>
      <c r="H1783" s="16"/>
      <c r="I1783" s="16"/>
      <c r="J1783" s="16"/>
      <c r="K1783" s="16"/>
      <c r="L1783" s="16"/>
    </row>
    <row r="1784" spans="5:12" x14ac:dyDescent="0.2">
      <c r="E1784" s="16"/>
      <c r="F1784" s="16"/>
      <c r="G1784" s="16"/>
      <c r="H1784" s="16"/>
      <c r="I1784" s="16"/>
      <c r="J1784" s="16"/>
      <c r="K1784" s="16"/>
      <c r="L1784" s="16"/>
    </row>
    <row r="1785" spans="5:12" x14ac:dyDescent="0.2">
      <c r="E1785" s="16"/>
      <c r="F1785" s="16"/>
      <c r="G1785" s="16"/>
      <c r="H1785" s="16"/>
      <c r="I1785" s="16"/>
      <c r="J1785" s="16"/>
      <c r="K1785" s="16"/>
      <c r="L1785" s="16"/>
    </row>
    <row r="1786" spans="5:12" x14ac:dyDescent="0.2">
      <c r="E1786" s="16"/>
      <c r="F1786" s="16"/>
      <c r="G1786" s="16"/>
      <c r="H1786" s="16"/>
      <c r="I1786" s="16"/>
      <c r="J1786" s="16"/>
      <c r="K1786" s="16"/>
      <c r="L1786" s="16"/>
    </row>
    <row r="1787" spans="5:12" x14ac:dyDescent="0.2">
      <c r="E1787" s="16"/>
      <c r="F1787" s="16"/>
      <c r="G1787" s="16"/>
      <c r="H1787" s="16"/>
      <c r="I1787" s="16"/>
      <c r="J1787" s="16"/>
      <c r="K1787" s="16"/>
      <c r="L1787" s="16"/>
    </row>
    <row r="1788" spans="5:12" x14ac:dyDescent="0.2">
      <c r="E1788" s="16"/>
      <c r="F1788" s="16"/>
      <c r="G1788" s="16"/>
      <c r="H1788" s="16"/>
      <c r="I1788" s="16"/>
      <c r="J1788" s="16"/>
      <c r="K1788" s="16"/>
      <c r="L1788" s="16"/>
    </row>
    <row r="1789" spans="5:12" x14ac:dyDescent="0.2">
      <c r="E1789" s="16"/>
      <c r="F1789" s="16"/>
      <c r="G1789" s="16"/>
      <c r="H1789" s="16"/>
      <c r="I1789" s="16"/>
      <c r="J1789" s="16"/>
      <c r="K1789" s="16"/>
      <c r="L1789" s="16"/>
    </row>
    <row r="1790" spans="5:12" x14ac:dyDescent="0.2">
      <c r="E1790" s="16"/>
      <c r="F1790" s="16"/>
      <c r="G1790" s="16"/>
      <c r="H1790" s="16"/>
      <c r="I1790" s="16"/>
      <c r="J1790" s="16"/>
      <c r="K1790" s="16"/>
      <c r="L1790" s="16"/>
    </row>
    <row r="1791" spans="5:12" x14ac:dyDescent="0.2">
      <c r="E1791" s="16"/>
      <c r="F1791" s="16"/>
      <c r="G1791" s="16"/>
      <c r="H1791" s="16"/>
      <c r="I1791" s="16"/>
      <c r="J1791" s="16"/>
      <c r="K1791" s="16"/>
      <c r="L1791" s="16"/>
    </row>
    <row r="1792" spans="5:12" x14ac:dyDescent="0.2">
      <c r="E1792" s="16"/>
      <c r="F1792" s="16"/>
      <c r="G1792" s="16"/>
      <c r="H1792" s="16"/>
      <c r="I1792" s="16"/>
      <c r="J1792" s="16"/>
      <c r="K1792" s="16"/>
      <c r="L1792" s="16"/>
    </row>
    <row r="1793" spans="5:12" x14ac:dyDescent="0.2">
      <c r="E1793" s="16"/>
      <c r="F1793" s="16"/>
      <c r="G1793" s="16"/>
      <c r="H1793" s="16"/>
      <c r="I1793" s="16"/>
      <c r="J1793" s="16"/>
      <c r="K1793" s="16"/>
      <c r="L1793" s="16"/>
    </row>
    <row r="1794" spans="5:12" x14ac:dyDescent="0.2">
      <c r="E1794" s="16"/>
      <c r="F1794" s="16"/>
      <c r="G1794" s="16"/>
      <c r="H1794" s="16"/>
      <c r="I1794" s="16"/>
      <c r="J1794" s="16"/>
      <c r="K1794" s="16"/>
      <c r="L1794" s="16"/>
    </row>
    <row r="1795" spans="5:12" x14ac:dyDescent="0.2">
      <c r="E1795" s="16"/>
      <c r="F1795" s="16"/>
      <c r="G1795" s="16"/>
      <c r="H1795" s="16"/>
      <c r="I1795" s="16"/>
      <c r="J1795" s="16"/>
      <c r="K1795" s="16"/>
      <c r="L1795" s="16"/>
    </row>
    <row r="1796" spans="5:12" x14ac:dyDescent="0.2">
      <c r="E1796" s="16"/>
      <c r="F1796" s="16"/>
      <c r="G1796" s="16"/>
      <c r="H1796" s="16"/>
      <c r="I1796" s="16"/>
      <c r="J1796" s="16"/>
      <c r="K1796" s="16"/>
      <c r="L1796" s="16"/>
    </row>
    <row r="1797" spans="5:12" x14ac:dyDescent="0.2">
      <c r="E1797" s="16"/>
      <c r="F1797" s="16"/>
      <c r="G1797" s="16"/>
      <c r="H1797" s="16"/>
      <c r="I1797" s="16"/>
      <c r="J1797" s="16"/>
      <c r="K1797" s="16"/>
      <c r="L1797" s="16"/>
    </row>
    <row r="1798" spans="5:12" x14ac:dyDescent="0.2">
      <c r="E1798" s="16"/>
      <c r="F1798" s="16"/>
      <c r="G1798" s="16"/>
      <c r="H1798" s="16"/>
      <c r="I1798" s="16"/>
      <c r="J1798" s="16"/>
      <c r="K1798" s="16"/>
      <c r="L1798" s="16"/>
    </row>
    <row r="1799" spans="5:12" x14ac:dyDescent="0.2">
      <c r="E1799" s="16"/>
      <c r="F1799" s="16"/>
      <c r="G1799" s="16"/>
      <c r="H1799" s="16"/>
      <c r="I1799" s="16"/>
      <c r="J1799" s="16"/>
      <c r="K1799" s="16"/>
      <c r="L1799" s="16"/>
    </row>
    <row r="1800" spans="5:12" x14ac:dyDescent="0.2">
      <c r="E1800" s="16"/>
      <c r="F1800" s="16"/>
      <c r="G1800" s="16"/>
      <c r="H1800" s="16"/>
      <c r="I1800" s="16"/>
      <c r="J1800" s="16"/>
      <c r="K1800" s="16"/>
      <c r="L1800" s="16"/>
    </row>
    <row r="1801" spans="5:12" x14ac:dyDescent="0.2">
      <c r="E1801" s="16"/>
      <c r="F1801" s="16"/>
      <c r="G1801" s="16"/>
      <c r="H1801" s="16"/>
      <c r="I1801" s="16"/>
      <c r="J1801" s="16"/>
      <c r="K1801" s="16"/>
      <c r="L1801" s="16"/>
    </row>
    <row r="1802" spans="5:12" x14ac:dyDescent="0.2">
      <c r="E1802" s="16"/>
      <c r="F1802" s="16"/>
      <c r="G1802" s="16"/>
      <c r="H1802" s="16"/>
      <c r="I1802" s="16"/>
      <c r="J1802" s="16"/>
      <c r="K1802" s="16"/>
      <c r="L1802" s="16"/>
    </row>
    <row r="1803" spans="5:12" x14ac:dyDescent="0.2">
      <c r="E1803" s="16"/>
      <c r="F1803" s="16"/>
      <c r="G1803" s="16"/>
      <c r="H1803" s="16"/>
      <c r="I1803" s="16"/>
      <c r="J1803" s="16"/>
      <c r="K1803" s="16"/>
      <c r="L1803" s="16"/>
    </row>
    <row r="1804" spans="5:12" x14ac:dyDescent="0.2">
      <c r="E1804" s="16"/>
      <c r="F1804" s="16"/>
      <c r="G1804" s="16"/>
      <c r="H1804" s="16"/>
      <c r="I1804" s="16"/>
      <c r="J1804" s="16"/>
      <c r="K1804" s="16"/>
      <c r="L1804" s="16"/>
    </row>
    <row r="1805" spans="5:12" x14ac:dyDescent="0.2">
      <c r="E1805" s="16"/>
      <c r="F1805" s="16"/>
      <c r="G1805" s="16"/>
      <c r="H1805" s="16"/>
      <c r="I1805" s="16"/>
      <c r="J1805" s="16"/>
      <c r="K1805" s="16"/>
      <c r="L1805" s="16"/>
    </row>
    <row r="1806" spans="5:12" x14ac:dyDescent="0.2">
      <c r="E1806" s="16"/>
      <c r="F1806" s="16"/>
      <c r="G1806" s="16"/>
      <c r="H1806" s="16"/>
      <c r="I1806" s="16"/>
      <c r="J1806" s="16"/>
      <c r="K1806" s="16"/>
      <c r="L1806" s="16"/>
    </row>
    <row r="1807" spans="5:12" x14ac:dyDescent="0.2">
      <c r="E1807" s="16"/>
      <c r="F1807" s="16"/>
      <c r="G1807" s="16"/>
      <c r="H1807" s="16"/>
      <c r="I1807" s="16"/>
      <c r="J1807" s="16"/>
      <c r="K1807" s="16"/>
      <c r="L1807" s="16"/>
    </row>
    <row r="1808" spans="5:12" x14ac:dyDescent="0.2">
      <c r="E1808" s="16"/>
      <c r="F1808" s="16"/>
      <c r="G1808" s="16"/>
      <c r="H1808" s="16"/>
      <c r="I1808" s="16"/>
      <c r="J1808" s="16"/>
      <c r="K1808" s="16"/>
      <c r="L1808" s="16"/>
    </row>
    <row r="1809" spans="5:12" x14ac:dyDescent="0.2">
      <c r="E1809" s="16"/>
      <c r="F1809" s="16"/>
      <c r="G1809" s="16"/>
      <c r="H1809" s="16"/>
      <c r="I1809" s="16"/>
      <c r="J1809" s="16"/>
      <c r="K1809" s="16"/>
      <c r="L1809" s="16"/>
    </row>
    <row r="1810" spans="5:12" x14ac:dyDescent="0.2">
      <c r="E1810" s="16"/>
      <c r="F1810" s="16"/>
      <c r="G1810" s="16"/>
      <c r="H1810" s="16"/>
      <c r="I1810" s="16"/>
      <c r="J1810" s="16"/>
      <c r="K1810" s="16"/>
      <c r="L1810" s="16"/>
    </row>
    <row r="1811" spans="5:12" x14ac:dyDescent="0.2">
      <c r="E1811" s="16"/>
      <c r="F1811" s="16"/>
      <c r="G1811" s="16"/>
      <c r="H1811" s="16"/>
      <c r="I1811" s="16"/>
      <c r="J1811" s="16"/>
      <c r="K1811" s="16"/>
      <c r="L1811" s="16"/>
    </row>
    <row r="1812" spans="5:12" x14ac:dyDescent="0.2">
      <c r="E1812" s="16"/>
      <c r="F1812" s="16"/>
      <c r="G1812" s="16"/>
      <c r="H1812" s="16"/>
      <c r="I1812" s="16"/>
      <c r="J1812" s="16"/>
      <c r="K1812" s="16"/>
      <c r="L1812" s="16"/>
    </row>
    <row r="1813" spans="5:12" x14ac:dyDescent="0.2">
      <c r="E1813" s="16"/>
      <c r="F1813" s="16"/>
      <c r="G1813" s="16"/>
      <c r="H1813" s="16"/>
      <c r="I1813" s="16"/>
      <c r="J1813" s="16"/>
      <c r="K1813" s="16"/>
      <c r="L1813" s="16"/>
    </row>
    <row r="1814" spans="5:12" x14ac:dyDescent="0.2">
      <c r="E1814" s="16"/>
      <c r="F1814" s="16"/>
      <c r="G1814" s="16"/>
      <c r="H1814" s="16"/>
      <c r="I1814" s="16"/>
      <c r="J1814" s="16"/>
      <c r="K1814" s="16"/>
      <c r="L1814" s="16"/>
    </row>
    <row r="1815" spans="5:12" x14ac:dyDescent="0.2">
      <c r="E1815" s="16"/>
      <c r="F1815" s="16"/>
      <c r="G1815" s="16"/>
      <c r="H1815" s="16"/>
      <c r="I1815" s="16"/>
      <c r="J1815" s="16"/>
      <c r="K1815" s="16"/>
      <c r="L1815" s="16"/>
    </row>
    <row r="1816" spans="5:12" x14ac:dyDescent="0.2">
      <c r="E1816" s="16"/>
      <c r="F1816" s="16"/>
      <c r="G1816" s="16"/>
      <c r="H1816" s="16"/>
      <c r="I1816" s="16"/>
      <c r="J1816" s="16"/>
      <c r="K1816" s="16"/>
      <c r="L1816" s="16"/>
    </row>
    <row r="1817" spans="5:12" x14ac:dyDescent="0.2">
      <c r="E1817" s="16"/>
      <c r="F1817" s="16"/>
      <c r="G1817" s="16"/>
      <c r="H1817" s="16"/>
      <c r="I1817" s="16"/>
      <c r="J1817" s="16"/>
      <c r="K1817" s="16"/>
      <c r="L1817" s="16"/>
    </row>
    <row r="1818" spans="5:12" x14ac:dyDescent="0.2">
      <c r="E1818" s="16"/>
      <c r="F1818" s="16"/>
      <c r="G1818" s="16"/>
      <c r="H1818" s="16"/>
      <c r="I1818" s="16"/>
      <c r="J1818" s="16"/>
      <c r="K1818" s="16"/>
      <c r="L1818" s="16"/>
    </row>
    <row r="1819" spans="5:12" x14ac:dyDescent="0.2">
      <c r="E1819" s="16"/>
      <c r="F1819" s="16"/>
      <c r="G1819" s="16"/>
      <c r="H1819" s="16"/>
      <c r="I1819" s="16"/>
      <c r="J1819" s="16"/>
      <c r="K1819" s="16"/>
      <c r="L1819" s="16"/>
    </row>
    <row r="1820" spans="5:12" x14ac:dyDescent="0.2">
      <c r="E1820" s="16"/>
      <c r="F1820" s="16"/>
      <c r="G1820" s="16"/>
      <c r="H1820" s="16"/>
      <c r="I1820" s="16"/>
      <c r="J1820" s="16"/>
      <c r="K1820" s="16"/>
      <c r="L1820" s="16"/>
    </row>
    <row r="1821" spans="5:12" x14ac:dyDescent="0.2">
      <c r="E1821" s="16"/>
      <c r="F1821" s="16"/>
      <c r="G1821" s="16"/>
      <c r="H1821" s="16"/>
      <c r="I1821" s="16"/>
      <c r="J1821" s="16"/>
      <c r="K1821" s="16"/>
      <c r="L1821" s="16"/>
    </row>
    <row r="1822" spans="5:12" x14ac:dyDescent="0.2">
      <c r="E1822" s="16"/>
      <c r="F1822" s="16"/>
      <c r="G1822" s="16"/>
      <c r="H1822" s="16"/>
      <c r="I1822" s="16"/>
      <c r="J1822" s="16"/>
      <c r="K1822" s="16"/>
      <c r="L1822" s="16"/>
    </row>
    <row r="1823" spans="5:12" x14ac:dyDescent="0.2">
      <c r="E1823" s="16"/>
      <c r="F1823" s="16"/>
      <c r="G1823" s="16"/>
      <c r="H1823" s="16"/>
      <c r="I1823" s="16"/>
      <c r="J1823" s="16"/>
      <c r="K1823" s="16"/>
      <c r="L1823" s="16"/>
    </row>
    <row r="1824" spans="5:12" x14ac:dyDescent="0.2">
      <c r="E1824" s="16"/>
      <c r="F1824" s="16"/>
      <c r="G1824" s="16"/>
      <c r="H1824" s="16"/>
      <c r="I1824" s="16"/>
      <c r="J1824" s="16"/>
      <c r="K1824" s="16"/>
      <c r="L1824" s="16"/>
    </row>
    <row r="1825" spans="5:12" x14ac:dyDescent="0.2">
      <c r="E1825" s="16"/>
      <c r="F1825" s="16"/>
      <c r="G1825" s="16"/>
      <c r="H1825" s="16"/>
      <c r="I1825" s="16"/>
      <c r="J1825" s="16"/>
      <c r="K1825" s="16"/>
      <c r="L1825" s="16"/>
    </row>
    <row r="1826" spans="5:12" x14ac:dyDescent="0.2">
      <c r="E1826" s="16"/>
      <c r="F1826" s="16"/>
      <c r="G1826" s="16"/>
      <c r="H1826" s="16"/>
      <c r="I1826" s="16"/>
      <c r="J1826" s="16"/>
      <c r="K1826" s="16"/>
      <c r="L1826" s="16"/>
    </row>
    <row r="1827" spans="5:12" x14ac:dyDescent="0.2">
      <c r="E1827" s="16"/>
      <c r="F1827" s="16"/>
      <c r="G1827" s="16"/>
      <c r="H1827" s="16"/>
      <c r="I1827" s="16"/>
      <c r="J1827" s="16"/>
      <c r="K1827" s="16"/>
      <c r="L1827" s="16"/>
    </row>
    <row r="1828" spans="5:12" x14ac:dyDescent="0.2">
      <c r="E1828" s="16"/>
      <c r="F1828" s="16"/>
      <c r="G1828" s="16"/>
      <c r="H1828" s="16"/>
      <c r="I1828" s="16"/>
      <c r="J1828" s="16"/>
      <c r="K1828" s="16"/>
      <c r="L1828" s="16"/>
    </row>
    <row r="1829" spans="5:12" x14ac:dyDescent="0.2">
      <c r="E1829" s="16"/>
      <c r="F1829" s="16"/>
      <c r="G1829" s="16"/>
      <c r="H1829" s="16"/>
      <c r="I1829" s="16"/>
      <c r="J1829" s="16"/>
      <c r="K1829" s="16"/>
      <c r="L1829" s="16"/>
    </row>
    <row r="1830" spans="5:12" x14ac:dyDescent="0.2">
      <c r="E1830" s="16"/>
      <c r="F1830" s="16"/>
      <c r="G1830" s="16"/>
      <c r="H1830" s="16"/>
      <c r="I1830" s="16"/>
      <c r="J1830" s="16"/>
      <c r="K1830" s="16"/>
      <c r="L1830" s="16"/>
    </row>
    <row r="1831" spans="5:12" x14ac:dyDescent="0.2">
      <c r="E1831" s="16"/>
      <c r="F1831" s="16"/>
      <c r="G1831" s="16"/>
      <c r="H1831" s="16"/>
      <c r="I1831" s="16"/>
      <c r="J1831" s="16"/>
      <c r="K1831" s="16"/>
      <c r="L1831" s="16"/>
    </row>
    <row r="1832" spans="5:12" x14ac:dyDescent="0.2">
      <c r="E1832" s="16"/>
      <c r="F1832" s="16"/>
      <c r="G1832" s="16"/>
      <c r="H1832" s="16"/>
      <c r="I1832" s="16"/>
      <c r="J1832" s="16"/>
      <c r="K1832" s="16"/>
      <c r="L1832" s="16"/>
    </row>
    <row r="1833" spans="5:12" x14ac:dyDescent="0.2">
      <c r="E1833" s="16"/>
      <c r="F1833" s="16"/>
      <c r="G1833" s="16"/>
      <c r="H1833" s="16"/>
      <c r="I1833" s="16"/>
      <c r="J1833" s="16"/>
      <c r="K1833" s="16"/>
      <c r="L1833" s="16"/>
    </row>
    <row r="1834" spans="5:12" x14ac:dyDescent="0.2">
      <c r="E1834" s="16"/>
      <c r="F1834" s="16"/>
      <c r="G1834" s="16"/>
      <c r="H1834" s="16"/>
      <c r="I1834" s="16"/>
      <c r="J1834" s="16"/>
      <c r="K1834" s="16"/>
      <c r="L1834" s="16"/>
    </row>
    <row r="1835" spans="5:12" x14ac:dyDescent="0.2">
      <c r="E1835" s="16"/>
      <c r="F1835" s="16"/>
      <c r="G1835" s="16"/>
      <c r="H1835" s="16"/>
      <c r="I1835" s="16"/>
      <c r="J1835" s="16"/>
      <c r="K1835" s="16"/>
      <c r="L1835" s="16"/>
    </row>
    <row r="1836" spans="5:12" x14ac:dyDescent="0.2">
      <c r="E1836" s="16"/>
      <c r="F1836" s="16"/>
      <c r="G1836" s="16"/>
      <c r="H1836" s="16"/>
      <c r="I1836" s="16"/>
      <c r="J1836" s="16"/>
      <c r="K1836" s="16"/>
      <c r="L1836" s="16"/>
    </row>
    <row r="1837" spans="5:12" x14ac:dyDescent="0.2">
      <c r="E1837" s="16"/>
      <c r="F1837" s="16"/>
      <c r="G1837" s="16"/>
      <c r="H1837" s="16"/>
      <c r="I1837" s="16"/>
      <c r="J1837" s="16"/>
      <c r="K1837" s="16"/>
      <c r="L1837" s="16"/>
    </row>
    <row r="1838" spans="5:12" x14ac:dyDescent="0.2">
      <c r="E1838" s="16"/>
      <c r="F1838" s="16"/>
      <c r="G1838" s="16"/>
      <c r="H1838" s="16"/>
      <c r="I1838" s="16"/>
      <c r="J1838" s="16"/>
      <c r="K1838" s="16"/>
      <c r="L1838" s="16"/>
    </row>
    <row r="1839" spans="5:12" x14ac:dyDescent="0.2">
      <c r="E1839" s="16"/>
      <c r="F1839" s="16"/>
      <c r="G1839" s="16"/>
      <c r="H1839" s="16"/>
      <c r="I1839" s="16"/>
      <c r="J1839" s="16"/>
      <c r="K1839" s="16"/>
      <c r="L1839" s="16"/>
    </row>
    <row r="1840" spans="5:12" x14ac:dyDescent="0.2">
      <c r="E1840" s="16"/>
      <c r="F1840" s="16"/>
      <c r="G1840" s="16"/>
      <c r="H1840" s="16"/>
      <c r="I1840" s="16"/>
      <c r="J1840" s="16"/>
      <c r="K1840" s="16"/>
      <c r="L1840" s="16"/>
    </row>
    <row r="1841" spans="5:12" x14ac:dyDescent="0.2">
      <c r="E1841" s="16"/>
      <c r="F1841" s="16"/>
      <c r="G1841" s="16"/>
      <c r="H1841" s="16"/>
      <c r="I1841" s="16"/>
      <c r="J1841" s="16"/>
      <c r="K1841" s="16"/>
      <c r="L1841" s="16"/>
    </row>
    <row r="1842" spans="5:12" x14ac:dyDescent="0.2">
      <c r="E1842" s="16"/>
      <c r="F1842" s="16"/>
      <c r="G1842" s="16"/>
      <c r="H1842" s="16"/>
      <c r="I1842" s="16"/>
      <c r="J1842" s="16"/>
      <c r="K1842" s="16"/>
      <c r="L1842" s="16"/>
    </row>
    <row r="1843" spans="5:12" x14ac:dyDescent="0.2">
      <c r="E1843" s="16"/>
      <c r="F1843" s="16"/>
      <c r="G1843" s="16"/>
      <c r="H1843" s="16"/>
      <c r="I1843" s="16"/>
      <c r="J1843" s="16"/>
      <c r="K1843" s="16"/>
      <c r="L1843" s="16"/>
    </row>
    <row r="1844" spans="5:12" x14ac:dyDescent="0.2">
      <c r="E1844" s="16"/>
      <c r="F1844" s="16"/>
      <c r="G1844" s="16"/>
      <c r="H1844" s="16"/>
      <c r="I1844" s="16"/>
      <c r="J1844" s="16"/>
      <c r="K1844" s="16"/>
      <c r="L1844" s="16"/>
    </row>
    <row r="1845" spans="5:12" x14ac:dyDescent="0.2">
      <c r="E1845" s="16"/>
      <c r="F1845" s="16"/>
      <c r="G1845" s="16"/>
      <c r="H1845" s="16"/>
      <c r="I1845" s="16"/>
      <c r="J1845" s="16"/>
      <c r="K1845" s="16"/>
      <c r="L1845" s="16"/>
    </row>
    <row r="1846" spans="5:12" x14ac:dyDescent="0.2">
      <c r="E1846" s="16"/>
      <c r="F1846" s="16"/>
      <c r="G1846" s="16"/>
      <c r="H1846" s="16"/>
      <c r="I1846" s="16"/>
      <c r="J1846" s="16"/>
      <c r="K1846" s="16"/>
      <c r="L1846" s="16"/>
    </row>
    <row r="1847" spans="5:12" x14ac:dyDescent="0.2">
      <c r="E1847" s="16"/>
      <c r="F1847" s="16"/>
      <c r="G1847" s="16"/>
      <c r="H1847" s="16"/>
      <c r="I1847" s="16"/>
      <c r="J1847" s="16"/>
      <c r="K1847" s="16"/>
      <c r="L1847" s="16"/>
    </row>
    <row r="1848" spans="5:12" x14ac:dyDescent="0.2">
      <c r="E1848" s="16"/>
      <c r="F1848" s="16"/>
      <c r="G1848" s="16"/>
      <c r="H1848" s="16"/>
      <c r="I1848" s="16"/>
      <c r="J1848" s="16"/>
      <c r="K1848" s="16"/>
      <c r="L1848" s="16"/>
    </row>
    <row r="1849" spans="5:12" x14ac:dyDescent="0.2">
      <c r="E1849" s="16"/>
      <c r="F1849" s="16"/>
      <c r="G1849" s="16"/>
      <c r="H1849" s="16"/>
      <c r="I1849" s="16"/>
      <c r="J1849" s="16"/>
      <c r="K1849" s="16"/>
      <c r="L1849" s="16"/>
    </row>
    <row r="1850" spans="5:12" x14ac:dyDescent="0.2">
      <c r="E1850" s="16"/>
      <c r="F1850" s="16"/>
      <c r="G1850" s="16"/>
      <c r="H1850" s="16"/>
      <c r="I1850" s="16"/>
      <c r="J1850" s="16"/>
      <c r="K1850" s="16"/>
      <c r="L1850" s="16"/>
    </row>
    <row r="1851" spans="5:12" x14ac:dyDescent="0.2">
      <c r="E1851" s="16"/>
      <c r="F1851" s="16"/>
      <c r="G1851" s="16"/>
      <c r="H1851" s="16"/>
      <c r="I1851" s="16"/>
      <c r="J1851" s="16"/>
      <c r="K1851" s="16"/>
      <c r="L1851" s="16"/>
    </row>
    <row r="1852" spans="5:12" x14ac:dyDescent="0.2">
      <c r="E1852" s="16"/>
      <c r="F1852" s="16"/>
      <c r="G1852" s="16"/>
      <c r="H1852" s="16"/>
      <c r="I1852" s="16"/>
      <c r="J1852" s="16"/>
      <c r="K1852" s="16"/>
      <c r="L1852" s="16"/>
    </row>
    <row r="1853" spans="5:12" x14ac:dyDescent="0.2">
      <c r="E1853" s="16"/>
      <c r="F1853" s="16"/>
      <c r="G1853" s="16"/>
      <c r="H1853" s="16"/>
      <c r="I1853" s="16"/>
      <c r="J1853" s="16"/>
      <c r="K1853" s="16"/>
      <c r="L1853" s="16"/>
    </row>
    <row r="1854" spans="5:12" x14ac:dyDescent="0.2">
      <c r="E1854" s="16"/>
      <c r="F1854" s="16"/>
      <c r="G1854" s="16"/>
      <c r="H1854" s="16"/>
      <c r="I1854" s="16"/>
      <c r="J1854" s="16"/>
      <c r="K1854" s="16"/>
      <c r="L1854" s="16"/>
    </row>
    <row r="1855" spans="5:12" x14ac:dyDescent="0.2">
      <c r="E1855" s="16"/>
      <c r="F1855" s="16"/>
      <c r="G1855" s="16"/>
      <c r="H1855" s="16"/>
      <c r="I1855" s="16"/>
      <c r="J1855" s="16"/>
      <c r="K1855" s="16"/>
      <c r="L1855" s="16"/>
    </row>
    <row r="1856" spans="5:12" x14ac:dyDescent="0.2">
      <c r="E1856" s="16"/>
      <c r="F1856" s="16"/>
      <c r="G1856" s="16"/>
      <c r="H1856" s="16"/>
      <c r="I1856" s="16"/>
      <c r="J1856" s="16"/>
      <c r="K1856" s="16"/>
      <c r="L1856" s="16"/>
    </row>
    <row r="1857" spans="5:12" x14ac:dyDescent="0.2">
      <c r="E1857" s="16"/>
      <c r="F1857" s="16"/>
      <c r="G1857" s="16"/>
      <c r="H1857" s="16"/>
      <c r="I1857" s="16"/>
      <c r="J1857" s="16"/>
      <c r="K1857" s="16"/>
      <c r="L1857" s="16"/>
    </row>
    <row r="1858" spans="5:12" x14ac:dyDescent="0.2">
      <c r="E1858" s="16"/>
      <c r="F1858" s="16"/>
      <c r="G1858" s="16"/>
      <c r="H1858" s="16"/>
      <c r="I1858" s="16"/>
      <c r="J1858" s="16"/>
      <c r="K1858" s="16"/>
      <c r="L1858" s="16"/>
    </row>
    <row r="1859" spans="5:12" x14ac:dyDescent="0.2">
      <c r="E1859" s="16"/>
      <c r="F1859" s="16"/>
      <c r="G1859" s="16"/>
      <c r="H1859" s="16"/>
      <c r="I1859" s="16"/>
      <c r="J1859" s="16"/>
      <c r="K1859" s="16"/>
      <c r="L1859" s="16"/>
    </row>
    <row r="1860" spans="5:12" x14ac:dyDescent="0.2">
      <c r="E1860" s="16"/>
      <c r="F1860" s="16"/>
      <c r="G1860" s="16"/>
      <c r="H1860" s="16"/>
      <c r="I1860" s="16"/>
      <c r="J1860" s="16"/>
      <c r="K1860" s="16"/>
      <c r="L1860" s="16"/>
    </row>
    <row r="1861" spans="5:12" x14ac:dyDescent="0.2">
      <c r="E1861" s="16"/>
      <c r="F1861" s="16"/>
      <c r="G1861" s="16"/>
      <c r="H1861" s="16"/>
      <c r="I1861" s="16"/>
      <c r="J1861" s="16"/>
      <c r="K1861" s="16"/>
      <c r="L1861" s="16"/>
    </row>
    <row r="1862" spans="5:12" x14ac:dyDescent="0.2">
      <c r="E1862" s="16"/>
      <c r="F1862" s="16"/>
      <c r="G1862" s="16"/>
      <c r="H1862" s="16"/>
      <c r="I1862" s="16"/>
      <c r="J1862" s="16"/>
      <c r="K1862" s="16"/>
      <c r="L1862" s="16"/>
    </row>
    <row r="1863" spans="5:12" x14ac:dyDescent="0.2">
      <c r="E1863" s="16"/>
      <c r="F1863" s="16"/>
      <c r="G1863" s="16"/>
      <c r="H1863" s="16"/>
      <c r="I1863" s="16"/>
      <c r="J1863" s="16"/>
      <c r="K1863" s="16"/>
      <c r="L1863" s="16"/>
    </row>
    <row r="1864" spans="5:12" x14ac:dyDescent="0.2">
      <c r="E1864" s="16"/>
      <c r="F1864" s="16"/>
      <c r="G1864" s="16"/>
      <c r="H1864" s="16"/>
      <c r="I1864" s="16"/>
      <c r="J1864" s="16"/>
      <c r="K1864" s="16"/>
      <c r="L1864" s="16"/>
    </row>
    <row r="1865" spans="5:12" x14ac:dyDescent="0.2">
      <c r="E1865" s="16"/>
      <c r="F1865" s="16"/>
      <c r="G1865" s="16"/>
      <c r="H1865" s="16"/>
      <c r="I1865" s="16"/>
      <c r="J1865" s="16"/>
      <c r="K1865" s="16"/>
      <c r="L1865" s="16"/>
    </row>
    <row r="1866" spans="5:12" x14ac:dyDescent="0.2">
      <c r="E1866" s="16"/>
      <c r="F1866" s="16"/>
      <c r="G1866" s="16"/>
      <c r="H1866" s="16"/>
      <c r="I1866" s="16"/>
      <c r="J1866" s="16"/>
      <c r="K1866" s="16"/>
      <c r="L1866" s="16"/>
    </row>
    <row r="1867" spans="5:12" x14ac:dyDescent="0.2">
      <c r="E1867" s="16"/>
      <c r="F1867" s="16"/>
      <c r="G1867" s="16"/>
      <c r="H1867" s="16"/>
      <c r="I1867" s="16"/>
      <c r="J1867" s="16"/>
      <c r="K1867" s="16"/>
      <c r="L1867" s="16"/>
    </row>
    <row r="1868" spans="5:12" x14ac:dyDescent="0.2">
      <c r="E1868" s="16"/>
      <c r="F1868" s="16"/>
      <c r="G1868" s="16"/>
      <c r="H1868" s="16"/>
      <c r="I1868" s="16"/>
      <c r="J1868" s="16"/>
      <c r="K1868" s="16"/>
      <c r="L1868" s="16"/>
    </row>
    <row r="1869" spans="5:12" x14ac:dyDescent="0.2">
      <c r="E1869" s="16"/>
      <c r="F1869" s="16"/>
      <c r="G1869" s="16"/>
      <c r="H1869" s="16"/>
      <c r="I1869" s="16"/>
      <c r="J1869" s="16"/>
      <c r="K1869" s="16"/>
      <c r="L1869" s="16"/>
    </row>
    <row r="1870" spans="5:12" x14ac:dyDescent="0.2">
      <c r="E1870" s="16"/>
      <c r="F1870" s="16"/>
      <c r="G1870" s="16"/>
      <c r="H1870" s="16"/>
      <c r="I1870" s="16"/>
      <c r="J1870" s="16"/>
      <c r="K1870" s="16"/>
      <c r="L1870" s="16"/>
    </row>
    <row r="1871" spans="5:12" x14ac:dyDescent="0.2">
      <c r="E1871" s="16"/>
      <c r="F1871" s="16"/>
      <c r="G1871" s="16"/>
      <c r="H1871" s="16"/>
      <c r="I1871" s="16"/>
      <c r="J1871" s="16"/>
      <c r="K1871" s="16"/>
      <c r="L1871" s="16"/>
    </row>
    <row r="1872" spans="5:12" x14ac:dyDescent="0.2">
      <c r="E1872" s="16"/>
      <c r="F1872" s="16"/>
      <c r="G1872" s="16"/>
      <c r="H1872" s="16"/>
      <c r="I1872" s="16"/>
      <c r="J1872" s="16"/>
      <c r="K1872" s="16"/>
      <c r="L1872" s="16"/>
    </row>
    <row r="1873" spans="5:12" x14ac:dyDescent="0.2">
      <c r="E1873" s="16"/>
      <c r="F1873" s="16"/>
      <c r="G1873" s="16"/>
      <c r="H1873" s="16"/>
      <c r="I1873" s="16"/>
      <c r="J1873" s="16"/>
      <c r="K1873" s="16"/>
      <c r="L1873" s="16"/>
    </row>
    <row r="1874" spans="5:12" x14ac:dyDescent="0.2">
      <c r="E1874" s="16"/>
      <c r="F1874" s="16"/>
      <c r="G1874" s="16"/>
      <c r="H1874" s="16"/>
      <c r="I1874" s="16"/>
      <c r="J1874" s="16"/>
      <c r="K1874" s="16"/>
      <c r="L1874" s="16"/>
    </row>
    <row r="1875" spans="5:12" x14ac:dyDescent="0.2">
      <c r="E1875" s="16"/>
      <c r="F1875" s="16"/>
      <c r="G1875" s="16"/>
      <c r="H1875" s="16"/>
      <c r="I1875" s="16"/>
      <c r="J1875" s="16"/>
      <c r="K1875" s="16"/>
      <c r="L1875" s="16"/>
    </row>
    <row r="1876" spans="5:12" x14ac:dyDescent="0.2">
      <c r="E1876" s="16"/>
      <c r="F1876" s="16"/>
      <c r="G1876" s="16"/>
      <c r="H1876" s="16"/>
      <c r="I1876" s="16"/>
      <c r="J1876" s="16"/>
      <c r="K1876" s="16"/>
      <c r="L1876" s="16"/>
    </row>
    <row r="1877" spans="5:12" x14ac:dyDescent="0.2">
      <c r="E1877" s="16"/>
      <c r="F1877" s="16"/>
      <c r="G1877" s="16"/>
      <c r="H1877" s="16"/>
      <c r="I1877" s="16"/>
      <c r="J1877" s="16"/>
      <c r="K1877" s="16"/>
      <c r="L1877" s="16"/>
    </row>
    <row r="1878" spans="5:12" x14ac:dyDescent="0.2">
      <c r="E1878" s="16"/>
      <c r="F1878" s="16"/>
      <c r="G1878" s="16"/>
      <c r="H1878" s="16"/>
      <c r="I1878" s="16"/>
      <c r="J1878" s="16"/>
      <c r="K1878" s="16"/>
      <c r="L1878" s="16"/>
    </row>
    <row r="1879" spans="5:12" x14ac:dyDescent="0.2">
      <c r="E1879" s="16"/>
      <c r="F1879" s="16"/>
      <c r="G1879" s="16"/>
      <c r="H1879" s="16"/>
      <c r="I1879" s="16"/>
      <c r="J1879" s="16"/>
      <c r="K1879" s="16"/>
      <c r="L1879" s="16"/>
    </row>
    <row r="1880" spans="5:12" x14ac:dyDescent="0.2">
      <c r="E1880" s="16"/>
      <c r="F1880" s="16"/>
      <c r="G1880" s="16"/>
      <c r="H1880" s="16"/>
      <c r="I1880" s="16"/>
      <c r="J1880" s="16"/>
      <c r="K1880" s="16"/>
      <c r="L1880" s="16"/>
    </row>
    <row r="1881" spans="5:12" x14ac:dyDescent="0.2">
      <c r="E1881" s="16"/>
      <c r="F1881" s="16"/>
      <c r="G1881" s="16"/>
      <c r="H1881" s="16"/>
      <c r="I1881" s="16"/>
      <c r="J1881" s="16"/>
      <c r="K1881" s="16"/>
      <c r="L1881" s="16"/>
    </row>
    <row r="1882" spans="5:12" x14ac:dyDescent="0.2">
      <c r="E1882" s="16"/>
      <c r="F1882" s="16"/>
      <c r="G1882" s="16"/>
      <c r="H1882" s="16"/>
      <c r="I1882" s="16"/>
      <c r="J1882" s="16"/>
      <c r="K1882" s="16"/>
      <c r="L1882" s="16"/>
    </row>
    <row r="1883" spans="5:12" x14ac:dyDescent="0.2">
      <c r="E1883" s="16"/>
      <c r="F1883" s="16"/>
      <c r="G1883" s="16"/>
      <c r="H1883" s="16"/>
      <c r="I1883" s="16"/>
      <c r="J1883" s="16"/>
      <c r="K1883" s="16"/>
      <c r="L1883" s="16"/>
    </row>
    <row r="1884" spans="5:12" x14ac:dyDescent="0.2">
      <c r="E1884" s="16"/>
      <c r="F1884" s="16"/>
      <c r="G1884" s="16"/>
      <c r="H1884" s="16"/>
      <c r="I1884" s="16"/>
      <c r="J1884" s="16"/>
      <c r="K1884" s="16"/>
      <c r="L1884" s="16"/>
    </row>
    <row r="1885" spans="5:12" x14ac:dyDescent="0.2">
      <c r="E1885" s="16"/>
      <c r="F1885" s="16"/>
      <c r="G1885" s="16"/>
      <c r="H1885" s="16"/>
      <c r="I1885" s="16"/>
      <c r="J1885" s="16"/>
      <c r="K1885" s="16"/>
      <c r="L1885" s="16"/>
    </row>
    <row r="1886" spans="5:12" x14ac:dyDescent="0.2">
      <c r="E1886" s="16"/>
      <c r="F1886" s="16"/>
      <c r="G1886" s="16"/>
      <c r="H1886" s="16"/>
      <c r="I1886" s="16"/>
      <c r="J1886" s="16"/>
      <c r="K1886" s="16"/>
      <c r="L1886" s="16"/>
    </row>
    <row r="1887" spans="5:12" x14ac:dyDescent="0.2">
      <c r="E1887" s="16"/>
      <c r="F1887" s="16"/>
      <c r="G1887" s="16"/>
      <c r="H1887" s="16"/>
      <c r="I1887" s="16"/>
      <c r="J1887" s="16"/>
      <c r="K1887" s="16"/>
      <c r="L1887" s="16"/>
    </row>
    <row r="1888" spans="5:12" x14ac:dyDescent="0.2">
      <c r="E1888" s="16"/>
      <c r="F1888" s="16"/>
      <c r="G1888" s="16"/>
      <c r="H1888" s="16"/>
      <c r="I1888" s="16"/>
      <c r="J1888" s="16"/>
      <c r="K1888" s="16"/>
      <c r="L1888" s="16"/>
    </row>
    <row r="1889" spans="5:12" x14ac:dyDescent="0.2">
      <c r="E1889" s="16"/>
      <c r="F1889" s="16"/>
      <c r="G1889" s="16"/>
      <c r="H1889" s="16"/>
      <c r="I1889" s="16"/>
      <c r="J1889" s="16"/>
      <c r="K1889" s="16"/>
      <c r="L1889" s="16"/>
    </row>
    <row r="1890" spans="5:12" x14ac:dyDescent="0.2">
      <c r="E1890" s="16"/>
      <c r="F1890" s="16"/>
      <c r="G1890" s="16"/>
      <c r="H1890" s="16"/>
      <c r="I1890" s="16"/>
      <c r="J1890" s="16"/>
      <c r="K1890" s="16"/>
      <c r="L1890" s="16"/>
    </row>
    <row r="1891" spans="5:12" x14ac:dyDescent="0.2">
      <c r="E1891" s="16"/>
      <c r="F1891" s="16"/>
      <c r="G1891" s="16"/>
      <c r="H1891" s="16"/>
      <c r="I1891" s="16"/>
      <c r="J1891" s="16"/>
      <c r="K1891" s="16"/>
      <c r="L1891" s="16"/>
    </row>
    <row r="1892" spans="5:12" x14ac:dyDescent="0.2">
      <c r="E1892" s="16"/>
      <c r="F1892" s="16"/>
      <c r="G1892" s="16"/>
      <c r="H1892" s="16"/>
      <c r="I1892" s="16"/>
      <c r="J1892" s="16"/>
      <c r="K1892" s="16"/>
      <c r="L1892" s="16"/>
    </row>
    <row r="1893" spans="5:12" x14ac:dyDescent="0.2">
      <c r="E1893" s="16"/>
      <c r="F1893" s="16"/>
      <c r="G1893" s="16"/>
      <c r="H1893" s="16"/>
      <c r="I1893" s="16"/>
      <c r="J1893" s="16"/>
      <c r="K1893" s="16"/>
      <c r="L1893" s="16"/>
    </row>
    <row r="1894" spans="5:12" x14ac:dyDescent="0.2">
      <c r="E1894" s="16"/>
      <c r="F1894" s="16"/>
      <c r="G1894" s="16"/>
      <c r="H1894" s="16"/>
      <c r="I1894" s="16"/>
      <c r="J1894" s="16"/>
      <c r="K1894" s="16"/>
      <c r="L1894" s="16"/>
    </row>
    <row r="1895" spans="5:12" x14ac:dyDescent="0.2">
      <c r="E1895" s="16"/>
      <c r="F1895" s="16"/>
      <c r="G1895" s="16"/>
      <c r="H1895" s="16"/>
      <c r="I1895" s="16"/>
      <c r="J1895" s="16"/>
      <c r="K1895" s="16"/>
      <c r="L1895" s="16"/>
    </row>
    <row r="1896" spans="5:12" x14ac:dyDescent="0.2">
      <c r="E1896" s="16"/>
      <c r="F1896" s="16"/>
      <c r="G1896" s="16"/>
      <c r="H1896" s="16"/>
      <c r="I1896" s="16"/>
      <c r="J1896" s="16"/>
      <c r="K1896" s="16"/>
      <c r="L1896" s="16"/>
    </row>
    <row r="1897" spans="5:12" x14ac:dyDescent="0.2">
      <c r="E1897" s="16"/>
      <c r="F1897" s="16"/>
      <c r="G1897" s="16"/>
      <c r="H1897" s="16"/>
      <c r="I1897" s="16"/>
      <c r="J1897" s="16"/>
      <c r="K1897" s="16"/>
      <c r="L1897" s="16"/>
    </row>
    <row r="1898" spans="5:12" x14ac:dyDescent="0.2">
      <c r="E1898" s="16"/>
      <c r="F1898" s="16"/>
      <c r="G1898" s="16"/>
      <c r="H1898" s="16"/>
      <c r="I1898" s="16"/>
      <c r="J1898" s="16"/>
      <c r="K1898" s="16"/>
      <c r="L1898" s="16"/>
    </row>
    <row r="1899" spans="5:12" x14ac:dyDescent="0.2">
      <c r="E1899" s="16"/>
      <c r="F1899" s="16"/>
      <c r="G1899" s="16"/>
      <c r="H1899" s="16"/>
      <c r="I1899" s="16"/>
      <c r="J1899" s="16"/>
      <c r="K1899" s="16"/>
      <c r="L1899" s="16"/>
    </row>
    <row r="1900" spans="5:12" x14ac:dyDescent="0.2">
      <c r="E1900" s="16"/>
      <c r="F1900" s="16"/>
      <c r="G1900" s="16"/>
      <c r="H1900" s="16"/>
      <c r="I1900" s="16"/>
      <c r="J1900" s="16"/>
      <c r="K1900" s="16"/>
      <c r="L1900" s="16"/>
    </row>
    <row r="1901" spans="5:12" x14ac:dyDescent="0.2">
      <c r="E1901" s="16"/>
      <c r="F1901" s="16"/>
      <c r="G1901" s="16"/>
      <c r="H1901" s="16"/>
      <c r="I1901" s="16"/>
      <c r="J1901" s="16"/>
      <c r="K1901" s="16"/>
      <c r="L1901" s="16"/>
    </row>
    <row r="1902" spans="5:12" x14ac:dyDescent="0.2">
      <c r="E1902" s="16"/>
      <c r="F1902" s="16"/>
      <c r="G1902" s="16"/>
      <c r="H1902" s="16"/>
      <c r="I1902" s="16"/>
      <c r="J1902" s="16"/>
      <c r="K1902" s="16"/>
      <c r="L1902" s="16"/>
    </row>
    <row r="1903" spans="5:12" x14ac:dyDescent="0.2">
      <c r="E1903" s="16"/>
      <c r="F1903" s="16"/>
      <c r="G1903" s="16"/>
      <c r="H1903" s="16"/>
      <c r="I1903" s="16"/>
      <c r="J1903" s="16"/>
      <c r="K1903" s="16"/>
      <c r="L1903" s="16"/>
    </row>
    <row r="1904" spans="5:12" x14ac:dyDescent="0.2">
      <c r="E1904" s="16"/>
      <c r="F1904" s="16"/>
      <c r="G1904" s="16"/>
      <c r="H1904" s="16"/>
      <c r="I1904" s="16"/>
      <c r="J1904" s="16"/>
      <c r="K1904" s="16"/>
      <c r="L1904" s="16"/>
    </row>
    <row r="1905" spans="5:12" x14ac:dyDescent="0.2">
      <c r="E1905" s="16"/>
      <c r="F1905" s="16"/>
      <c r="G1905" s="16"/>
      <c r="H1905" s="16"/>
      <c r="I1905" s="16"/>
      <c r="J1905" s="16"/>
      <c r="K1905" s="16"/>
      <c r="L1905" s="16"/>
    </row>
    <row r="1906" spans="5:12" x14ac:dyDescent="0.2">
      <c r="E1906" s="16"/>
      <c r="F1906" s="16"/>
      <c r="G1906" s="16"/>
      <c r="H1906" s="16"/>
      <c r="I1906" s="16"/>
      <c r="J1906" s="16"/>
      <c r="K1906" s="16"/>
      <c r="L1906" s="16"/>
    </row>
    <row r="1907" spans="5:12" x14ac:dyDescent="0.2">
      <c r="E1907" s="16"/>
      <c r="F1907" s="16"/>
      <c r="G1907" s="16"/>
      <c r="H1907" s="16"/>
      <c r="I1907" s="16"/>
      <c r="J1907" s="16"/>
      <c r="K1907" s="16"/>
      <c r="L1907" s="16"/>
    </row>
    <row r="1908" spans="5:12" x14ac:dyDescent="0.2">
      <c r="E1908" s="16"/>
      <c r="F1908" s="16"/>
      <c r="G1908" s="16"/>
      <c r="H1908" s="16"/>
      <c r="I1908" s="16"/>
      <c r="J1908" s="16"/>
      <c r="K1908" s="16"/>
      <c r="L1908" s="16"/>
    </row>
    <row r="1909" spans="5:12" x14ac:dyDescent="0.2">
      <c r="E1909" s="16"/>
      <c r="F1909" s="16"/>
      <c r="G1909" s="16"/>
      <c r="H1909" s="16"/>
      <c r="I1909" s="16"/>
      <c r="J1909" s="16"/>
      <c r="K1909" s="16"/>
      <c r="L1909" s="16"/>
    </row>
    <row r="1910" spans="5:12" x14ac:dyDescent="0.2">
      <c r="E1910" s="16"/>
      <c r="F1910" s="16"/>
      <c r="G1910" s="16"/>
      <c r="H1910" s="16"/>
      <c r="I1910" s="16"/>
      <c r="J1910" s="16"/>
      <c r="K1910" s="16"/>
      <c r="L1910" s="16"/>
    </row>
    <row r="1911" spans="5:12" x14ac:dyDescent="0.2">
      <c r="E1911" s="16"/>
      <c r="F1911" s="16"/>
      <c r="G1911" s="16"/>
      <c r="H1911" s="16"/>
      <c r="I1911" s="16"/>
      <c r="J1911" s="16"/>
      <c r="K1911" s="16"/>
      <c r="L1911" s="16"/>
    </row>
    <row r="1912" spans="5:12" x14ac:dyDescent="0.2">
      <c r="E1912" s="16"/>
      <c r="F1912" s="16"/>
      <c r="G1912" s="16"/>
      <c r="H1912" s="16"/>
      <c r="I1912" s="16"/>
      <c r="J1912" s="16"/>
      <c r="K1912" s="16"/>
      <c r="L1912" s="16"/>
    </row>
    <row r="1913" spans="5:12" x14ac:dyDescent="0.2">
      <c r="E1913" s="16"/>
      <c r="F1913" s="16"/>
      <c r="G1913" s="16"/>
      <c r="H1913" s="16"/>
      <c r="I1913" s="16"/>
      <c r="J1913" s="16"/>
      <c r="K1913" s="16"/>
      <c r="L1913" s="16"/>
    </row>
    <row r="1914" spans="5:12" x14ac:dyDescent="0.2">
      <c r="E1914" s="16"/>
      <c r="F1914" s="16"/>
      <c r="G1914" s="16"/>
      <c r="H1914" s="16"/>
      <c r="I1914" s="16"/>
      <c r="J1914" s="16"/>
      <c r="K1914" s="16"/>
      <c r="L1914" s="16"/>
    </row>
    <row r="1915" spans="5:12" x14ac:dyDescent="0.2">
      <c r="E1915" s="16"/>
      <c r="F1915" s="16"/>
      <c r="G1915" s="16"/>
      <c r="H1915" s="16"/>
      <c r="I1915" s="16"/>
      <c r="J1915" s="16"/>
      <c r="K1915" s="16"/>
      <c r="L1915" s="16"/>
    </row>
    <row r="1916" spans="5:12" x14ac:dyDescent="0.2">
      <c r="E1916" s="16"/>
      <c r="F1916" s="16"/>
      <c r="G1916" s="16"/>
      <c r="H1916" s="16"/>
      <c r="I1916" s="16"/>
      <c r="J1916" s="16"/>
      <c r="K1916" s="16"/>
      <c r="L1916" s="16"/>
    </row>
    <row r="1917" spans="5:12" x14ac:dyDescent="0.2">
      <c r="E1917" s="16"/>
      <c r="F1917" s="16"/>
      <c r="G1917" s="16"/>
      <c r="H1917" s="16"/>
      <c r="I1917" s="16"/>
      <c r="J1917" s="16"/>
      <c r="K1917" s="16"/>
      <c r="L1917" s="16"/>
    </row>
    <row r="1918" spans="5:12" x14ac:dyDescent="0.2">
      <c r="E1918" s="16"/>
      <c r="F1918" s="16"/>
      <c r="G1918" s="16"/>
      <c r="H1918" s="16"/>
      <c r="I1918" s="16"/>
      <c r="J1918" s="16"/>
      <c r="K1918" s="16"/>
      <c r="L1918" s="16"/>
    </row>
    <row r="1919" spans="5:12" x14ac:dyDescent="0.2">
      <c r="E1919" s="16"/>
      <c r="F1919" s="16"/>
      <c r="G1919" s="16"/>
      <c r="H1919" s="16"/>
      <c r="I1919" s="16"/>
      <c r="J1919" s="16"/>
      <c r="K1919" s="16"/>
      <c r="L1919" s="16"/>
    </row>
    <row r="1920" spans="5:12" x14ac:dyDescent="0.2">
      <c r="E1920" s="16"/>
      <c r="F1920" s="16"/>
      <c r="G1920" s="16"/>
      <c r="H1920" s="16"/>
      <c r="I1920" s="16"/>
      <c r="J1920" s="16"/>
      <c r="K1920" s="16"/>
      <c r="L1920" s="16"/>
    </row>
    <row r="1921" spans="5:12" x14ac:dyDescent="0.2">
      <c r="E1921" s="16"/>
      <c r="F1921" s="16"/>
      <c r="G1921" s="16"/>
      <c r="H1921" s="16"/>
      <c r="I1921" s="16"/>
      <c r="J1921" s="16"/>
      <c r="K1921" s="16"/>
      <c r="L1921" s="16"/>
    </row>
    <row r="1922" spans="5:12" x14ac:dyDescent="0.2">
      <c r="E1922" s="16"/>
      <c r="F1922" s="16"/>
      <c r="G1922" s="16"/>
      <c r="H1922" s="16"/>
      <c r="I1922" s="16"/>
      <c r="J1922" s="16"/>
      <c r="K1922" s="16"/>
      <c r="L1922" s="16"/>
    </row>
    <row r="1923" spans="5:12" x14ac:dyDescent="0.2">
      <c r="E1923" s="16"/>
      <c r="F1923" s="16"/>
      <c r="G1923" s="16"/>
      <c r="H1923" s="16"/>
      <c r="I1923" s="16"/>
      <c r="J1923" s="16"/>
      <c r="K1923" s="16"/>
      <c r="L1923" s="16"/>
    </row>
    <row r="1924" spans="5:12" x14ac:dyDescent="0.2">
      <c r="E1924" s="16"/>
      <c r="F1924" s="16"/>
      <c r="G1924" s="16"/>
      <c r="H1924" s="16"/>
      <c r="I1924" s="16"/>
      <c r="J1924" s="16"/>
      <c r="K1924" s="16"/>
      <c r="L1924" s="16"/>
    </row>
    <row r="1925" spans="5:12" x14ac:dyDescent="0.2">
      <c r="E1925" s="16"/>
      <c r="F1925" s="16"/>
      <c r="G1925" s="16"/>
      <c r="H1925" s="16"/>
      <c r="I1925" s="16"/>
      <c r="J1925" s="16"/>
      <c r="K1925" s="16"/>
      <c r="L1925" s="16"/>
    </row>
    <row r="1926" spans="5:12" x14ac:dyDescent="0.2">
      <c r="E1926" s="16"/>
      <c r="F1926" s="16"/>
      <c r="G1926" s="16"/>
      <c r="H1926" s="16"/>
      <c r="I1926" s="16"/>
      <c r="J1926" s="16"/>
      <c r="K1926" s="16"/>
      <c r="L1926" s="16"/>
    </row>
    <row r="1927" spans="5:12" x14ac:dyDescent="0.2">
      <c r="E1927" s="16"/>
      <c r="F1927" s="16"/>
      <c r="G1927" s="16"/>
      <c r="H1927" s="16"/>
      <c r="I1927" s="16"/>
      <c r="J1927" s="16"/>
      <c r="K1927" s="16"/>
      <c r="L1927" s="16"/>
    </row>
    <row r="1928" spans="5:12" x14ac:dyDescent="0.2">
      <c r="E1928" s="16"/>
      <c r="F1928" s="16"/>
      <c r="G1928" s="16"/>
      <c r="H1928" s="16"/>
      <c r="I1928" s="16"/>
      <c r="J1928" s="16"/>
      <c r="K1928" s="16"/>
      <c r="L1928" s="16"/>
    </row>
    <row r="1929" spans="5:12" x14ac:dyDescent="0.2">
      <c r="E1929" s="16"/>
      <c r="F1929" s="16"/>
      <c r="G1929" s="16"/>
      <c r="H1929" s="16"/>
      <c r="I1929" s="16"/>
      <c r="J1929" s="16"/>
      <c r="K1929" s="16"/>
      <c r="L1929" s="16"/>
    </row>
    <row r="1930" spans="5:12" x14ac:dyDescent="0.2">
      <c r="E1930" s="16"/>
      <c r="F1930" s="16"/>
      <c r="G1930" s="16"/>
      <c r="H1930" s="16"/>
      <c r="I1930" s="16"/>
      <c r="J1930" s="16"/>
      <c r="K1930" s="16"/>
      <c r="L1930" s="16"/>
    </row>
    <row r="1931" spans="5:12" x14ac:dyDescent="0.2">
      <c r="E1931" s="16"/>
      <c r="F1931" s="16"/>
      <c r="G1931" s="16"/>
      <c r="H1931" s="16"/>
      <c r="I1931" s="16"/>
      <c r="J1931" s="16"/>
      <c r="K1931" s="16"/>
      <c r="L1931" s="16"/>
    </row>
    <row r="1932" spans="5:12" x14ac:dyDescent="0.2">
      <c r="E1932" s="16"/>
      <c r="F1932" s="16"/>
      <c r="G1932" s="16"/>
      <c r="H1932" s="16"/>
      <c r="I1932" s="16"/>
      <c r="J1932" s="16"/>
      <c r="K1932" s="16"/>
      <c r="L1932" s="16"/>
    </row>
    <row r="1933" spans="5:12" x14ac:dyDescent="0.2">
      <c r="E1933" s="16"/>
      <c r="F1933" s="16"/>
      <c r="G1933" s="16"/>
      <c r="H1933" s="16"/>
      <c r="I1933" s="16"/>
      <c r="J1933" s="16"/>
      <c r="K1933" s="16"/>
      <c r="L1933" s="16"/>
    </row>
    <row r="1934" spans="5:12" x14ac:dyDescent="0.2">
      <c r="E1934" s="16"/>
      <c r="F1934" s="16"/>
      <c r="G1934" s="16"/>
      <c r="H1934" s="16"/>
      <c r="I1934" s="16"/>
      <c r="J1934" s="16"/>
      <c r="K1934" s="16"/>
      <c r="L1934" s="16"/>
    </row>
    <row r="1935" spans="5:12" x14ac:dyDescent="0.2">
      <c r="E1935" s="16"/>
      <c r="F1935" s="16"/>
      <c r="G1935" s="16"/>
      <c r="H1935" s="16"/>
      <c r="I1935" s="16"/>
      <c r="J1935" s="16"/>
      <c r="K1935" s="16"/>
      <c r="L1935" s="16"/>
    </row>
    <row r="1936" spans="5:12" x14ac:dyDescent="0.2">
      <c r="E1936" s="16"/>
      <c r="F1936" s="16"/>
      <c r="G1936" s="16"/>
      <c r="H1936" s="16"/>
      <c r="I1936" s="16"/>
      <c r="J1936" s="16"/>
      <c r="K1936" s="16"/>
      <c r="L1936" s="16"/>
    </row>
    <row r="1937" spans="5:12" x14ac:dyDescent="0.2">
      <c r="E1937" s="16"/>
      <c r="F1937" s="16"/>
      <c r="G1937" s="16"/>
      <c r="H1937" s="16"/>
      <c r="I1937" s="16"/>
      <c r="J1937" s="16"/>
      <c r="K1937" s="16"/>
      <c r="L1937" s="16"/>
    </row>
    <row r="1938" spans="5:12" x14ac:dyDescent="0.2">
      <c r="E1938" s="16"/>
      <c r="F1938" s="16"/>
      <c r="G1938" s="16"/>
      <c r="H1938" s="16"/>
      <c r="I1938" s="16"/>
      <c r="J1938" s="16"/>
      <c r="K1938" s="16"/>
      <c r="L1938" s="16"/>
    </row>
    <row r="1939" spans="5:12" x14ac:dyDescent="0.2">
      <c r="E1939" s="16"/>
      <c r="F1939" s="16"/>
      <c r="G1939" s="16"/>
      <c r="H1939" s="16"/>
      <c r="I1939" s="16"/>
      <c r="J1939" s="16"/>
      <c r="K1939" s="16"/>
      <c r="L1939" s="16"/>
    </row>
    <row r="1940" spans="5:12" x14ac:dyDescent="0.2">
      <c r="E1940" s="16"/>
      <c r="F1940" s="16"/>
      <c r="G1940" s="16"/>
      <c r="H1940" s="16"/>
      <c r="I1940" s="16"/>
      <c r="J1940" s="16"/>
      <c r="K1940" s="16"/>
      <c r="L1940" s="16"/>
    </row>
    <row r="1941" spans="5:12" x14ac:dyDescent="0.2">
      <c r="E1941" s="16"/>
      <c r="F1941" s="16"/>
      <c r="G1941" s="16"/>
      <c r="H1941" s="16"/>
      <c r="I1941" s="16"/>
      <c r="J1941" s="16"/>
      <c r="K1941" s="16"/>
      <c r="L1941" s="16"/>
    </row>
    <row r="1942" spans="5:12" x14ac:dyDescent="0.2">
      <c r="E1942" s="16"/>
      <c r="F1942" s="16"/>
      <c r="G1942" s="16"/>
      <c r="H1942" s="16"/>
      <c r="I1942" s="16"/>
      <c r="J1942" s="16"/>
      <c r="K1942" s="16"/>
      <c r="L1942" s="16"/>
    </row>
    <row r="1943" spans="5:12" x14ac:dyDescent="0.2">
      <c r="E1943" s="16"/>
      <c r="F1943" s="16"/>
      <c r="G1943" s="16"/>
      <c r="H1943" s="16"/>
      <c r="I1943" s="16"/>
      <c r="J1943" s="16"/>
      <c r="K1943" s="16"/>
      <c r="L1943" s="16"/>
    </row>
    <row r="1944" spans="5:12" x14ac:dyDescent="0.2">
      <c r="E1944" s="16"/>
      <c r="F1944" s="16"/>
      <c r="G1944" s="16"/>
      <c r="H1944" s="16"/>
      <c r="I1944" s="16"/>
      <c r="J1944" s="16"/>
      <c r="K1944" s="16"/>
      <c r="L1944" s="16"/>
    </row>
    <row r="1945" spans="5:12" x14ac:dyDescent="0.2">
      <c r="E1945" s="16"/>
      <c r="F1945" s="16"/>
      <c r="G1945" s="16"/>
      <c r="H1945" s="16"/>
      <c r="I1945" s="16"/>
      <c r="J1945" s="16"/>
      <c r="K1945" s="16"/>
      <c r="L1945" s="16"/>
    </row>
    <row r="1946" spans="5:12" x14ac:dyDescent="0.2">
      <c r="E1946" s="16"/>
      <c r="F1946" s="16"/>
      <c r="G1946" s="16"/>
      <c r="H1946" s="16"/>
      <c r="I1946" s="16"/>
      <c r="J1946" s="16"/>
      <c r="K1946" s="16"/>
      <c r="L1946" s="16"/>
    </row>
    <row r="1947" spans="5:12" x14ac:dyDescent="0.2">
      <c r="E1947" s="16"/>
      <c r="F1947" s="16"/>
      <c r="G1947" s="16"/>
      <c r="H1947" s="16"/>
      <c r="I1947" s="16"/>
      <c r="J1947" s="16"/>
      <c r="K1947" s="16"/>
      <c r="L1947" s="16"/>
    </row>
    <row r="1948" spans="5:12" x14ac:dyDescent="0.2">
      <c r="E1948" s="16"/>
      <c r="F1948" s="16"/>
      <c r="G1948" s="16"/>
      <c r="H1948" s="16"/>
      <c r="I1948" s="16"/>
      <c r="J1948" s="16"/>
      <c r="K1948" s="16"/>
      <c r="L1948" s="16"/>
    </row>
    <row r="1949" spans="5:12" x14ac:dyDescent="0.2">
      <c r="E1949" s="16"/>
      <c r="F1949" s="16"/>
      <c r="G1949" s="16"/>
      <c r="H1949" s="16"/>
      <c r="I1949" s="16"/>
      <c r="J1949" s="16"/>
      <c r="K1949" s="16"/>
      <c r="L1949" s="16"/>
    </row>
    <row r="1950" spans="5:12" x14ac:dyDescent="0.2">
      <c r="E1950" s="16"/>
      <c r="F1950" s="16"/>
      <c r="G1950" s="16"/>
      <c r="H1950" s="16"/>
      <c r="I1950" s="16"/>
      <c r="J1950" s="16"/>
      <c r="K1950" s="16"/>
      <c r="L1950" s="16"/>
    </row>
    <row r="1951" spans="5:12" x14ac:dyDescent="0.2">
      <c r="E1951" s="16"/>
      <c r="F1951" s="16"/>
      <c r="G1951" s="16"/>
      <c r="H1951" s="16"/>
      <c r="I1951" s="16"/>
      <c r="J1951" s="16"/>
      <c r="K1951" s="16"/>
      <c r="L1951" s="16"/>
    </row>
    <row r="1952" spans="5:12" x14ac:dyDescent="0.2">
      <c r="E1952" s="16"/>
      <c r="F1952" s="16"/>
      <c r="G1952" s="16"/>
      <c r="H1952" s="16"/>
      <c r="I1952" s="16"/>
      <c r="J1952" s="16"/>
      <c r="K1952" s="16"/>
      <c r="L1952" s="16"/>
    </row>
    <row r="1953" spans="5:12" x14ac:dyDescent="0.2">
      <c r="E1953" s="16"/>
      <c r="F1953" s="16"/>
      <c r="G1953" s="16"/>
      <c r="H1953" s="16"/>
      <c r="I1953" s="16"/>
      <c r="J1953" s="16"/>
      <c r="K1953" s="16"/>
      <c r="L1953" s="16"/>
    </row>
    <row r="1954" spans="5:12" x14ac:dyDescent="0.2">
      <c r="E1954" s="16"/>
      <c r="F1954" s="16"/>
      <c r="G1954" s="16"/>
      <c r="H1954" s="16"/>
      <c r="I1954" s="16"/>
      <c r="J1954" s="16"/>
      <c r="K1954" s="16"/>
      <c r="L1954" s="16"/>
    </row>
    <row r="1955" spans="5:12" x14ac:dyDescent="0.2">
      <c r="E1955" s="16"/>
      <c r="F1955" s="16"/>
      <c r="G1955" s="16"/>
      <c r="H1955" s="16"/>
      <c r="I1955" s="16"/>
      <c r="J1955" s="16"/>
      <c r="K1955" s="16"/>
      <c r="L1955" s="16"/>
    </row>
    <row r="1956" spans="5:12" x14ac:dyDescent="0.2">
      <c r="E1956" s="16"/>
      <c r="F1956" s="16"/>
      <c r="G1956" s="16"/>
      <c r="H1956" s="16"/>
      <c r="I1956" s="16"/>
      <c r="J1956" s="16"/>
      <c r="K1956" s="16"/>
      <c r="L1956" s="16"/>
    </row>
    <row r="1957" spans="5:12" x14ac:dyDescent="0.2">
      <c r="E1957" s="16"/>
      <c r="F1957" s="16"/>
      <c r="G1957" s="16"/>
      <c r="H1957" s="16"/>
      <c r="I1957" s="16"/>
      <c r="J1957" s="16"/>
      <c r="K1957" s="16"/>
      <c r="L1957" s="16"/>
    </row>
    <row r="1958" spans="5:12" x14ac:dyDescent="0.2">
      <c r="E1958" s="16"/>
      <c r="F1958" s="16"/>
      <c r="G1958" s="16"/>
      <c r="H1958" s="16"/>
      <c r="I1958" s="16"/>
      <c r="J1958" s="16"/>
      <c r="K1958" s="16"/>
      <c r="L1958" s="16"/>
    </row>
    <row r="1959" spans="5:12" x14ac:dyDescent="0.2">
      <c r="E1959" s="16"/>
      <c r="F1959" s="16"/>
      <c r="G1959" s="16"/>
      <c r="H1959" s="16"/>
      <c r="I1959" s="16"/>
      <c r="J1959" s="16"/>
      <c r="K1959" s="16"/>
      <c r="L1959" s="16"/>
    </row>
    <row r="1960" spans="5:12" x14ac:dyDescent="0.2">
      <c r="E1960" s="16"/>
      <c r="F1960" s="16"/>
      <c r="G1960" s="16"/>
      <c r="H1960" s="16"/>
      <c r="I1960" s="16"/>
      <c r="J1960" s="16"/>
      <c r="K1960" s="16"/>
      <c r="L1960" s="16"/>
    </row>
    <row r="1961" spans="5:12" x14ac:dyDescent="0.2">
      <c r="E1961" s="16"/>
      <c r="F1961" s="16"/>
      <c r="G1961" s="16"/>
      <c r="H1961" s="16"/>
      <c r="I1961" s="16"/>
      <c r="J1961" s="16"/>
      <c r="K1961" s="16"/>
      <c r="L1961" s="16"/>
    </row>
    <row r="1962" spans="5:12" x14ac:dyDescent="0.2">
      <c r="E1962" s="16"/>
      <c r="F1962" s="16"/>
      <c r="G1962" s="16"/>
      <c r="H1962" s="16"/>
      <c r="I1962" s="16"/>
      <c r="J1962" s="16"/>
      <c r="K1962" s="16"/>
      <c r="L1962" s="16"/>
    </row>
    <row r="1963" spans="5:12" x14ac:dyDescent="0.2">
      <c r="E1963" s="16"/>
      <c r="F1963" s="16"/>
      <c r="G1963" s="16"/>
      <c r="H1963" s="16"/>
      <c r="I1963" s="16"/>
      <c r="J1963" s="16"/>
      <c r="K1963" s="16"/>
      <c r="L1963" s="16"/>
    </row>
    <row r="1964" spans="5:12" x14ac:dyDescent="0.2">
      <c r="E1964" s="16"/>
      <c r="F1964" s="16"/>
      <c r="G1964" s="16"/>
      <c r="H1964" s="16"/>
      <c r="I1964" s="16"/>
      <c r="J1964" s="16"/>
      <c r="K1964" s="16"/>
      <c r="L1964" s="16"/>
    </row>
    <row r="1965" spans="5:12" x14ac:dyDescent="0.2">
      <c r="E1965" s="16"/>
      <c r="F1965" s="16"/>
      <c r="G1965" s="16"/>
      <c r="H1965" s="16"/>
      <c r="I1965" s="16"/>
      <c r="J1965" s="16"/>
      <c r="K1965" s="16"/>
      <c r="L1965" s="16"/>
    </row>
    <row r="1966" spans="5:12" x14ac:dyDescent="0.2">
      <c r="E1966" s="16"/>
      <c r="F1966" s="16"/>
      <c r="G1966" s="16"/>
      <c r="H1966" s="16"/>
      <c r="I1966" s="16"/>
      <c r="J1966" s="16"/>
      <c r="K1966" s="16"/>
      <c r="L1966" s="16"/>
    </row>
    <row r="1967" spans="5:12" x14ac:dyDescent="0.2">
      <c r="E1967" s="16"/>
      <c r="F1967" s="16"/>
      <c r="G1967" s="16"/>
      <c r="H1967" s="16"/>
      <c r="I1967" s="16"/>
      <c r="J1967" s="16"/>
      <c r="K1967" s="16"/>
      <c r="L1967" s="16"/>
    </row>
    <row r="1968" spans="5:12" x14ac:dyDescent="0.2">
      <c r="E1968" s="16"/>
      <c r="F1968" s="16"/>
      <c r="G1968" s="16"/>
      <c r="H1968" s="16"/>
      <c r="I1968" s="16"/>
      <c r="J1968" s="16"/>
      <c r="K1968" s="16"/>
      <c r="L1968" s="16"/>
    </row>
    <row r="1969" spans="5:12" x14ac:dyDescent="0.2">
      <c r="E1969" s="16"/>
      <c r="F1969" s="16"/>
      <c r="G1969" s="16"/>
      <c r="H1969" s="16"/>
      <c r="I1969" s="16"/>
      <c r="J1969" s="16"/>
      <c r="K1969" s="16"/>
      <c r="L1969" s="16"/>
    </row>
    <row r="1970" spans="5:12" x14ac:dyDescent="0.2">
      <c r="E1970" s="16"/>
      <c r="F1970" s="16"/>
      <c r="G1970" s="16"/>
      <c r="H1970" s="16"/>
      <c r="I1970" s="16"/>
      <c r="J1970" s="16"/>
      <c r="K1970" s="16"/>
      <c r="L1970" s="16"/>
    </row>
    <row r="1971" spans="5:12" x14ac:dyDescent="0.2">
      <c r="E1971" s="16"/>
      <c r="F1971" s="16"/>
      <c r="G1971" s="16"/>
      <c r="H1971" s="16"/>
      <c r="I1971" s="16"/>
      <c r="J1971" s="16"/>
      <c r="K1971" s="16"/>
      <c r="L1971" s="16"/>
    </row>
    <row r="1972" spans="5:12" x14ac:dyDescent="0.2">
      <c r="E1972" s="16"/>
      <c r="F1972" s="16"/>
      <c r="G1972" s="16"/>
      <c r="H1972" s="16"/>
      <c r="I1972" s="16"/>
      <c r="J1972" s="16"/>
      <c r="K1972" s="16"/>
      <c r="L1972" s="16"/>
    </row>
    <row r="1973" spans="5:12" x14ac:dyDescent="0.2">
      <c r="E1973" s="16"/>
      <c r="F1973" s="16"/>
      <c r="G1973" s="16"/>
      <c r="H1973" s="16"/>
      <c r="I1973" s="16"/>
      <c r="J1973" s="16"/>
      <c r="K1973" s="16"/>
      <c r="L1973" s="16"/>
    </row>
    <row r="1974" spans="5:12" x14ac:dyDescent="0.2">
      <c r="E1974" s="16"/>
      <c r="F1974" s="16"/>
      <c r="G1974" s="16"/>
      <c r="H1974" s="16"/>
      <c r="I1974" s="16"/>
      <c r="J1974" s="16"/>
      <c r="K1974" s="16"/>
      <c r="L1974" s="16"/>
    </row>
    <row r="1975" spans="5:12" x14ac:dyDescent="0.2">
      <c r="E1975" s="16"/>
      <c r="F1975" s="16"/>
      <c r="G1975" s="16"/>
      <c r="H1975" s="16"/>
      <c r="I1975" s="16"/>
      <c r="J1975" s="16"/>
      <c r="K1975" s="16"/>
      <c r="L1975" s="16"/>
    </row>
    <row r="1976" spans="5:12" x14ac:dyDescent="0.2">
      <c r="E1976" s="16"/>
      <c r="F1976" s="16"/>
      <c r="G1976" s="16"/>
      <c r="H1976" s="16"/>
      <c r="I1976" s="16"/>
      <c r="J1976" s="16"/>
      <c r="K1976" s="16"/>
      <c r="L1976" s="16"/>
    </row>
    <row r="1977" spans="5:12" x14ac:dyDescent="0.2">
      <c r="E1977" s="16"/>
      <c r="F1977" s="16"/>
      <c r="G1977" s="16"/>
      <c r="H1977" s="16"/>
      <c r="I1977" s="16"/>
      <c r="J1977" s="16"/>
      <c r="K1977" s="16"/>
      <c r="L1977" s="16"/>
    </row>
    <row r="1978" spans="5:12" x14ac:dyDescent="0.2">
      <c r="E1978" s="16"/>
      <c r="F1978" s="16"/>
      <c r="G1978" s="16"/>
      <c r="H1978" s="16"/>
      <c r="I1978" s="16"/>
      <c r="J1978" s="16"/>
      <c r="K1978" s="16"/>
      <c r="L1978" s="16"/>
    </row>
    <row r="1979" spans="5:12" x14ac:dyDescent="0.2">
      <c r="E1979" s="16"/>
      <c r="F1979" s="16"/>
      <c r="G1979" s="16"/>
      <c r="H1979" s="16"/>
      <c r="I1979" s="16"/>
      <c r="J1979" s="16"/>
      <c r="K1979" s="16"/>
      <c r="L1979" s="16"/>
    </row>
    <row r="1980" spans="5:12" x14ac:dyDescent="0.2">
      <c r="E1980" s="16"/>
      <c r="F1980" s="16"/>
      <c r="G1980" s="16"/>
      <c r="H1980" s="16"/>
      <c r="I1980" s="16"/>
      <c r="J1980" s="16"/>
      <c r="K1980" s="16"/>
      <c r="L1980" s="16"/>
    </row>
    <row r="1981" spans="5:12" x14ac:dyDescent="0.2">
      <c r="E1981" s="16"/>
      <c r="F1981" s="16"/>
      <c r="G1981" s="16"/>
      <c r="H1981" s="16"/>
      <c r="I1981" s="16"/>
      <c r="J1981" s="16"/>
      <c r="K1981" s="16"/>
      <c r="L1981" s="16"/>
    </row>
    <row r="1982" spans="5:12" x14ac:dyDescent="0.2">
      <c r="E1982" s="16"/>
      <c r="F1982" s="16"/>
      <c r="G1982" s="16"/>
      <c r="H1982" s="16"/>
      <c r="I1982" s="16"/>
      <c r="J1982" s="16"/>
      <c r="K1982" s="16"/>
      <c r="L1982" s="16"/>
    </row>
    <row r="1983" spans="5:12" x14ac:dyDescent="0.2">
      <c r="E1983" s="16"/>
      <c r="F1983" s="16"/>
      <c r="G1983" s="16"/>
      <c r="H1983" s="16"/>
      <c r="I1983" s="16"/>
      <c r="J1983" s="16"/>
      <c r="K1983" s="16"/>
      <c r="L1983" s="16"/>
    </row>
    <row r="1984" spans="5:12" x14ac:dyDescent="0.2">
      <c r="E1984" s="16"/>
      <c r="F1984" s="16"/>
      <c r="G1984" s="16"/>
      <c r="H1984" s="16"/>
      <c r="I1984" s="16"/>
      <c r="J1984" s="16"/>
      <c r="K1984" s="16"/>
      <c r="L1984" s="16"/>
    </row>
    <row r="1985" spans="5:12" x14ac:dyDescent="0.2">
      <c r="E1985" s="16"/>
      <c r="F1985" s="16"/>
      <c r="G1985" s="16"/>
      <c r="H1985" s="16"/>
      <c r="I1985" s="16"/>
      <c r="J1985" s="16"/>
      <c r="K1985" s="16"/>
      <c r="L1985" s="16"/>
    </row>
    <row r="1986" spans="5:12" x14ac:dyDescent="0.2">
      <c r="E1986" s="16"/>
      <c r="F1986" s="16"/>
      <c r="G1986" s="16"/>
      <c r="H1986" s="16"/>
      <c r="I1986" s="16"/>
      <c r="J1986" s="16"/>
      <c r="K1986" s="16"/>
      <c r="L1986" s="16"/>
    </row>
    <row r="1987" spans="5:12" x14ac:dyDescent="0.2">
      <c r="E1987" s="16"/>
      <c r="F1987" s="16"/>
      <c r="G1987" s="16"/>
      <c r="H1987" s="16"/>
      <c r="I1987" s="16"/>
      <c r="J1987" s="16"/>
      <c r="K1987" s="16"/>
      <c r="L1987" s="16"/>
    </row>
    <row r="1988" spans="5:12" x14ac:dyDescent="0.2">
      <c r="E1988" s="16"/>
      <c r="F1988" s="16"/>
      <c r="G1988" s="16"/>
      <c r="H1988" s="16"/>
      <c r="I1988" s="16"/>
      <c r="J1988" s="16"/>
      <c r="K1988" s="16"/>
      <c r="L1988" s="16"/>
    </row>
    <row r="1989" spans="5:12" x14ac:dyDescent="0.2">
      <c r="E1989" s="16"/>
      <c r="F1989" s="16"/>
      <c r="G1989" s="16"/>
      <c r="H1989" s="16"/>
      <c r="I1989" s="16"/>
      <c r="J1989" s="16"/>
      <c r="K1989" s="16"/>
      <c r="L1989" s="16"/>
    </row>
    <row r="1990" spans="5:12" x14ac:dyDescent="0.2">
      <c r="E1990" s="16"/>
      <c r="F1990" s="16"/>
      <c r="G1990" s="16"/>
      <c r="H1990" s="16"/>
      <c r="I1990" s="16"/>
      <c r="J1990" s="16"/>
      <c r="K1990" s="16"/>
      <c r="L1990" s="16"/>
    </row>
    <row r="1991" spans="5:12" x14ac:dyDescent="0.2">
      <c r="E1991" s="16"/>
      <c r="F1991" s="16"/>
      <c r="G1991" s="16"/>
      <c r="H1991" s="16"/>
      <c r="I1991" s="16"/>
      <c r="J1991" s="16"/>
      <c r="K1991" s="16"/>
      <c r="L1991" s="16"/>
    </row>
    <row r="1992" spans="5:12" x14ac:dyDescent="0.2">
      <c r="E1992" s="16"/>
      <c r="F1992" s="16"/>
      <c r="G1992" s="16"/>
      <c r="H1992" s="16"/>
      <c r="I1992" s="16"/>
      <c r="J1992" s="16"/>
      <c r="K1992" s="16"/>
      <c r="L1992" s="16"/>
    </row>
    <row r="1993" spans="5:12" x14ac:dyDescent="0.2">
      <c r="E1993" s="16"/>
      <c r="F1993" s="16"/>
      <c r="G1993" s="16"/>
      <c r="H1993" s="16"/>
      <c r="I1993" s="16"/>
      <c r="J1993" s="16"/>
      <c r="K1993" s="16"/>
      <c r="L1993" s="16"/>
    </row>
    <row r="1994" spans="5:12" x14ac:dyDescent="0.2">
      <c r="E1994" s="16"/>
      <c r="F1994" s="16"/>
      <c r="G1994" s="16"/>
      <c r="H1994" s="16"/>
      <c r="I1994" s="16"/>
      <c r="J1994" s="16"/>
      <c r="K1994" s="16"/>
      <c r="L1994" s="16"/>
    </row>
    <row r="1995" spans="5:12" x14ac:dyDescent="0.2">
      <c r="E1995" s="16"/>
      <c r="F1995" s="16"/>
      <c r="G1995" s="16"/>
      <c r="H1995" s="16"/>
      <c r="I1995" s="16"/>
      <c r="J1995" s="16"/>
      <c r="K1995" s="16"/>
      <c r="L1995" s="16"/>
    </row>
    <row r="1996" spans="5:12" x14ac:dyDescent="0.2">
      <c r="E1996" s="16"/>
      <c r="F1996" s="16"/>
      <c r="G1996" s="16"/>
      <c r="H1996" s="16"/>
      <c r="I1996" s="16"/>
      <c r="J1996" s="16"/>
      <c r="K1996" s="16"/>
      <c r="L1996" s="16"/>
    </row>
    <row r="1997" spans="5:12" x14ac:dyDescent="0.2">
      <c r="E1997" s="16"/>
      <c r="F1997" s="16"/>
      <c r="G1997" s="16"/>
      <c r="H1997" s="16"/>
      <c r="I1997" s="16"/>
      <c r="J1997" s="16"/>
      <c r="K1997" s="16"/>
      <c r="L1997" s="16"/>
    </row>
    <row r="1998" spans="5:12" x14ac:dyDescent="0.2">
      <c r="E1998" s="16"/>
      <c r="F1998" s="16"/>
      <c r="G1998" s="16"/>
      <c r="H1998" s="16"/>
      <c r="I1998" s="16"/>
      <c r="J1998" s="16"/>
      <c r="K1998" s="16"/>
      <c r="L1998" s="16"/>
    </row>
    <row r="1999" spans="5:12" x14ac:dyDescent="0.2">
      <c r="E1999" s="16"/>
      <c r="F1999" s="16"/>
      <c r="G1999" s="16"/>
      <c r="H1999" s="16"/>
      <c r="I1999" s="16"/>
      <c r="J1999" s="16"/>
      <c r="K1999" s="16"/>
      <c r="L1999" s="16"/>
    </row>
    <row r="2000" spans="5:12" x14ac:dyDescent="0.2">
      <c r="E2000" s="16"/>
      <c r="F2000" s="16"/>
      <c r="G2000" s="16"/>
      <c r="H2000" s="16"/>
      <c r="I2000" s="16"/>
      <c r="J2000" s="16"/>
      <c r="K2000" s="16"/>
      <c r="L2000" s="16"/>
    </row>
    <row r="2001" spans="5:12" x14ac:dyDescent="0.2">
      <c r="E2001" s="16"/>
      <c r="F2001" s="16"/>
      <c r="G2001" s="16"/>
      <c r="H2001" s="16"/>
      <c r="I2001" s="16"/>
      <c r="J2001" s="16"/>
      <c r="K2001" s="16"/>
      <c r="L2001" s="16"/>
    </row>
    <row r="2002" spans="5:12" x14ac:dyDescent="0.2">
      <c r="E2002" s="16"/>
      <c r="F2002" s="16"/>
      <c r="G2002" s="16"/>
      <c r="H2002" s="16"/>
      <c r="I2002" s="16"/>
      <c r="J2002" s="16"/>
      <c r="K2002" s="16"/>
      <c r="L2002" s="16"/>
    </row>
    <row r="2003" spans="5:12" x14ac:dyDescent="0.2">
      <c r="E2003" s="16"/>
      <c r="F2003" s="16"/>
      <c r="G2003" s="16"/>
      <c r="H2003" s="16"/>
      <c r="I2003" s="16"/>
      <c r="J2003" s="16"/>
      <c r="K2003" s="16"/>
      <c r="L2003" s="16"/>
    </row>
    <row r="2004" spans="5:12" x14ac:dyDescent="0.2">
      <c r="E2004" s="16"/>
      <c r="F2004" s="16"/>
      <c r="G2004" s="16"/>
      <c r="H2004" s="16"/>
      <c r="I2004" s="16"/>
      <c r="J2004" s="16"/>
      <c r="K2004" s="16"/>
      <c r="L2004" s="16"/>
    </row>
    <row r="2005" spans="5:12" x14ac:dyDescent="0.2">
      <c r="E2005" s="16"/>
      <c r="F2005" s="16"/>
      <c r="G2005" s="16"/>
      <c r="H2005" s="16"/>
      <c r="I2005" s="16"/>
      <c r="J2005" s="16"/>
      <c r="K2005" s="16"/>
      <c r="L2005" s="16"/>
    </row>
    <row r="2006" spans="5:12" x14ac:dyDescent="0.2">
      <c r="E2006" s="16"/>
      <c r="F2006" s="16"/>
      <c r="G2006" s="16"/>
      <c r="H2006" s="16"/>
      <c r="I2006" s="16"/>
      <c r="J2006" s="16"/>
      <c r="K2006" s="16"/>
      <c r="L2006" s="16"/>
    </row>
    <row r="2007" spans="5:12" x14ac:dyDescent="0.2">
      <c r="E2007" s="16"/>
      <c r="F2007" s="16"/>
      <c r="G2007" s="16"/>
      <c r="H2007" s="16"/>
      <c r="I2007" s="16"/>
      <c r="J2007" s="16"/>
      <c r="K2007" s="16"/>
      <c r="L2007" s="16"/>
    </row>
    <row r="2008" spans="5:12" x14ac:dyDescent="0.2">
      <c r="E2008" s="16"/>
      <c r="F2008" s="16"/>
      <c r="G2008" s="16"/>
      <c r="H2008" s="16"/>
      <c r="I2008" s="16"/>
      <c r="J2008" s="16"/>
      <c r="K2008" s="16"/>
      <c r="L2008" s="16"/>
    </row>
    <row r="2009" spans="5:12" x14ac:dyDescent="0.2">
      <c r="E2009" s="16"/>
      <c r="F2009" s="16"/>
      <c r="G2009" s="16"/>
      <c r="H2009" s="16"/>
      <c r="I2009" s="16"/>
      <c r="J2009" s="16"/>
      <c r="K2009" s="16"/>
      <c r="L2009" s="16"/>
    </row>
    <row r="2010" spans="5:12" x14ac:dyDescent="0.2">
      <c r="E2010" s="16"/>
      <c r="F2010" s="16"/>
      <c r="G2010" s="16"/>
      <c r="H2010" s="16"/>
      <c r="I2010" s="16"/>
      <c r="J2010" s="16"/>
      <c r="K2010" s="16"/>
      <c r="L2010" s="16"/>
    </row>
    <row r="2011" spans="5:12" x14ac:dyDescent="0.2">
      <c r="E2011" s="16"/>
      <c r="F2011" s="16"/>
      <c r="G2011" s="16"/>
      <c r="H2011" s="16"/>
      <c r="I2011" s="16"/>
      <c r="J2011" s="16"/>
      <c r="K2011" s="16"/>
      <c r="L2011" s="16"/>
    </row>
    <row r="2012" spans="5:12" x14ac:dyDescent="0.2">
      <c r="E2012" s="16"/>
      <c r="F2012" s="16"/>
      <c r="G2012" s="16"/>
      <c r="H2012" s="16"/>
      <c r="I2012" s="16"/>
      <c r="J2012" s="16"/>
      <c r="K2012" s="16"/>
      <c r="L2012" s="16"/>
    </row>
    <row r="2013" spans="5:12" x14ac:dyDescent="0.2">
      <c r="E2013" s="16"/>
      <c r="F2013" s="16"/>
      <c r="G2013" s="16"/>
      <c r="H2013" s="16"/>
      <c r="I2013" s="16"/>
      <c r="J2013" s="16"/>
      <c r="K2013" s="16"/>
      <c r="L2013" s="16"/>
    </row>
    <row r="2014" spans="5:12" x14ac:dyDescent="0.2">
      <c r="E2014" s="16"/>
      <c r="F2014" s="16"/>
      <c r="G2014" s="16"/>
      <c r="H2014" s="16"/>
      <c r="I2014" s="16"/>
      <c r="J2014" s="16"/>
      <c r="K2014" s="16"/>
      <c r="L2014" s="16"/>
    </row>
    <row r="2015" spans="5:12" x14ac:dyDescent="0.2">
      <c r="E2015" s="16"/>
      <c r="F2015" s="16"/>
      <c r="G2015" s="16"/>
      <c r="H2015" s="16"/>
      <c r="I2015" s="16"/>
      <c r="J2015" s="16"/>
      <c r="K2015" s="16"/>
      <c r="L2015" s="16"/>
    </row>
    <row r="2016" spans="5:12" x14ac:dyDescent="0.2">
      <c r="E2016" s="16"/>
      <c r="F2016" s="16"/>
      <c r="G2016" s="16"/>
      <c r="H2016" s="16"/>
      <c r="I2016" s="16"/>
      <c r="J2016" s="16"/>
      <c r="K2016" s="16"/>
      <c r="L2016" s="16"/>
    </row>
    <row r="2017" spans="5:12" x14ac:dyDescent="0.2">
      <c r="E2017" s="16"/>
      <c r="F2017" s="16"/>
      <c r="G2017" s="16"/>
      <c r="H2017" s="16"/>
      <c r="I2017" s="16"/>
      <c r="J2017" s="16"/>
      <c r="K2017" s="16"/>
      <c r="L2017" s="16"/>
    </row>
    <row r="2018" spans="5:12" x14ac:dyDescent="0.2">
      <c r="E2018" s="16"/>
      <c r="F2018" s="16"/>
      <c r="G2018" s="16"/>
      <c r="H2018" s="16"/>
      <c r="I2018" s="16"/>
      <c r="J2018" s="16"/>
      <c r="K2018" s="16"/>
      <c r="L2018" s="16"/>
    </row>
    <row r="2019" spans="5:12" x14ac:dyDescent="0.2">
      <c r="E2019" s="16"/>
      <c r="F2019" s="16"/>
      <c r="G2019" s="16"/>
      <c r="H2019" s="16"/>
      <c r="I2019" s="16"/>
      <c r="J2019" s="16"/>
      <c r="K2019" s="16"/>
      <c r="L2019" s="16"/>
    </row>
    <row r="2020" spans="5:12" x14ac:dyDescent="0.2">
      <c r="E2020" s="16"/>
      <c r="F2020" s="16"/>
      <c r="G2020" s="16"/>
      <c r="H2020" s="16"/>
      <c r="I2020" s="16"/>
      <c r="J2020" s="16"/>
      <c r="K2020" s="16"/>
      <c r="L2020" s="16"/>
    </row>
    <row r="2021" spans="5:12" x14ac:dyDescent="0.2">
      <c r="E2021" s="16"/>
      <c r="F2021" s="16"/>
      <c r="G2021" s="16"/>
      <c r="H2021" s="16"/>
      <c r="I2021" s="16"/>
      <c r="J2021" s="16"/>
      <c r="K2021" s="16"/>
      <c r="L2021" s="16"/>
    </row>
    <row r="2022" spans="5:12" x14ac:dyDescent="0.2">
      <c r="E2022" s="16"/>
      <c r="F2022" s="16"/>
      <c r="G2022" s="16"/>
      <c r="H2022" s="16"/>
      <c r="I2022" s="16"/>
      <c r="J2022" s="16"/>
      <c r="K2022" s="16"/>
      <c r="L2022" s="16"/>
    </row>
    <row r="2023" spans="5:12" x14ac:dyDescent="0.2">
      <c r="E2023" s="16"/>
      <c r="F2023" s="16"/>
      <c r="G2023" s="16"/>
      <c r="H2023" s="16"/>
      <c r="I2023" s="16"/>
      <c r="J2023" s="16"/>
      <c r="K2023" s="16"/>
      <c r="L2023" s="16"/>
    </row>
    <row r="2024" spans="5:12" x14ac:dyDescent="0.2">
      <c r="E2024" s="16"/>
      <c r="F2024" s="16"/>
      <c r="G2024" s="16"/>
      <c r="H2024" s="16"/>
      <c r="I2024" s="16"/>
      <c r="J2024" s="16"/>
      <c r="K2024" s="16"/>
      <c r="L2024" s="16"/>
    </row>
    <row r="2025" spans="5:12" x14ac:dyDescent="0.2">
      <c r="E2025" s="16"/>
      <c r="F2025" s="16"/>
      <c r="G2025" s="16"/>
      <c r="H2025" s="16"/>
      <c r="I2025" s="16"/>
      <c r="J2025" s="16"/>
      <c r="K2025" s="16"/>
      <c r="L2025" s="16"/>
    </row>
    <row r="2026" spans="5:12" x14ac:dyDescent="0.2">
      <c r="E2026" s="16"/>
      <c r="F2026" s="16"/>
      <c r="G2026" s="16"/>
      <c r="H2026" s="16"/>
      <c r="I2026" s="16"/>
      <c r="J2026" s="16"/>
      <c r="K2026" s="16"/>
      <c r="L2026" s="16"/>
    </row>
    <row r="2027" spans="5:12" x14ac:dyDescent="0.2">
      <c r="E2027" s="16"/>
      <c r="F2027" s="16"/>
      <c r="G2027" s="16"/>
      <c r="H2027" s="16"/>
      <c r="I2027" s="16"/>
      <c r="J2027" s="16"/>
      <c r="K2027" s="16"/>
      <c r="L2027" s="16"/>
    </row>
    <row r="2028" spans="5:12" x14ac:dyDescent="0.2">
      <c r="E2028" s="16"/>
      <c r="F2028" s="16"/>
      <c r="G2028" s="16"/>
      <c r="H2028" s="16"/>
      <c r="I2028" s="16"/>
      <c r="J2028" s="16"/>
      <c r="K2028" s="16"/>
      <c r="L2028" s="16"/>
    </row>
  </sheetData>
  <mergeCells count="7">
    <mergeCell ref="E3:E4"/>
    <mergeCell ref="F3:K3"/>
    <mergeCell ref="L3:L4"/>
    <mergeCell ref="A3:A4"/>
    <mergeCell ref="B3:B4"/>
    <mergeCell ref="C3:C4"/>
    <mergeCell ref="D3:D4"/>
  </mergeCells>
  <conditionalFormatting sqref="E5:E21">
    <cfRule type="expression" dxfId="0" priority="1">
      <formula>"B$17:B$44&gt;B$46"</formula>
    </cfRule>
  </conditionalFormatting>
  <pageMargins left="0.7" right="0.7" top="0.75" bottom="0.75" header="0.3" footer="0.3"/>
  <pageSetup paperSize="9" scale="96" fitToWidth="0" orientation="landscape" r:id="rId1"/>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PMR_Sector_Network_2023-24_ v2</vt:lpstr>
      <vt:lpstr>PMR_Sector_Network_2023-24_clea</vt:lpstr>
      <vt:lpstr>Clean_sector</vt:lpstr>
      <vt:lpstr>Introduction to this file</vt:lpstr>
      <vt:lpstr>Sector PMR_2023-24 structure</vt:lpstr>
      <vt:lpstr>PMR_Sector_Network_2023-24 </vt:lpstr>
      <vt:lpstr>PMR_Sector_Network_2018</vt:lpstr>
      <vt:lpstr>PMR_Sector_TradProf_2023-24</vt:lpstr>
      <vt:lpstr>PMR_Sector_TradProf_2018</vt:lpstr>
      <vt:lpstr>PMR_Digital Mkts__2023-24+2018</vt:lpstr>
      <vt:lpstr>2018 oldMethod_Sector_structure</vt:lpstr>
      <vt:lpstr>old2018_Sector_Networks</vt:lpstr>
      <vt:lpstr>old2018_Sector_TradeProf</vt:lpstr>
      <vt:lpstr>old2018_Sector_Networks!Print_Area</vt:lpstr>
      <vt:lpstr>PMR_Sector_Network_2018!Print_Area</vt:lpstr>
      <vt:lpstr>'PMR_Sector_Network_2023-24 '!Print_Area</vt:lpstr>
      <vt:lpstr>'PMR_Sector_Network_2023-24_ v2'!Print_Area</vt:lpstr>
      <vt:lpstr>'PMR_Sector_Network_2023-24_clea'!Print_Area</vt:lpstr>
      <vt:lpstr>old2018_Sector_Networks!Print_Titles</vt:lpstr>
      <vt:lpstr>old2018_Sector_TradeProf!Print_Titles</vt:lpstr>
      <vt:lpstr>PMR_Sector_Network_2018!Print_Titles</vt:lpstr>
      <vt:lpstr>'PMR_Sector_Network_2023-24 '!Print_Titles</vt:lpstr>
      <vt:lpstr>'PMR_Sector_Network_2023-24_ v2'!Print_Titles</vt:lpstr>
      <vt:lpstr>'PMR_Sector_Network_2023-24_clea'!Print_Titles</vt:lpstr>
      <vt:lpstr>PMR_Sector_TradProf_2018!Print_Titles</vt:lpstr>
      <vt:lpstr>'PMR_Sector_TradProf_2023-24'!Print_Titles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WANNER Isabelle</dc:creator>
  <cp:lastModifiedBy>Rogelio Granguillhome Ochoa</cp:lastModifiedBy>
  <dcterms:created xsi:type="dcterms:W3CDTF">2018-11-07T11:16:56Z</dcterms:created>
  <dcterms:modified xsi:type="dcterms:W3CDTF">2025-10-24T22:37:13Z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2024-05-22T13:37:56Z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6666f6e7-0509-4683-946e-ab19ec1c468f</vt:lpwstr>
  </property>
  <property fmtid="{D5CDD505-2E9C-101B-9397-08002B2CF9AE}" pid="8" name="MSIP_Label_0e5510b0-e729-4ef0-a3dd-4ba0dfe56c99_ContentBits">
    <vt:lpwstr>2</vt:lpwstr>
  </property>
  <property fmtid="{D5CDD505-2E9C-101B-9397-08002B2CF9AE}" pid="9" name="MSIP_Label_f1bf45b6-5649-4236-82a3-f45024cd282e_Enabled">
    <vt:lpwstr>true</vt:lpwstr>
  </property>
  <property fmtid="{D5CDD505-2E9C-101B-9397-08002B2CF9AE}" pid="10" name="MSIP_Label_f1bf45b6-5649-4236-82a3-f45024cd282e_SetDate">
    <vt:lpwstr>2025-08-20T14:53:21Z</vt:lpwstr>
  </property>
  <property fmtid="{D5CDD505-2E9C-101B-9397-08002B2CF9AE}" pid="11" name="MSIP_Label_f1bf45b6-5649-4236-82a3-f45024cd282e_Method">
    <vt:lpwstr>Standard</vt:lpwstr>
  </property>
  <property fmtid="{D5CDD505-2E9C-101B-9397-08002B2CF9AE}" pid="12" name="MSIP_Label_f1bf45b6-5649-4236-82a3-f45024cd282e_Name">
    <vt:lpwstr>Official Use Only</vt:lpwstr>
  </property>
  <property fmtid="{D5CDD505-2E9C-101B-9397-08002B2CF9AE}" pid="13" name="MSIP_Label_f1bf45b6-5649-4236-82a3-f45024cd282e_SiteId">
    <vt:lpwstr>31a2fec0-266b-4c67-b56e-2796d8f59c36</vt:lpwstr>
  </property>
  <property fmtid="{D5CDD505-2E9C-101B-9397-08002B2CF9AE}" pid="14" name="MSIP_Label_f1bf45b6-5649-4236-82a3-f45024cd282e_ActionId">
    <vt:lpwstr>448a573e-878b-4d11-8568-144e99cd646c</vt:lpwstr>
  </property>
  <property fmtid="{D5CDD505-2E9C-101B-9397-08002B2CF9AE}" pid="15" name="MSIP_Label_f1bf45b6-5649-4236-82a3-f45024cd282e_ContentBits">
    <vt:lpwstr>2</vt:lpwstr>
  </property>
  <property fmtid="{D5CDD505-2E9C-101B-9397-08002B2CF9AE}" pid="16" name="MSIP_Label_f1bf45b6-5649-4236-82a3-f45024cd282e_Tag">
    <vt:lpwstr>10, 3, 0, 1</vt:lpwstr>
  </property>
</Properties>
</file>