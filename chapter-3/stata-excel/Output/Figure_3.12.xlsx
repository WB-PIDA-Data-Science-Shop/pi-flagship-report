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1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worldbankgroup-my.sharepoint.com/personal/rgranguillhomeoc_worldbank_org/Documents/RGO/ETIMT/GOV/Case_study/Replication_package/figs/"/>
    </mc:Choice>
  </mc:AlternateContent>
  <xr:revisionPtr revIDLastSave="3" documentId="8_{9F369944-F099-49A4-97A6-EC9BE59F7CB4}" xr6:coauthVersionLast="47" xr6:coauthVersionMax="47" xr10:uidLastSave="{19E02962-4438-4593-B27A-C9651CCDFD1C}"/>
  <bookViews>
    <workbookView xWindow="28680" yWindow="-120" windowWidth="29040" windowHeight="15720" firstSheet="1" activeTab="1" xr2:uid="{58F1EF6C-B743-40E9-8392-A56A04BE64B0}"/>
  </bookViews>
  <sheets>
    <sheet name="Norm_decrees_links" sheetId="19" r:id="rId1"/>
    <sheet name="Final_Minister_chart" sheetId="18" r:id="rId2"/>
  </sheets>
  <definedNames>
    <definedName name="_xlnm._FilterDatabase" localSheetId="0" hidden="1">Norm_decrees_links!$C$1:$I$27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7" i="19" l="1"/>
  <c r="H27" i="19"/>
  <c r="G27" i="19"/>
  <c r="I16" i="19"/>
  <c r="H16" i="19"/>
  <c r="G16" i="19"/>
  <c r="I15" i="19"/>
  <c r="H15" i="19"/>
  <c r="G15" i="19"/>
  <c r="I14" i="19"/>
  <c r="H14" i="19"/>
  <c r="G14" i="19"/>
  <c r="I13" i="19"/>
  <c r="H13" i="19"/>
  <c r="G13" i="19"/>
  <c r="I12" i="19"/>
  <c r="H12" i="19"/>
  <c r="G12" i="19"/>
  <c r="I11" i="19"/>
  <c r="H11" i="19"/>
  <c r="G11" i="19"/>
  <c r="I10" i="19"/>
  <c r="H10" i="19"/>
  <c r="G10" i="19"/>
  <c r="I9" i="19"/>
  <c r="H9" i="19"/>
  <c r="G9" i="19"/>
  <c r="I8" i="19"/>
  <c r="H8" i="19"/>
  <c r="G8" i="19"/>
  <c r="I7" i="19"/>
  <c r="H7" i="19"/>
  <c r="G7" i="19"/>
  <c r="I6" i="19"/>
  <c r="H6" i="19"/>
  <c r="G6" i="19"/>
  <c r="I5" i="19"/>
  <c r="H5" i="19"/>
  <c r="G5" i="19"/>
  <c r="I4" i="19"/>
  <c r="H4" i="19"/>
  <c r="G4" i="19"/>
  <c r="I3" i="19"/>
  <c r="H3" i="19"/>
  <c r="G3" i="19"/>
  <c r="I2" i="19"/>
  <c r="H2" i="19"/>
  <c r="G2" i="19"/>
  <c r="R3" i="18"/>
  <c r="T54" i="18" l="1"/>
  <c r="T52" i="18"/>
  <c r="T50" i="18"/>
  <c r="T46" i="18"/>
  <c r="T44" i="18"/>
  <c r="T42" i="18"/>
  <c r="T40" i="18"/>
  <c r="T38" i="18"/>
  <c r="T36" i="18"/>
  <c r="T34" i="18"/>
  <c r="T32" i="18"/>
  <c r="T30" i="18"/>
  <c r="T28" i="18"/>
  <c r="G25" i="18"/>
  <c r="P21" i="18"/>
  <c r="K21" i="18"/>
  <c r="M21" i="18" s="1"/>
  <c r="J21" i="18"/>
  <c r="I21" i="18"/>
  <c r="R20" i="18"/>
  <c r="S20" i="18" s="1"/>
  <c r="Q20" i="18"/>
  <c r="P20" i="18"/>
  <c r="N20" i="18"/>
  <c r="K20" i="18"/>
  <c r="J20" i="18"/>
  <c r="I20" i="18"/>
  <c r="G20" i="18"/>
  <c r="B20" i="18"/>
  <c r="R19" i="18"/>
  <c r="Q19" i="18"/>
  <c r="S19" i="18" s="1"/>
  <c r="P19" i="18"/>
  <c r="N19" i="18"/>
  <c r="K19" i="18"/>
  <c r="J19" i="18"/>
  <c r="I19" i="18"/>
  <c r="G19" i="18"/>
  <c r="B19" i="18"/>
  <c r="R18" i="18"/>
  <c r="Q18" i="18"/>
  <c r="P18" i="18"/>
  <c r="N18" i="18"/>
  <c r="K18" i="18"/>
  <c r="J18" i="18"/>
  <c r="I18" i="18"/>
  <c r="G18" i="18"/>
  <c r="B18" i="18"/>
  <c r="R17" i="18"/>
  <c r="Q17" i="18"/>
  <c r="P17" i="18"/>
  <c r="N17" i="18"/>
  <c r="K17" i="18"/>
  <c r="J17" i="18"/>
  <c r="I17" i="18"/>
  <c r="G17" i="18"/>
  <c r="B17" i="18"/>
  <c r="R16" i="18"/>
  <c r="S16" i="18" s="1"/>
  <c r="Q16" i="18"/>
  <c r="P16" i="18"/>
  <c r="N16" i="18"/>
  <c r="K16" i="18"/>
  <c r="J16" i="18"/>
  <c r="I16" i="18"/>
  <c r="G16" i="18"/>
  <c r="B16" i="18"/>
  <c r="R15" i="18"/>
  <c r="Q15" i="18"/>
  <c r="S15" i="18" s="1"/>
  <c r="P15" i="18"/>
  <c r="N15" i="18"/>
  <c r="K15" i="18"/>
  <c r="J15" i="18"/>
  <c r="I15" i="18"/>
  <c r="G15" i="18"/>
  <c r="B15" i="18"/>
  <c r="R14" i="18"/>
  <c r="Q14" i="18"/>
  <c r="S14" i="18" s="1"/>
  <c r="P14" i="18"/>
  <c r="N14" i="18"/>
  <c r="K14" i="18"/>
  <c r="L14" i="18" s="1"/>
  <c r="J14" i="18"/>
  <c r="I14" i="18"/>
  <c r="G14" i="18"/>
  <c r="B14" i="18"/>
  <c r="R13" i="18"/>
  <c r="Q13" i="18"/>
  <c r="P13" i="18"/>
  <c r="T13" i="18" s="1"/>
  <c r="N13" i="18"/>
  <c r="K13" i="18"/>
  <c r="J13" i="18"/>
  <c r="I13" i="18"/>
  <c r="G13" i="18"/>
  <c r="B13" i="18"/>
  <c r="R12" i="18"/>
  <c r="Q12" i="18"/>
  <c r="P12" i="18"/>
  <c r="N12" i="18"/>
  <c r="K12" i="18"/>
  <c r="J12" i="18"/>
  <c r="I12" i="18"/>
  <c r="G12" i="18"/>
  <c r="B12" i="18"/>
  <c r="R11" i="18"/>
  <c r="Q11" i="18"/>
  <c r="P11" i="18"/>
  <c r="N11" i="18"/>
  <c r="K11" i="18"/>
  <c r="J11" i="18"/>
  <c r="I11" i="18"/>
  <c r="G11" i="18"/>
  <c r="B11" i="18"/>
  <c r="R10" i="18"/>
  <c r="Q10" i="18"/>
  <c r="S10" i="18" s="1"/>
  <c r="P10" i="18"/>
  <c r="N10" i="18"/>
  <c r="K10" i="18"/>
  <c r="L10" i="18" s="1"/>
  <c r="J10" i="18"/>
  <c r="I10" i="18"/>
  <c r="G10" i="18"/>
  <c r="B10" i="18"/>
  <c r="R9" i="18"/>
  <c r="Q9" i="18"/>
  <c r="P9" i="18"/>
  <c r="N9" i="18"/>
  <c r="K9" i="18"/>
  <c r="J9" i="18"/>
  <c r="I9" i="18"/>
  <c r="G9" i="18"/>
  <c r="B9" i="18"/>
  <c r="R8" i="18"/>
  <c r="Q8" i="18"/>
  <c r="T8" i="18" s="1"/>
  <c r="P8" i="18"/>
  <c r="N8" i="18"/>
  <c r="K8" i="18"/>
  <c r="J8" i="18"/>
  <c r="I8" i="18"/>
  <c r="G8" i="18"/>
  <c r="B8" i="18"/>
  <c r="R7" i="18"/>
  <c r="Q7" i="18"/>
  <c r="P7" i="18"/>
  <c r="N7" i="18"/>
  <c r="K7" i="18"/>
  <c r="J7" i="18"/>
  <c r="I7" i="18"/>
  <c r="G7" i="18"/>
  <c r="B7" i="18"/>
  <c r="R6" i="18"/>
  <c r="Q6" i="18"/>
  <c r="S6" i="18" s="1"/>
  <c r="P6" i="18"/>
  <c r="N6" i="18"/>
  <c r="K6" i="18"/>
  <c r="L6" i="18" s="1"/>
  <c r="J6" i="18"/>
  <c r="I6" i="18"/>
  <c r="G6" i="18"/>
  <c r="B6" i="18"/>
  <c r="R5" i="18"/>
  <c r="Q5" i="18"/>
  <c r="S5" i="18" s="1"/>
  <c r="P5" i="18"/>
  <c r="N5" i="18"/>
  <c r="K5" i="18"/>
  <c r="J5" i="18"/>
  <c r="I5" i="18"/>
  <c r="G5" i="18"/>
  <c r="B5" i="18"/>
  <c r="R4" i="18"/>
  <c r="Q4" i="18"/>
  <c r="T4" i="18" s="1"/>
  <c r="P4" i="18"/>
  <c r="N4" i="18"/>
  <c r="K4" i="18"/>
  <c r="J4" i="18"/>
  <c r="I4" i="18"/>
  <c r="G4" i="18"/>
  <c r="B4" i="18"/>
  <c r="Q3" i="18"/>
  <c r="T3" i="18" s="1"/>
  <c r="P3" i="18"/>
  <c r="K3" i="18"/>
  <c r="J3" i="18"/>
  <c r="I3" i="18"/>
  <c r="M3" i="18" s="1"/>
  <c r="G3" i="18"/>
  <c r="B3" i="18"/>
  <c r="T17" i="18" l="1"/>
  <c r="S4" i="18"/>
  <c r="S11" i="18"/>
  <c r="M13" i="18"/>
  <c r="M15" i="18"/>
  <c r="T16" i="18"/>
  <c r="S17" i="18"/>
  <c r="M20" i="18"/>
  <c r="S12" i="18"/>
  <c r="S7" i="18"/>
  <c r="M11" i="18"/>
  <c r="T12" i="18"/>
  <c r="M16" i="18"/>
  <c r="S8" i="18"/>
  <c r="M18" i="18"/>
  <c r="M19" i="18"/>
  <c r="M7" i="18"/>
  <c r="S9" i="18"/>
  <c r="L19" i="18"/>
  <c r="V13" i="18"/>
  <c r="V17" i="18"/>
  <c r="M6" i="18"/>
  <c r="M4" i="18"/>
  <c r="V4" i="18" s="1"/>
  <c r="T5" i="18"/>
  <c r="T6" i="18"/>
  <c r="M8" i="18"/>
  <c r="T9" i="18"/>
  <c r="T10" i="18"/>
  <c r="V10" i="18" s="1"/>
  <c r="M12" i="18"/>
  <c r="T14" i="18"/>
  <c r="V14" i="18" s="1"/>
  <c r="T18" i="18"/>
  <c r="V18" i="18" s="1"/>
  <c r="S18" i="18"/>
  <c r="L17" i="18"/>
  <c r="L5" i="18"/>
  <c r="L9" i="18"/>
  <c r="M5" i="18"/>
  <c r="T7" i="18"/>
  <c r="V7" i="18" s="1"/>
  <c r="M9" i="18"/>
  <c r="T11" i="18"/>
  <c r="V11" i="18" s="1"/>
  <c r="T15" i="18"/>
  <c r="V15" i="18" s="1"/>
  <c r="M17" i="18"/>
  <c r="T19" i="18"/>
  <c r="V3" i="18"/>
  <c r="S3" i="18"/>
  <c r="L13" i="18"/>
  <c r="L18" i="18"/>
  <c r="T20" i="18"/>
  <c r="S13" i="18"/>
  <c r="M14" i="18"/>
  <c r="M10" i="18"/>
  <c r="L3" i="18"/>
  <c r="L7" i="18"/>
  <c r="L11" i="18"/>
  <c r="L15" i="18"/>
  <c r="Q21" i="18"/>
  <c r="V8" i="18"/>
  <c r="V12" i="18"/>
  <c r="V16" i="18"/>
  <c r="L4" i="18"/>
  <c r="L8" i="18"/>
  <c r="L12" i="18"/>
  <c r="L16" i="18"/>
  <c r="L20" i="18"/>
  <c r="V20" i="18" l="1"/>
  <c r="V19" i="18"/>
  <c r="V9" i="18"/>
  <c r="V6" i="18"/>
  <c r="V5" i="18"/>
</calcChain>
</file>

<file path=xl/sharedStrings.xml><?xml version="1.0" encoding="utf-8"?>
<sst xmlns="http://schemas.openxmlformats.org/spreadsheetml/2006/main" count="277" uniqueCount="144">
  <si>
    <t>Type</t>
  </si>
  <si>
    <t>Nomenclature</t>
  </si>
  <si>
    <t>Name</t>
  </si>
  <si>
    <t>Date</t>
  </si>
  <si>
    <t>Day</t>
  </si>
  <si>
    <t>month</t>
  </si>
  <si>
    <t>year</t>
  </si>
  <si>
    <t>Link</t>
  </si>
  <si>
    <t>Milestone 1</t>
  </si>
  <si>
    <t>Key Milestones</t>
  </si>
  <si>
    <t>Accessibility</t>
  </si>
  <si>
    <t>National Broadband Plan</t>
  </si>
  <si>
    <t xml:space="preserve">https://www.gob.pe/institucion/mtc/informes-publicaciones/2227526-dgprc-plan-nacional-para-el-desarrollo-de-la-banda-ancha-en-el-peru </t>
  </si>
  <si>
    <t>Milestone 2</t>
  </si>
  <si>
    <t>Competition</t>
  </si>
  <si>
    <t>Entry of the Fourth Mobile Operator - (1900MHz Auction)</t>
  </si>
  <si>
    <t xml:space="preserve">https://www.investinperu.pe/es/app/procesos-concluidos/procesos-por-iniciativa-estatal/banda-c-en-1900-mhz </t>
  </si>
  <si>
    <t>Milestone 3</t>
  </si>
  <si>
    <t>Broadband Law (Law 29904)</t>
  </si>
  <si>
    <t>https://www.gob.pe/institucion/mtc/normas-legales/9863-29904</t>
  </si>
  <si>
    <t>Milestone 4</t>
  </si>
  <si>
    <t>Spectrum Caps (DS 011-2012-MTC)</t>
  </si>
  <si>
    <t>https://www.gob.pe/institucion/mtc/normas-legales/344616-011-2012-mtc</t>
  </si>
  <si>
    <t>Milestone 5</t>
  </si>
  <si>
    <t>1,7 GHz Auction</t>
  </si>
  <si>
    <t>https://www.investinperu.pe/es/app/procesos-concluidos/proyecto/5599</t>
  </si>
  <si>
    <t>Milestone 6</t>
  </si>
  <si>
    <t>Regulation of Broadband Law (DS 014-2013-MTC)</t>
  </si>
  <si>
    <t xml:space="preserve">https://www.gob.pe/institucion/mtc/normas-legales/9994-014-2013-mtc </t>
  </si>
  <si>
    <t>Milestone 7</t>
  </si>
  <si>
    <t>User Protection</t>
  </si>
  <si>
    <t>Portability Conditions (Res. 166-2013-CD-OSIPTEL)</t>
  </si>
  <si>
    <t xml:space="preserve">https://www.osiptel.gob.pe/n-166-2013-cd-osiptel/ </t>
  </si>
  <si>
    <t>Milestone 8</t>
  </si>
  <si>
    <t xml:space="preserve"> Quality of Service Regulations (Res. 123-2014-CD-OSIPTEL)</t>
  </si>
  <si>
    <t xml:space="preserve">https://www.osiptel.gob.pe/n%C2%BA-123-2014-cd-osiptel/ </t>
  </si>
  <si>
    <t>Milestone 9</t>
  </si>
  <si>
    <t>Rural Mobile Infrastructure Operator (DS 004-2015-MTC)</t>
  </si>
  <si>
    <t>https://cdn.www.gob.pe/uploads/document/file/19190/9984-publicacion-del-decreto-supremo-n-004-2015-mtc-en-el-diario-oficial-el-peruano.pdf?v=1700381310</t>
  </si>
  <si>
    <t>Milestone 10</t>
  </si>
  <si>
    <t xml:space="preserve">700 MHz Auction </t>
  </si>
  <si>
    <t xml:space="preserve">https://www.investinperu.pe/es/app/procesos-concluidos/proyecto/8100 </t>
  </si>
  <si>
    <t>Milestone 11</t>
  </si>
  <si>
    <t>Coverage fee regime - CEI ( DS 003-2018-MTC)</t>
  </si>
  <si>
    <t>https://www.gob.pe/institucion/mtc/normas-legales/1608099-004-2021-mtc</t>
  </si>
  <si>
    <t>Milestone 12</t>
  </si>
  <si>
    <t>AWS-3 and 2,3 GHz Auction</t>
  </si>
  <si>
    <t>https://www.investinperu.pe/es/app/DatosProyecto?idAPProyecto=608</t>
  </si>
  <si>
    <t>Milestone 13</t>
  </si>
  <si>
    <t>Regulatory Sandbox  (DL 1599)</t>
  </si>
  <si>
    <t>Milestone 14</t>
  </si>
  <si>
    <t>Modification of the coverage fee regime (DS 001-2024-MTC)</t>
  </si>
  <si>
    <t>https://www.gob.pe/institucion/mtc/normas-legales/5092609-001-2024-mtc</t>
  </si>
  <si>
    <t>Milestone 15</t>
  </si>
  <si>
    <t>Active infrastructure sharing (DS 005-2024-MTC)</t>
  </si>
  <si>
    <t xml:space="preserve">https://www.gob.pe/institucion/mtc/normas-legales/5187213-005-2024-mtc </t>
  </si>
  <si>
    <t>Supporting 1</t>
  </si>
  <si>
    <t>Supporting</t>
  </si>
  <si>
    <t>Network Neutrality Regulation (Law 29904)</t>
  </si>
  <si>
    <t>Supporting 2</t>
  </si>
  <si>
    <t>900 MHz Auction</t>
  </si>
  <si>
    <t xml:space="preserve">https://www.investinperu.pe/es/app/procesos-concluidos/procesos-por-iniciativa-estatal/banda-899915-y-944960mhz-lyc-902915-y-9479  </t>
  </si>
  <si>
    <t>Supporting 3</t>
  </si>
  <si>
    <t>Passive Infrastructure Provider  (Law 30083)</t>
  </si>
  <si>
    <t>https://www.gob.pe/institucion/mtc/normas-legales/9866-30083</t>
  </si>
  <si>
    <t>Supporting 4</t>
  </si>
  <si>
    <t xml:space="preserve">Fiber optic backbone network (neutral network) </t>
  </si>
  <si>
    <t>Supporting 5</t>
  </si>
  <si>
    <t>Modification of Infrastructure Expansion Law (Law 30228)</t>
  </si>
  <si>
    <t>https://www.gob.pe/institucion/municajamarca/normas-legales/3087594-30228</t>
  </si>
  <si>
    <t>Supporting 6</t>
  </si>
  <si>
    <t>Environmental Protection (DS 003-2015-MTC, Regulations of Law 29022)</t>
  </si>
  <si>
    <t>Supporting 7</t>
  </si>
  <si>
    <t>Mobile Virtual Network Operator MVNO (DS 004-2015-MTC)</t>
  </si>
  <si>
    <t>Supporting 8</t>
  </si>
  <si>
    <t xml:space="preserve">Spectrum Caps (RM 085-2019-MTC/01) </t>
  </si>
  <si>
    <t>https://cdn.www.gob.pe/uploads/document/file/3287862/085-2019.pdf.pdf?v=1655936551</t>
  </si>
  <si>
    <t>Supporting 9</t>
  </si>
  <si>
    <t>Coverage fee regime - CEI ( DS 004-2021-MTC)</t>
  </si>
  <si>
    <t>Supporting 10</t>
  </si>
  <si>
    <t>CEI extension for coverage (RM 613-2023-MTC)</t>
  </si>
  <si>
    <t>https://www.gob.pe/institucion/mtc/normas-legales/4245777-0613-2023-mtc-01-03</t>
  </si>
  <si>
    <t>Supporting 11</t>
  </si>
  <si>
    <t>Incentives for technological upgrade with the "coverage fee" regime (DS 001-2024-MTC) 24/01/2024</t>
  </si>
  <si>
    <t>MINISTROS DE TRANSPORTES Y COMUNICACIONES</t>
  </si>
  <si>
    <t>Start</t>
  </si>
  <si>
    <t>End</t>
  </si>
  <si>
    <t>Nombre</t>
  </si>
  <si>
    <t>Norma de Designación</t>
  </si>
  <si>
    <t>Inicio</t>
  </si>
  <si>
    <t>FIn</t>
  </si>
  <si>
    <t>Permanencia (Meses)</t>
  </si>
  <si>
    <t>Mont</t>
  </si>
  <si>
    <t>Year</t>
  </si>
  <si>
    <t>Enrique Javier Cornejo Ramírez</t>
  </si>
  <si>
    <t>RS 332-2008-PCM</t>
  </si>
  <si>
    <t>Carlos Paredes Rodríguez</t>
  </si>
  <si>
    <t>RS 215-2011-PCM</t>
  </si>
  <si>
    <t>José Gallardo Ku</t>
  </si>
  <si>
    <t>RS 205-2014-PCM</t>
  </si>
  <si>
    <t>Martín Vizcarra Cornejo</t>
  </si>
  <si>
    <t>RS 170-2016-PCM</t>
  </si>
  <si>
    <t>Bruno Giuffra Monteverde</t>
  </si>
  <si>
    <t>RS 072-2017-PCM</t>
  </si>
  <si>
    <t>Edmer Trujillo Mori</t>
  </si>
  <si>
    <t>RS 062-2018-PCM</t>
  </si>
  <si>
    <t>María Jara Risco</t>
  </si>
  <si>
    <t>RS 081-2019-PCM</t>
  </si>
  <si>
    <t>RS 180-2019-PCM</t>
  </si>
  <si>
    <t>Carlos Lozada Contreras</t>
  </si>
  <si>
    <t>RS 016-2020-PCM</t>
  </si>
  <si>
    <t>Carlos Estremadoyro Mory</t>
  </si>
  <si>
    <t>RS 068-2020-PCM</t>
  </si>
  <si>
    <t>Augusto Valqui Malpica</t>
  </si>
  <si>
    <t>RS 168-2020-PCM</t>
  </si>
  <si>
    <t>Eduardo González Chávez</t>
  </si>
  <si>
    <t>RS 206-2020-PCM</t>
  </si>
  <si>
    <t>Juan Silva Villegas</t>
  </si>
  <si>
    <t>RS 077-2021-PCM</t>
  </si>
  <si>
    <t>Nicolás Bustamante Coronado</t>
  </si>
  <si>
    <t>RS 107-2022-PCM</t>
  </si>
  <si>
    <t>Juan Barranzuela Quiroga</t>
  </si>
  <si>
    <t>RS 152-2022-PCM</t>
  </si>
  <si>
    <t>Geiner Alvarado López</t>
  </si>
  <si>
    <t>RS 205-2022-PCM</t>
  </si>
  <si>
    <t>Richard Tineo Quispe</t>
  </si>
  <si>
    <t>RS 242-2022-PCM</t>
  </si>
  <si>
    <t>Paola Lazarte Castillo</t>
  </si>
  <si>
    <t>RS 355-2022-PCM</t>
  </si>
  <si>
    <t>Minister #19</t>
  </si>
  <si>
    <t>Raúl Pérez-Reyes Espejo</t>
  </si>
  <si>
    <t>RS 136-2023-PCM</t>
  </si>
  <si>
    <t>Name mileston</t>
  </si>
  <si>
    <t>label</t>
  </si>
  <si>
    <t>Category</t>
  </si>
  <si>
    <t>Milestone</t>
  </si>
  <si>
    <t>Black</t>
  </si>
  <si>
    <t>Supportive</t>
  </si>
  <si>
    <t>Disruptive</t>
  </si>
  <si>
    <t>Red</t>
  </si>
  <si>
    <t>Addressing Barriers / Bottlenecks</t>
  </si>
  <si>
    <t>Green</t>
  </si>
  <si>
    <t>Supportive / Complementary</t>
  </si>
  <si>
    <t>Check this one, not on 3x3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</si>
</sst>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14" fontId="0" fillId="0" borderId="0" xfId="0" applyNumberFormat="1"/>
    <xf numFmtId="0" fontId="0" fillId="0" borderId="0" xfId="0" applyAlignment="1">
      <alignment wrapText="1"/>
    </xf>
    <xf numFmtId="14" fontId="1" fillId="0" borderId="0" xfId="0" applyNumberFormat="1" applyFont="1" applyAlignment="1">
      <alignment horizontal="center" wrapText="1"/>
    </xf>
    <xf numFmtId="2" fontId="0" fillId="0" borderId="0" xfId="0" applyNumberFormat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v>Base</c:v>
          </c:tx>
          <c:spPr>
            <a:noFill/>
            <a:ln>
              <a:noFill/>
            </a:ln>
            <a:effectLst/>
          </c:spPr>
          <c:invertIfNegative val="0"/>
          <c:cat>
            <c:strRef>
              <c:f>Final_Minister_chart!$B$3:$B$21</c:f>
              <c:strCache>
                <c:ptCount val="19"/>
                <c:pt idx="0">
                  <c:v>Minister #1</c:v>
                </c:pt>
                <c:pt idx="1">
                  <c:v>Minister #2</c:v>
                </c:pt>
                <c:pt idx="2">
                  <c:v>Minister #3</c:v>
                </c:pt>
                <c:pt idx="3">
                  <c:v>Minister #4</c:v>
                </c:pt>
                <c:pt idx="4">
                  <c:v>Minister #5</c:v>
                </c:pt>
                <c:pt idx="5">
                  <c:v>Minister #6</c:v>
                </c:pt>
                <c:pt idx="6">
                  <c:v>Minister #7</c:v>
                </c:pt>
                <c:pt idx="7">
                  <c:v>Minister #8</c:v>
                </c:pt>
                <c:pt idx="8">
                  <c:v>Minister #9</c:v>
                </c:pt>
                <c:pt idx="9">
                  <c:v>Minister #10</c:v>
                </c:pt>
                <c:pt idx="10">
                  <c:v>Minister #11</c:v>
                </c:pt>
                <c:pt idx="11">
                  <c:v>Minister #12</c:v>
                </c:pt>
                <c:pt idx="12">
                  <c:v>Minister #13</c:v>
                </c:pt>
                <c:pt idx="13">
                  <c:v>Minister #14</c:v>
                </c:pt>
                <c:pt idx="14">
                  <c:v>Minister #15</c:v>
                </c:pt>
                <c:pt idx="15">
                  <c:v>Minister #16</c:v>
                </c:pt>
                <c:pt idx="16">
                  <c:v>Minister #17</c:v>
                </c:pt>
                <c:pt idx="17">
                  <c:v>Minister #18</c:v>
                </c:pt>
                <c:pt idx="18">
                  <c:v>Minister #19</c:v>
                </c:pt>
              </c:strCache>
            </c:strRef>
          </c:cat>
          <c:val>
            <c:numRef>
              <c:f>Final_Minister_chart!$M$3:$M$21</c:f>
              <c:numCache>
                <c:formatCode>m/d/yyyy</c:formatCode>
                <c:ptCount val="19"/>
                <c:pt idx="0">
                  <c:v>39782</c:v>
                </c:pt>
                <c:pt idx="1">
                  <c:v>40753</c:v>
                </c:pt>
                <c:pt idx="2">
                  <c:v>41814</c:v>
                </c:pt>
                <c:pt idx="3">
                  <c:v>42580</c:v>
                </c:pt>
                <c:pt idx="4">
                  <c:v>42881</c:v>
                </c:pt>
                <c:pt idx="5">
                  <c:v>43187</c:v>
                </c:pt>
                <c:pt idx="6">
                  <c:v>43582</c:v>
                </c:pt>
                <c:pt idx="7">
                  <c:v>43565</c:v>
                </c:pt>
                <c:pt idx="8">
                  <c:v>43875</c:v>
                </c:pt>
                <c:pt idx="9">
                  <c:v>44028</c:v>
                </c:pt>
                <c:pt idx="10">
                  <c:v>44147</c:v>
                </c:pt>
                <c:pt idx="11">
                  <c:v>44154</c:v>
                </c:pt>
                <c:pt idx="12">
                  <c:v>44407</c:v>
                </c:pt>
                <c:pt idx="13">
                  <c:v>44624</c:v>
                </c:pt>
                <c:pt idx="14">
                  <c:v>44704</c:v>
                </c:pt>
                <c:pt idx="15">
                  <c:v>44779</c:v>
                </c:pt>
                <c:pt idx="16">
                  <c:v>44828</c:v>
                </c:pt>
                <c:pt idx="17">
                  <c:v>44908</c:v>
                </c:pt>
                <c:pt idx="18">
                  <c:v>45176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633-4A54-830B-97579360AA21}"/>
            </c:ext>
          </c:extLst>
        </c:ser>
        <c:ser>
          <c:idx val="1"/>
          <c:order val="1"/>
          <c:tx>
            <c:v>Time in charge (days)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Final_Minister_chart!$B$3:$B$21</c:f>
              <c:strCache>
                <c:ptCount val="19"/>
                <c:pt idx="0">
                  <c:v>Minister #1</c:v>
                </c:pt>
                <c:pt idx="1">
                  <c:v>Minister #2</c:v>
                </c:pt>
                <c:pt idx="2">
                  <c:v>Minister #3</c:v>
                </c:pt>
                <c:pt idx="3">
                  <c:v>Minister #4</c:v>
                </c:pt>
                <c:pt idx="4">
                  <c:v>Minister #5</c:v>
                </c:pt>
                <c:pt idx="5">
                  <c:v>Minister #6</c:v>
                </c:pt>
                <c:pt idx="6">
                  <c:v>Minister #7</c:v>
                </c:pt>
                <c:pt idx="7">
                  <c:v>Minister #8</c:v>
                </c:pt>
                <c:pt idx="8">
                  <c:v>Minister #9</c:v>
                </c:pt>
                <c:pt idx="9">
                  <c:v>Minister #10</c:v>
                </c:pt>
                <c:pt idx="10">
                  <c:v>Minister #11</c:v>
                </c:pt>
                <c:pt idx="11">
                  <c:v>Minister #12</c:v>
                </c:pt>
                <c:pt idx="12">
                  <c:v>Minister #13</c:v>
                </c:pt>
                <c:pt idx="13">
                  <c:v>Minister #14</c:v>
                </c:pt>
                <c:pt idx="14">
                  <c:v>Minister #15</c:v>
                </c:pt>
                <c:pt idx="15">
                  <c:v>Minister #16</c:v>
                </c:pt>
                <c:pt idx="16">
                  <c:v>Minister #17</c:v>
                </c:pt>
                <c:pt idx="17">
                  <c:v>Minister #18</c:v>
                </c:pt>
                <c:pt idx="18">
                  <c:v>Minister #19</c:v>
                </c:pt>
              </c:strCache>
            </c:strRef>
          </c:cat>
          <c:val>
            <c:numRef>
              <c:f>Final_Minister_chart!$V$3:$V$21</c:f>
              <c:numCache>
                <c:formatCode>General</c:formatCode>
                <c:ptCount val="19"/>
                <c:pt idx="0">
                  <c:v>971</c:v>
                </c:pt>
                <c:pt idx="1">
                  <c:v>1061</c:v>
                </c:pt>
                <c:pt idx="2">
                  <c:v>766</c:v>
                </c:pt>
                <c:pt idx="3">
                  <c:v>301</c:v>
                </c:pt>
                <c:pt idx="4">
                  <c:v>306</c:v>
                </c:pt>
                <c:pt idx="5">
                  <c:v>395</c:v>
                </c:pt>
                <c:pt idx="6">
                  <c:v>160</c:v>
                </c:pt>
                <c:pt idx="7">
                  <c:v>310</c:v>
                </c:pt>
                <c:pt idx="8">
                  <c:v>153</c:v>
                </c:pt>
                <c:pt idx="9">
                  <c:v>148</c:v>
                </c:pt>
                <c:pt idx="10">
                  <c:v>7</c:v>
                </c:pt>
                <c:pt idx="11">
                  <c:v>253</c:v>
                </c:pt>
                <c:pt idx="12">
                  <c:v>247</c:v>
                </c:pt>
                <c:pt idx="13">
                  <c:v>80</c:v>
                </c:pt>
                <c:pt idx="14">
                  <c:v>16</c:v>
                </c:pt>
                <c:pt idx="15">
                  <c:v>49</c:v>
                </c:pt>
                <c:pt idx="16">
                  <c:v>80</c:v>
                </c:pt>
                <c:pt idx="17">
                  <c:v>208</c:v>
                </c:pt>
                <c:pt idx="18" formatCode="0.00">
                  <c:v>348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633-4A54-830B-97579360AA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overlap val="100"/>
        <c:axId val="533358239"/>
        <c:axId val="1859336383"/>
      </c:barChart>
      <c:scatterChart>
        <c:scatterStyle val="smoothMarker"/>
        <c:varyColors val="0"/>
        <c:ser>
          <c:idx val="2"/>
          <c:order val="2"/>
          <c:tx>
            <c:strRef>
              <c:f>Final_Minister_chart!$V$25</c:f>
              <c:strCache>
                <c:ptCount val="1"/>
                <c:pt idx="0">
                  <c:v>Milestone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Final_Minister_chart!$T$24:$T$25</c:f>
              <c:numCache>
                <c:formatCode>m/d/yyyy</c:formatCode>
                <c:ptCount val="2"/>
                <c:pt idx="0">
                  <c:v>40744</c:v>
                </c:pt>
                <c:pt idx="1">
                  <c:v>40744</c:v>
                </c:pt>
              </c:numCache>
            </c:numRef>
          </c:xVal>
          <c:yVal>
            <c:numRef>
              <c:f>Final_Minister_chart!$U$24:$U$25</c:f>
              <c:numCache>
                <c:formatCode>General</c:formatCode>
                <c:ptCount val="2"/>
                <c:pt idx="0">
                  <c:v>1</c:v>
                </c:pt>
                <c:pt idx="1">
                  <c:v>0.94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0633-4A54-830B-97579360AA21}"/>
            </c:ext>
          </c:extLst>
        </c:ser>
        <c:ser>
          <c:idx val="3"/>
          <c:order val="3"/>
          <c:tx>
            <c:strRef>
              <c:f>Final_Minister_chart!$V$28</c:f>
              <c:strCache>
                <c:ptCount val="1"/>
                <c:pt idx="0">
                  <c:v>Disruptive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Final_Minister_chart!$T$27:$T$28</c:f>
              <c:numCache>
                <c:formatCode>m/d/yyyy</c:formatCode>
                <c:ptCount val="2"/>
                <c:pt idx="0">
                  <c:v>40874</c:v>
                </c:pt>
                <c:pt idx="1">
                  <c:v>40874</c:v>
                </c:pt>
              </c:numCache>
            </c:numRef>
          </c:xVal>
          <c:yVal>
            <c:numRef>
              <c:f>Final_Minister_chart!$U$27:$U$28</c:f>
              <c:numCache>
                <c:formatCode>General</c:formatCode>
                <c:ptCount val="2"/>
                <c:pt idx="0">
                  <c:v>0.95</c:v>
                </c:pt>
                <c:pt idx="1">
                  <c:v>0.9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0633-4A54-830B-97579360AA21}"/>
            </c:ext>
          </c:extLst>
        </c:ser>
        <c:ser>
          <c:idx val="4"/>
          <c:order val="4"/>
          <c:tx>
            <c:strRef>
              <c:f>Final_Minister_chart!$S$29</c:f>
              <c:strCache>
                <c:ptCount val="1"/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Final_Minister_chart!$T$29:$T$30</c:f>
              <c:numCache>
                <c:formatCode>m/d/yyyy</c:formatCode>
                <c:ptCount val="2"/>
                <c:pt idx="0">
                  <c:v>41110</c:v>
                </c:pt>
                <c:pt idx="1">
                  <c:v>41110</c:v>
                </c:pt>
              </c:numCache>
            </c:numRef>
          </c:xVal>
          <c:yVal>
            <c:numRef>
              <c:f>Final_Minister_chart!$U$29:$U$30</c:f>
              <c:numCache>
                <c:formatCode>General</c:formatCode>
                <c:ptCount val="2"/>
                <c:pt idx="0">
                  <c:v>0.95</c:v>
                </c:pt>
                <c:pt idx="1">
                  <c:v>0.9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0633-4A54-830B-97579360AA21}"/>
            </c:ext>
          </c:extLst>
        </c:ser>
        <c:ser>
          <c:idx val="5"/>
          <c:order val="5"/>
          <c:tx>
            <c:strRef>
              <c:f>Final_Minister_chart!$V$32</c:f>
              <c:strCache>
                <c:ptCount val="1"/>
                <c:pt idx="0">
                  <c:v>Addressing Barriers / Bottlenecks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Final_Minister_chart!$T$31:$T$32</c:f>
              <c:numCache>
                <c:formatCode>m/d/yyyy</c:formatCode>
                <c:ptCount val="2"/>
                <c:pt idx="0">
                  <c:v>41152</c:v>
                </c:pt>
                <c:pt idx="1">
                  <c:v>41152</c:v>
                </c:pt>
              </c:numCache>
            </c:numRef>
          </c:xVal>
          <c:yVal>
            <c:numRef>
              <c:f>Final_Minister_chart!$U$31:$U$32</c:f>
              <c:numCache>
                <c:formatCode>General</c:formatCode>
                <c:ptCount val="2"/>
                <c:pt idx="0">
                  <c:v>0.95</c:v>
                </c:pt>
                <c:pt idx="1">
                  <c:v>0.9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0633-4A54-830B-97579360AA21}"/>
            </c:ext>
          </c:extLst>
        </c:ser>
        <c:ser>
          <c:idx val="6"/>
          <c:order val="6"/>
          <c:tx>
            <c:strRef>
              <c:f>Final_Minister_chart!$S$33</c:f>
              <c:strCache>
                <c:ptCount val="1"/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Final_Minister_chart!$T$33:$T$34</c:f>
              <c:numCache>
                <c:formatCode>m/d/yyyy</c:formatCode>
                <c:ptCount val="2"/>
                <c:pt idx="0">
                  <c:v>41477</c:v>
                </c:pt>
                <c:pt idx="1">
                  <c:v>41477</c:v>
                </c:pt>
              </c:numCache>
            </c:numRef>
          </c:xVal>
          <c:yVal>
            <c:numRef>
              <c:f>Final_Minister_chart!$U$33:$U$34</c:f>
              <c:numCache>
                <c:formatCode>General</c:formatCode>
                <c:ptCount val="2"/>
                <c:pt idx="0">
                  <c:v>0.95</c:v>
                </c:pt>
                <c:pt idx="1">
                  <c:v>0.9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0633-4A54-830B-97579360AA21}"/>
            </c:ext>
          </c:extLst>
        </c:ser>
        <c:ser>
          <c:idx val="7"/>
          <c:order val="7"/>
          <c:tx>
            <c:strRef>
              <c:f>Final_Minister_chart!$S$35</c:f>
              <c:strCache>
                <c:ptCount val="1"/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Final_Minister_chart!$T$35:$T$36</c:f>
              <c:numCache>
                <c:formatCode>m/d/yyyy</c:formatCode>
                <c:ptCount val="2"/>
                <c:pt idx="0">
                  <c:v>41582</c:v>
                </c:pt>
                <c:pt idx="1">
                  <c:v>41582</c:v>
                </c:pt>
              </c:numCache>
            </c:numRef>
          </c:xVal>
          <c:yVal>
            <c:numRef>
              <c:f>Final_Minister_chart!$U$35:$U$36</c:f>
              <c:numCache>
                <c:formatCode>General</c:formatCode>
                <c:ptCount val="2"/>
                <c:pt idx="0">
                  <c:v>0.95</c:v>
                </c:pt>
                <c:pt idx="1">
                  <c:v>0.9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0633-4A54-830B-97579360AA21}"/>
            </c:ext>
          </c:extLst>
        </c:ser>
        <c:ser>
          <c:idx val="8"/>
          <c:order val="8"/>
          <c:tx>
            <c:strRef>
              <c:f>Final_Minister_chart!$S$37</c:f>
              <c:strCache>
                <c:ptCount val="1"/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Final_Minister_chart!$T$37:$T$38</c:f>
              <c:numCache>
                <c:formatCode>m/d/yyyy</c:formatCode>
                <c:ptCount val="2"/>
                <c:pt idx="0">
                  <c:v>41627</c:v>
                </c:pt>
                <c:pt idx="1">
                  <c:v>41627</c:v>
                </c:pt>
              </c:numCache>
            </c:numRef>
          </c:xVal>
          <c:yVal>
            <c:numRef>
              <c:f>Final_Minister_chart!$U$37:$U$38</c:f>
              <c:numCache>
                <c:formatCode>General</c:formatCode>
                <c:ptCount val="2"/>
                <c:pt idx="0">
                  <c:v>0.95</c:v>
                </c:pt>
                <c:pt idx="1">
                  <c:v>0.9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0633-4A54-830B-97579360AA21}"/>
            </c:ext>
          </c:extLst>
        </c:ser>
        <c:ser>
          <c:idx val="9"/>
          <c:order val="9"/>
          <c:tx>
            <c:strRef>
              <c:f>Final_Minister_chart!$S$39</c:f>
              <c:strCache>
                <c:ptCount val="1"/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Final_Minister_chart!$T$39:$T$40</c:f>
              <c:numCache>
                <c:formatCode>m/d/yyyy</c:formatCode>
                <c:ptCount val="2"/>
                <c:pt idx="0">
                  <c:v>41922</c:v>
                </c:pt>
                <c:pt idx="1">
                  <c:v>41922</c:v>
                </c:pt>
              </c:numCache>
            </c:numRef>
          </c:xVal>
          <c:yVal>
            <c:numRef>
              <c:f>Final_Minister_chart!$U$39:$U$40</c:f>
              <c:numCache>
                <c:formatCode>General</c:formatCode>
                <c:ptCount val="2"/>
                <c:pt idx="0">
                  <c:v>0.89</c:v>
                </c:pt>
                <c:pt idx="1">
                  <c:v>0.84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0633-4A54-830B-97579360AA21}"/>
            </c:ext>
          </c:extLst>
        </c:ser>
        <c:ser>
          <c:idx val="10"/>
          <c:order val="10"/>
          <c:tx>
            <c:strRef>
              <c:f>Final_Minister_chart!$S$41</c:f>
              <c:strCache>
                <c:ptCount val="1"/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Final_Minister_chart!$T$41:$T$42</c:f>
              <c:numCache>
                <c:formatCode>m/d/yyyy</c:formatCode>
                <c:ptCount val="2"/>
                <c:pt idx="0">
                  <c:v>42220</c:v>
                </c:pt>
                <c:pt idx="1">
                  <c:v>42220</c:v>
                </c:pt>
              </c:numCache>
            </c:numRef>
          </c:xVal>
          <c:yVal>
            <c:numRef>
              <c:f>Final_Minister_chart!$U$41:$U$42</c:f>
              <c:numCache>
                <c:formatCode>General</c:formatCode>
                <c:ptCount val="2"/>
                <c:pt idx="0">
                  <c:v>0.89</c:v>
                </c:pt>
                <c:pt idx="1">
                  <c:v>0.84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0633-4A54-830B-97579360AA21}"/>
            </c:ext>
          </c:extLst>
        </c:ser>
        <c:ser>
          <c:idx val="11"/>
          <c:order val="11"/>
          <c:tx>
            <c:strRef>
              <c:f>Final_Minister_chart!$S$43</c:f>
              <c:strCache>
                <c:ptCount val="1"/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Final_Minister_chart!$T$43:$T$44</c:f>
              <c:numCache>
                <c:formatCode>m/d/yyyy</c:formatCode>
                <c:ptCount val="2"/>
                <c:pt idx="0">
                  <c:v>42516</c:v>
                </c:pt>
                <c:pt idx="1">
                  <c:v>42516</c:v>
                </c:pt>
              </c:numCache>
            </c:numRef>
          </c:xVal>
          <c:yVal>
            <c:numRef>
              <c:f>Final_Minister_chart!$U$43:$U$44</c:f>
              <c:numCache>
                <c:formatCode>General</c:formatCode>
                <c:ptCount val="2"/>
                <c:pt idx="0">
                  <c:v>0.89</c:v>
                </c:pt>
                <c:pt idx="1">
                  <c:v>0.84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B-0633-4A54-830B-97579360AA21}"/>
            </c:ext>
          </c:extLst>
        </c:ser>
        <c:ser>
          <c:idx val="12"/>
          <c:order val="12"/>
          <c:tx>
            <c:strRef>
              <c:f>Final_Minister_chart!$S$45</c:f>
              <c:strCache>
                <c:ptCount val="1"/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Final_Minister_chart!$T$45:$T$46</c:f>
              <c:numCache>
                <c:formatCode>m/d/yyyy</c:formatCode>
                <c:ptCount val="2"/>
                <c:pt idx="0">
                  <c:v>43124</c:v>
                </c:pt>
                <c:pt idx="1">
                  <c:v>43124</c:v>
                </c:pt>
              </c:numCache>
            </c:numRef>
          </c:xVal>
          <c:yVal>
            <c:numRef>
              <c:f>Final_Minister_chart!$U$45:$U$46</c:f>
              <c:numCache>
                <c:formatCode>General</c:formatCode>
                <c:ptCount val="2"/>
                <c:pt idx="0">
                  <c:v>0.79</c:v>
                </c:pt>
                <c:pt idx="1">
                  <c:v>0.74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C-0633-4A54-830B-97579360AA21}"/>
            </c:ext>
          </c:extLst>
        </c:ser>
        <c:ser>
          <c:idx val="13"/>
          <c:order val="13"/>
          <c:tx>
            <c:strRef>
              <c:f>Final_Minister_chart!$S$49</c:f>
              <c:strCache>
                <c:ptCount val="1"/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Final_Minister_chart!$T$49:$T$50</c:f>
              <c:numCache>
                <c:formatCode>m/d/yyyy</c:formatCode>
                <c:ptCount val="2"/>
                <c:pt idx="0">
                  <c:v>45280</c:v>
                </c:pt>
                <c:pt idx="1">
                  <c:v>45280</c:v>
                </c:pt>
              </c:numCache>
            </c:numRef>
          </c:xVal>
          <c:yVal>
            <c:numRef>
              <c:f>Final_Minister_chart!$U$49:$U$50</c:f>
              <c:numCache>
                <c:formatCode>General</c:formatCode>
                <c:ptCount val="2"/>
                <c:pt idx="0">
                  <c:v>0.05</c:v>
                </c:pt>
                <c:pt idx="1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D-0633-4A54-830B-97579360AA21}"/>
            </c:ext>
          </c:extLst>
        </c:ser>
        <c:ser>
          <c:idx val="14"/>
          <c:order val="14"/>
          <c:tx>
            <c:strRef>
              <c:f>Final_Minister_chart!$S$52</c:f>
              <c:strCache>
                <c:ptCount val="1"/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Final_Minister_chart!$T$51:$T$52</c:f>
              <c:numCache>
                <c:formatCode>m/d/yyyy</c:formatCode>
                <c:ptCount val="2"/>
                <c:pt idx="0">
                  <c:v>45315</c:v>
                </c:pt>
                <c:pt idx="1">
                  <c:v>45315</c:v>
                </c:pt>
              </c:numCache>
            </c:numRef>
          </c:xVal>
          <c:yVal>
            <c:numRef>
              <c:f>Final_Minister_chart!$U$51:$U$52</c:f>
              <c:numCache>
                <c:formatCode>General</c:formatCode>
                <c:ptCount val="2"/>
                <c:pt idx="0">
                  <c:v>0.05</c:v>
                </c:pt>
                <c:pt idx="1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E-0633-4A54-830B-97579360AA21}"/>
            </c:ext>
          </c:extLst>
        </c:ser>
        <c:ser>
          <c:idx val="15"/>
          <c:order val="15"/>
          <c:tx>
            <c:strRef>
              <c:f>Final_Minister_chart!$S$53</c:f>
              <c:strCache>
                <c:ptCount val="1"/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Final_Minister_chart!$T$53:$T$54</c:f>
              <c:numCache>
                <c:formatCode>m/d/yyyy</c:formatCode>
                <c:ptCount val="2"/>
                <c:pt idx="0">
                  <c:v>45332</c:v>
                </c:pt>
                <c:pt idx="1">
                  <c:v>45332</c:v>
                </c:pt>
              </c:numCache>
            </c:numRef>
          </c:xVal>
          <c:yVal>
            <c:numRef>
              <c:f>Final_Minister_chart!$U$53:$U$54</c:f>
              <c:numCache>
                <c:formatCode>General</c:formatCode>
                <c:ptCount val="2"/>
                <c:pt idx="0">
                  <c:v>0.05</c:v>
                </c:pt>
                <c:pt idx="1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F-0633-4A54-830B-97579360AA21}"/>
            </c:ext>
          </c:extLst>
        </c:ser>
        <c:ser>
          <c:idx val="16"/>
          <c:order val="16"/>
          <c:tx>
            <c:strRef>
              <c:f>Final_Minister_chart!$R$47</c:f>
              <c:strCache>
                <c:ptCount val="1"/>
                <c:pt idx="0">
                  <c:v>Milestone 12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Final_Minister_chart!$T$47:$T$48</c:f>
              <c:numCache>
                <c:formatCode>m/d/yyyy</c:formatCode>
                <c:ptCount val="2"/>
                <c:pt idx="0">
                  <c:v>45175</c:v>
                </c:pt>
                <c:pt idx="1">
                  <c:v>45175</c:v>
                </c:pt>
              </c:numCache>
            </c:numRef>
          </c:xVal>
          <c:yVal>
            <c:numRef>
              <c:f>Final_Minister_chart!$U$47:$U$48</c:f>
              <c:numCache>
                <c:formatCode>General</c:formatCode>
                <c:ptCount val="2"/>
                <c:pt idx="0">
                  <c:v>0.05</c:v>
                </c:pt>
                <c:pt idx="1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0-0633-4A54-830B-97579360AA21}"/>
            </c:ext>
          </c:extLst>
        </c:ser>
        <c:ser>
          <c:idx val="17"/>
          <c:order val="17"/>
          <c:tx>
            <c:v>Supporting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Final_Minister_chart!$T$55:$T$56</c:f>
              <c:numCache>
                <c:formatCode>m/d/yyyy</c:formatCode>
                <c:ptCount val="2"/>
                <c:pt idx="0">
                  <c:v>41110</c:v>
                </c:pt>
                <c:pt idx="1">
                  <c:v>41110</c:v>
                </c:pt>
              </c:numCache>
            </c:numRef>
          </c:xVal>
          <c:yVal>
            <c:numRef>
              <c:f>Final_Minister_chart!$U$55:$U$56</c:f>
              <c:numCache>
                <c:formatCode>General</c:formatCode>
                <c:ptCount val="2"/>
                <c:pt idx="0">
                  <c:v>0.95</c:v>
                </c:pt>
                <c:pt idx="1">
                  <c:v>0.9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2-0633-4A54-830B-97579360AA21}"/>
            </c:ext>
          </c:extLst>
        </c:ser>
        <c:ser>
          <c:idx val="18"/>
          <c:order val="18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Final_Minister_chart!$T$57:$T$58</c:f>
              <c:numCache>
                <c:formatCode>m/d/yyyy</c:formatCode>
                <c:ptCount val="2"/>
                <c:pt idx="0">
                  <c:v>41133</c:v>
                </c:pt>
                <c:pt idx="1">
                  <c:v>41133</c:v>
                </c:pt>
              </c:numCache>
            </c:numRef>
          </c:xVal>
          <c:yVal>
            <c:numRef>
              <c:f>Final_Minister_chart!$U$57:$U$58</c:f>
              <c:numCache>
                <c:formatCode>General</c:formatCode>
                <c:ptCount val="2"/>
                <c:pt idx="0">
                  <c:v>0.95</c:v>
                </c:pt>
                <c:pt idx="1">
                  <c:v>0.9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3-0633-4A54-830B-97579360AA21}"/>
            </c:ext>
          </c:extLst>
        </c:ser>
        <c:ser>
          <c:idx val="19"/>
          <c:order val="19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Final_Minister_chart!$T$59:$T$60</c:f>
              <c:numCache>
                <c:formatCode>m/d/yyyy</c:formatCode>
                <c:ptCount val="2"/>
                <c:pt idx="0">
                  <c:v>41540</c:v>
                </c:pt>
                <c:pt idx="1">
                  <c:v>41540</c:v>
                </c:pt>
              </c:numCache>
            </c:numRef>
          </c:xVal>
          <c:yVal>
            <c:numRef>
              <c:f>Final_Minister_chart!$U$59:$U$60</c:f>
              <c:numCache>
                <c:formatCode>General</c:formatCode>
                <c:ptCount val="2"/>
                <c:pt idx="0">
                  <c:v>0.9</c:v>
                </c:pt>
                <c:pt idx="1">
                  <c:v>0.95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4-0633-4A54-830B-97579360AA21}"/>
            </c:ext>
          </c:extLst>
        </c:ser>
        <c:ser>
          <c:idx val="20"/>
          <c:order val="20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Final_Minister_chart!$T$61:$T$62</c:f>
              <c:numCache>
                <c:formatCode>m/d/yyyy</c:formatCode>
                <c:ptCount val="2"/>
                <c:pt idx="0">
                  <c:v>41631</c:v>
                </c:pt>
                <c:pt idx="1">
                  <c:v>41631</c:v>
                </c:pt>
              </c:numCache>
            </c:numRef>
          </c:xVal>
          <c:yVal>
            <c:numRef>
              <c:f>Final_Minister_chart!$U$61:$U$62</c:f>
              <c:numCache>
                <c:formatCode>General</c:formatCode>
                <c:ptCount val="2"/>
                <c:pt idx="0">
                  <c:v>0.9</c:v>
                </c:pt>
                <c:pt idx="1">
                  <c:v>0.95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5-0633-4A54-830B-97579360AA21}"/>
            </c:ext>
          </c:extLst>
        </c:ser>
        <c:ser>
          <c:idx val="21"/>
          <c:order val="2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Final_Minister_chart!$T$63:$T$64</c:f>
              <c:numCache>
                <c:formatCode>m/d/yyyy</c:formatCode>
                <c:ptCount val="2"/>
                <c:pt idx="0">
                  <c:v>41832</c:v>
                </c:pt>
                <c:pt idx="1">
                  <c:v>41832</c:v>
                </c:pt>
              </c:numCache>
            </c:numRef>
          </c:xVal>
          <c:yVal>
            <c:numRef>
              <c:f>Final_Minister_chart!$U$63:$U$64</c:f>
              <c:numCache>
                <c:formatCode>General</c:formatCode>
                <c:ptCount val="2"/>
                <c:pt idx="0">
                  <c:v>0.89</c:v>
                </c:pt>
                <c:pt idx="1">
                  <c:v>0.84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6-0633-4A54-830B-97579360AA21}"/>
            </c:ext>
          </c:extLst>
        </c:ser>
        <c:ser>
          <c:idx val="22"/>
          <c:order val="22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Final_Minister_chart!$T$65:$T$66</c:f>
              <c:numCache>
                <c:formatCode>m/d/yyyy</c:formatCode>
                <c:ptCount val="2"/>
                <c:pt idx="0">
                  <c:v>42112</c:v>
                </c:pt>
                <c:pt idx="1">
                  <c:v>42112</c:v>
                </c:pt>
              </c:numCache>
            </c:numRef>
          </c:xVal>
          <c:yVal>
            <c:numRef>
              <c:f>Final_Minister_chart!$U$65:$U$66</c:f>
              <c:numCache>
                <c:formatCode>General</c:formatCode>
                <c:ptCount val="2"/>
                <c:pt idx="0">
                  <c:v>0.89</c:v>
                </c:pt>
                <c:pt idx="1">
                  <c:v>0.84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7-0633-4A54-830B-97579360AA21}"/>
            </c:ext>
          </c:extLst>
        </c:ser>
        <c:ser>
          <c:idx val="23"/>
          <c:order val="23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Final_Minister_chart!$T$67:$T$68</c:f>
              <c:numCache>
                <c:formatCode>m/d/yyyy</c:formatCode>
                <c:ptCount val="2"/>
                <c:pt idx="0">
                  <c:v>42239</c:v>
                </c:pt>
                <c:pt idx="1">
                  <c:v>42239</c:v>
                </c:pt>
              </c:numCache>
            </c:numRef>
          </c:xVal>
          <c:yVal>
            <c:numRef>
              <c:f>Final_Minister_chart!$U$67:$U$68</c:f>
              <c:numCache>
                <c:formatCode>General</c:formatCode>
                <c:ptCount val="2"/>
                <c:pt idx="0">
                  <c:v>0.89</c:v>
                </c:pt>
                <c:pt idx="1">
                  <c:v>0.84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8-0633-4A54-830B-97579360AA21}"/>
            </c:ext>
          </c:extLst>
        </c:ser>
        <c:ser>
          <c:idx val="24"/>
          <c:order val="24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Final_Minister_chart!$T$69:$T$70</c:f>
              <c:numCache>
                <c:formatCode>m/d/yyyy</c:formatCode>
                <c:ptCount val="2"/>
                <c:pt idx="0">
                  <c:v>43509</c:v>
                </c:pt>
                <c:pt idx="1">
                  <c:v>43509</c:v>
                </c:pt>
              </c:numCache>
            </c:numRef>
          </c:xVal>
          <c:yVal>
            <c:numRef>
              <c:f>Final_Minister_chart!$U$69:$U$70</c:f>
              <c:numCache>
                <c:formatCode>General</c:formatCode>
                <c:ptCount val="2"/>
                <c:pt idx="0">
                  <c:v>0.74</c:v>
                </c:pt>
                <c:pt idx="1">
                  <c:v>0.69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9-0633-4A54-830B-97579360AA21}"/>
            </c:ext>
          </c:extLst>
        </c:ser>
        <c:ser>
          <c:idx val="25"/>
          <c:order val="25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Final_Minister_chart!$T$71:$T$72</c:f>
              <c:numCache>
                <c:formatCode>m/d/yyyy</c:formatCode>
                <c:ptCount val="2"/>
                <c:pt idx="0">
                  <c:v>44227</c:v>
                </c:pt>
                <c:pt idx="1">
                  <c:v>44227</c:v>
                </c:pt>
              </c:numCache>
            </c:numRef>
          </c:xVal>
          <c:yVal>
            <c:numRef>
              <c:f>Final_Minister_chart!$U$71:$U$72</c:f>
              <c:numCache>
                <c:formatCode>General</c:formatCode>
                <c:ptCount val="2"/>
                <c:pt idx="0">
                  <c:v>0.42</c:v>
                </c:pt>
                <c:pt idx="1">
                  <c:v>0.37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A-0633-4A54-830B-97579360AA21}"/>
            </c:ext>
          </c:extLst>
        </c:ser>
        <c:ser>
          <c:idx val="26"/>
          <c:order val="26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Final_Minister_chart!$T$73:$T$74</c:f>
              <c:numCache>
                <c:formatCode>m/d/yyyy</c:formatCode>
                <c:ptCount val="2"/>
                <c:pt idx="0">
                  <c:v>45064</c:v>
                </c:pt>
                <c:pt idx="1">
                  <c:v>45064</c:v>
                </c:pt>
              </c:numCache>
            </c:numRef>
          </c:xVal>
          <c:yVal>
            <c:numRef>
              <c:f>Final_Minister_chart!$U$73:$U$74</c:f>
              <c:numCache>
                <c:formatCode>General</c:formatCode>
                <c:ptCount val="2"/>
                <c:pt idx="0">
                  <c:v>0.11</c:v>
                </c:pt>
                <c:pt idx="1">
                  <c:v>0.05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B-0633-4A54-830B-97579360AA21}"/>
            </c:ext>
          </c:extLst>
        </c:ser>
        <c:ser>
          <c:idx val="27"/>
          <c:order val="27"/>
          <c:tx>
            <c:strRef>
              <c:f>Final_Minister_chart!#REF!</c:f>
              <c:strCache>
                <c:ptCount val="1"/>
                <c:pt idx="0">
                  <c:v>#REF!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xVal>
            <c:strRef>
              <c:f>Final_Minister_chart!#REF!</c:f>
              <c:strCache>
                <c:ptCount val="1"/>
                <c:pt idx="0">
                  <c:v>#REF!</c:v>
                </c:pt>
              </c:strCache>
            </c:strRef>
          </c:xVal>
          <c:yVal>
            <c:numRef>
              <c:f>Final_Minister_chart!#REF!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C-0633-4A54-830B-97579360AA21}"/>
            </c:ext>
          </c:extLst>
        </c:ser>
        <c:ser>
          <c:idx val="28"/>
          <c:order val="28"/>
          <c:tx>
            <c:strRef>
              <c:f>Final_Minister_chart!#REF!</c:f>
              <c:strCache>
                <c:ptCount val="1"/>
                <c:pt idx="0">
                  <c:v>#REF!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xVal>
            <c:strRef>
              <c:f>Final_Minister_chart!#REF!</c:f>
              <c:strCache>
                <c:ptCount val="1"/>
                <c:pt idx="0">
                  <c:v>#REF!</c:v>
                </c:pt>
              </c:strCache>
            </c:strRef>
          </c:xVal>
          <c:yVal>
            <c:numRef>
              <c:f>Final_Minister_chart!#REF!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D-0633-4A54-830B-97579360AA21}"/>
            </c:ext>
          </c:extLst>
        </c:ser>
        <c:ser>
          <c:idx val="29"/>
          <c:order val="29"/>
          <c:tx>
            <c:strRef>
              <c:f>Final_Minister_chart!$R$41</c:f>
              <c:strCache>
                <c:ptCount val="1"/>
                <c:pt idx="0">
                  <c:v>Milestone 9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Final_Minister_chart!$T$41:$T$42</c:f>
              <c:numCache>
                <c:formatCode>m/d/yyyy</c:formatCode>
                <c:ptCount val="2"/>
                <c:pt idx="0">
                  <c:v>42220</c:v>
                </c:pt>
                <c:pt idx="1">
                  <c:v>42220</c:v>
                </c:pt>
              </c:numCache>
            </c:numRef>
          </c:xVal>
          <c:yVal>
            <c:numRef>
              <c:f>Final_Minister_chart!$U$41:$U$42</c:f>
              <c:numCache>
                <c:formatCode>General</c:formatCode>
                <c:ptCount val="2"/>
                <c:pt idx="0">
                  <c:v>0.89</c:v>
                </c:pt>
                <c:pt idx="1">
                  <c:v>0.84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E-0633-4A54-830B-97579360AA21}"/>
            </c:ext>
          </c:extLst>
        </c:ser>
        <c:ser>
          <c:idx val="30"/>
          <c:order val="30"/>
          <c:tx>
            <c:strRef>
              <c:f>Final_Minister_chart!$S$43</c:f>
              <c:strCache>
                <c:ptCount val="1"/>
              </c:strCache>
            </c:strRef>
          </c:tx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Final_Minister_chart!$T$43:$T$44</c:f>
              <c:numCache>
                <c:formatCode>m/d/yyyy</c:formatCode>
                <c:ptCount val="2"/>
                <c:pt idx="0">
                  <c:v>42516</c:v>
                </c:pt>
                <c:pt idx="1">
                  <c:v>42516</c:v>
                </c:pt>
              </c:numCache>
            </c:numRef>
          </c:xVal>
          <c:yVal>
            <c:numRef>
              <c:f>Final_Minister_chart!$U$43:$U$44</c:f>
              <c:numCache>
                <c:formatCode>General</c:formatCode>
                <c:ptCount val="2"/>
                <c:pt idx="0">
                  <c:v>0.89</c:v>
                </c:pt>
                <c:pt idx="1">
                  <c:v>0.84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F-0633-4A54-830B-97579360AA21}"/>
            </c:ext>
          </c:extLst>
        </c:ser>
        <c:ser>
          <c:idx val="31"/>
          <c:order val="31"/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Final_Minister_chart!$T$29:$T$30</c:f>
              <c:numCache>
                <c:formatCode>m/d/yyyy</c:formatCode>
                <c:ptCount val="2"/>
                <c:pt idx="0">
                  <c:v>41110</c:v>
                </c:pt>
                <c:pt idx="1">
                  <c:v>41110</c:v>
                </c:pt>
              </c:numCache>
            </c:numRef>
          </c:xVal>
          <c:yVal>
            <c:numRef>
              <c:f>Final_Minister_chart!$U$29:$U$30</c:f>
              <c:numCache>
                <c:formatCode>General</c:formatCode>
                <c:ptCount val="2"/>
                <c:pt idx="0">
                  <c:v>0.95</c:v>
                </c:pt>
                <c:pt idx="1">
                  <c:v>0.9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0-0633-4A54-830B-97579360AA21}"/>
            </c:ext>
          </c:extLst>
        </c:ser>
        <c:ser>
          <c:idx val="32"/>
          <c:order val="32"/>
          <c:spPr>
            <a:ln w="28575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Final_Minister_chart!$T$37:$T$38</c:f>
              <c:numCache>
                <c:formatCode>m/d/yyyy</c:formatCode>
                <c:ptCount val="2"/>
                <c:pt idx="0">
                  <c:v>41627</c:v>
                </c:pt>
                <c:pt idx="1">
                  <c:v>41627</c:v>
                </c:pt>
              </c:numCache>
            </c:numRef>
          </c:xVal>
          <c:yVal>
            <c:numRef>
              <c:f>Final_Minister_chart!$U$37:$U$38</c:f>
              <c:numCache>
                <c:formatCode>General</c:formatCode>
                <c:ptCount val="2"/>
                <c:pt idx="0">
                  <c:v>0.95</c:v>
                </c:pt>
                <c:pt idx="1">
                  <c:v>0.9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1-0633-4A54-830B-97579360AA21}"/>
            </c:ext>
          </c:extLst>
        </c:ser>
        <c:ser>
          <c:idx val="33"/>
          <c:order val="33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Final_Minister_chart!$T$75:$T$76</c:f>
              <c:numCache>
                <c:formatCode>m/d/yyyy</c:formatCode>
                <c:ptCount val="2"/>
                <c:pt idx="0">
                  <c:v>45315</c:v>
                </c:pt>
                <c:pt idx="1">
                  <c:v>45315</c:v>
                </c:pt>
              </c:numCache>
            </c:numRef>
          </c:xVal>
          <c:yVal>
            <c:numRef>
              <c:f>Final_Minister_chart!$U$75:$U$76</c:f>
              <c:numCache>
                <c:formatCode>General</c:formatCode>
                <c:ptCount val="2"/>
                <c:pt idx="0">
                  <c:v>0.05</c:v>
                </c:pt>
                <c:pt idx="1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2-0633-4A54-830B-97579360AA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67778383"/>
        <c:axId val="1972079999"/>
      </c:scatterChart>
      <c:catAx>
        <c:axId val="533358239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9336383"/>
        <c:crosses val="autoZero"/>
        <c:auto val="1"/>
        <c:lblAlgn val="ctr"/>
        <c:lblOffset val="100"/>
        <c:noMultiLvlLbl val="0"/>
      </c:catAx>
      <c:valAx>
        <c:axId val="1859336383"/>
        <c:scaling>
          <c:orientation val="minMax"/>
          <c:max val="45500"/>
          <c:min val="39814"/>
        </c:scaling>
        <c:delete val="0"/>
        <c:axPos val="t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ysClr val="windowText" lastClr="000000"/>
                    </a:solidFill>
                  </a:rPr>
                  <a:t>Time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m/d/yyyy" sourceLinked="0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3358239"/>
        <c:crosses val="autoZero"/>
        <c:crossBetween val="between"/>
        <c:majorUnit val="365"/>
      </c:valAx>
      <c:valAx>
        <c:axId val="1972079999"/>
        <c:scaling>
          <c:orientation val="minMax"/>
          <c:max val="1"/>
        </c:scaling>
        <c:delete val="0"/>
        <c:axPos val="r"/>
        <c:numFmt formatCode="General" sourceLinked="1"/>
        <c:majorTickMark val="out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7778383"/>
        <c:crosses val="max"/>
        <c:crossBetween val="midCat"/>
      </c:valAx>
      <c:valAx>
        <c:axId val="867778383"/>
        <c:scaling>
          <c:orientation val="minMax"/>
        </c:scaling>
        <c:delete val="1"/>
        <c:axPos val="t"/>
        <c:numFmt formatCode="m/d/yyyy" sourceLinked="1"/>
        <c:majorTickMark val="out"/>
        <c:minorTickMark val="none"/>
        <c:tickLblPos val="nextTo"/>
        <c:crossAx val="1972079999"/>
        <c:crosses val="max"/>
        <c:crossBetween val="midCat"/>
      </c:valAx>
      <c:spPr>
        <a:noFill/>
        <a:ln>
          <a:noFill/>
        </a:ln>
        <a:effectLst/>
      </c:spPr>
    </c:plotArea>
    <c:legend>
      <c:legendPos val="r"/>
      <c:legendEntry>
        <c:idx val="0"/>
        <c:delete val="1"/>
      </c:legendEntry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legendEntry>
        <c:idx val="6"/>
        <c:delete val="1"/>
      </c:legendEntry>
      <c:legendEntry>
        <c:idx val="7"/>
        <c:delete val="1"/>
      </c:legendEntry>
      <c:legendEntry>
        <c:idx val="8"/>
        <c:delete val="1"/>
      </c:legendEntry>
      <c:legendEntry>
        <c:idx val="9"/>
        <c:delete val="1"/>
      </c:legendEntry>
      <c:legendEntry>
        <c:idx val="10"/>
        <c:delete val="1"/>
      </c:legendEntry>
      <c:legendEntry>
        <c:idx val="11"/>
        <c:delete val="1"/>
      </c:legendEntry>
      <c:legendEntry>
        <c:idx val="12"/>
        <c:delete val="1"/>
      </c:legendEntry>
      <c:legendEntry>
        <c:idx val="13"/>
        <c:delete val="1"/>
      </c:legendEntry>
      <c:legendEntry>
        <c:idx val="14"/>
        <c:delete val="1"/>
      </c:legendEntry>
      <c:legendEntry>
        <c:idx val="15"/>
        <c:delete val="1"/>
      </c:legendEntry>
      <c:legendEntry>
        <c:idx val="16"/>
        <c:delete val="1"/>
      </c:legendEntry>
      <c:legendEntry>
        <c:idx val="18"/>
        <c:delete val="1"/>
      </c:legendEntry>
      <c:legendEntry>
        <c:idx val="19"/>
        <c:delete val="1"/>
      </c:legendEntry>
      <c:legendEntry>
        <c:idx val="20"/>
        <c:delete val="1"/>
      </c:legendEntry>
      <c:legendEntry>
        <c:idx val="21"/>
        <c:delete val="1"/>
      </c:legendEntry>
      <c:legendEntry>
        <c:idx val="22"/>
        <c:delete val="1"/>
      </c:legendEntry>
      <c:legendEntry>
        <c:idx val="23"/>
        <c:delete val="1"/>
      </c:legendEntry>
      <c:legendEntry>
        <c:idx val="24"/>
        <c:delete val="1"/>
      </c:legendEntry>
      <c:legendEntry>
        <c:idx val="25"/>
        <c:delete val="1"/>
      </c:legendEntry>
      <c:legendEntry>
        <c:idx val="26"/>
        <c:delete val="1"/>
      </c:legendEntry>
      <c:legendEntry>
        <c:idx val="27"/>
        <c:delete val="1"/>
      </c:legendEntry>
      <c:legendEntry>
        <c:idx val="28"/>
        <c:delete val="1"/>
      </c:legendEntry>
      <c:legendEntry>
        <c:idx val="29"/>
        <c:delete val="1"/>
      </c:legendEntry>
      <c:legendEntry>
        <c:idx val="30"/>
        <c:delete val="1"/>
      </c:legendEntry>
      <c:legendEntry>
        <c:idx val="31"/>
        <c:delete val="1"/>
      </c:legendEntry>
      <c:legendEntry>
        <c:idx val="32"/>
        <c:delete val="1"/>
      </c:legendEntry>
      <c:legendEntry>
        <c:idx val="33"/>
        <c:delete val="1"/>
      </c:legendEntry>
      <c:layout>
        <c:manualLayout>
          <c:xMode val="edge"/>
          <c:yMode val="edge"/>
          <c:x val="0.31449651042205573"/>
          <c:y val="0.8400834224760636"/>
          <c:w val="0.27053506343166595"/>
          <c:h val="0.1215129442804386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587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227393</xdr:colOff>
      <xdr:row>21</xdr:row>
      <xdr:rowOff>122620</xdr:rowOff>
    </xdr:from>
    <xdr:to>
      <xdr:col>15</xdr:col>
      <xdr:colOff>95633</xdr:colOff>
      <xdr:row>49</xdr:row>
      <xdr:rowOff>79759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C72A95D-39AE-4F77-9C82-15CDFD5E9BA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0.28351</cdr:x>
      <cdr:y>0.84437</cdr:y>
    </cdr:from>
    <cdr:to>
      <cdr:x>0.4627</cdr:x>
      <cdr:y>0.89346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669645F8-7DDC-D7C7-C2C1-248012501204}"/>
            </a:ext>
          </a:extLst>
        </cdr:cNvPr>
        <cdr:cNvSpPr txBox="1"/>
      </cdr:nvSpPr>
      <cdr:spPr>
        <a:xfrm xmlns:a="http://schemas.openxmlformats.org/drawingml/2006/main">
          <a:off x="3644181" y="4467661"/>
          <a:ext cx="2303319" cy="25977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000" b="0">
              <a:solidFill>
                <a:schemeClr val="accent1">
                  <a:lumMod val="75000"/>
                </a:schemeClr>
              </a:solidFill>
            </a:rPr>
            <a:t>Decision-Maker Head/Responsable</a:t>
          </a:r>
        </a:p>
      </cdr:txBody>
    </cdr:sp>
  </cdr:relSizeAnchor>
  <cdr:relSizeAnchor xmlns:cdr="http://schemas.openxmlformats.org/drawingml/2006/chartDrawing">
    <cdr:from>
      <cdr:x>0.43845</cdr:x>
      <cdr:y>0.84437</cdr:y>
    </cdr:from>
    <cdr:to>
      <cdr:x>0.621</cdr:x>
      <cdr:y>0.88855</cdr:y>
    </cdr:to>
    <cdr:sp macro="" textlink="">
      <cdr:nvSpPr>
        <cdr:cNvPr id="8" name="TextBox 7">
          <a:extLst xmlns:a="http://schemas.openxmlformats.org/drawingml/2006/main">
            <a:ext uri="{FF2B5EF4-FFF2-40B4-BE49-F238E27FC236}">
              <a16:creationId xmlns:a16="http://schemas.microsoft.com/office/drawing/2014/main" id="{CD498086-4BFD-4585-AC0F-A14BFDE6AC90}"/>
            </a:ext>
          </a:extLst>
        </cdr:cNvPr>
        <cdr:cNvSpPr txBox="1"/>
      </cdr:nvSpPr>
      <cdr:spPr>
        <a:xfrm xmlns:a="http://schemas.openxmlformats.org/drawingml/2006/main">
          <a:off x="5635772" y="4467660"/>
          <a:ext cx="2346614" cy="23379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000">
              <a:solidFill>
                <a:schemeClr val="accent1">
                  <a:lumMod val="75000"/>
                </a:schemeClr>
              </a:solidFill>
              <a:latin typeface="+mn-lt"/>
              <a:cs typeface="Times New Roman" panose="02020603050405020304" pitchFamily="18" charset="0"/>
            </a:rPr>
            <a:t>Legal Network for Mobile Broadband</a:t>
          </a: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gob.pe/institucion/mtc/normas-legales/1608099-004-2021-mtc" TargetMode="External"/><Relationship Id="rId13" Type="http://schemas.openxmlformats.org/officeDocument/2006/relationships/hyperlink" Target="https://www.gob.pe/institucion/mtc/normas-legales/9994-014-2013-mtc" TargetMode="External"/><Relationship Id="rId3" Type="http://schemas.openxmlformats.org/officeDocument/2006/relationships/hyperlink" Target="https://www.gob.pe/institucion/mtc/normas-legales/9994-014-2013-mtc" TargetMode="External"/><Relationship Id="rId7" Type="http://schemas.openxmlformats.org/officeDocument/2006/relationships/hyperlink" Target="https://www.investinperu.pe/es/app/procesos-concluidos/proyecto/8100" TargetMode="External"/><Relationship Id="rId12" Type="http://schemas.openxmlformats.org/officeDocument/2006/relationships/hyperlink" Target="https://www.gob.pe/institucion/mtc/normas-legales/4245777-0613-2023-mtc-01-03" TargetMode="External"/><Relationship Id="rId2" Type="http://schemas.openxmlformats.org/officeDocument/2006/relationships/hyperlink" Target="https://www.investinperu.pe/es/app/procesos-concluidos/procesos-por-iniciativa-estatal/banda-c-en-1900-mhz" TargetMode="External"/><Relationship Id="rId1" Type="http://schemas.openxmlformats.org/officeDocument/2006/relationships/hyperlink" Target="https://www.gob.pe/institucion/mtc/informes-publicaciones/2227526-dgprc-plan-nacional-para-el-desarrollo-de-la-banda-ancha-en-el-peru" TargetMode="External"/><Relationship Id="rId6" Type="http://schemas.openxmlformats.org/officeDocument/2006/relationships/hyperlink" Target="https://cdn.www.gob.pe/uploads/document/file/19190/9984-publicacion-del-decreto-supremo-n-004-2015-mtc-en-el-diario-oficial-el-peruano.pdf?v=1700381310" TargetMode="External"/><Relationship Id="rId11" Type="http://schemas.openxmlformats.org/officeDocument/2006/relationships/hyperlink" Target="https://www.gob.pe/institucion/mtc/normas-legales/1608099-004-2021-mtc" TargetMode="External"/><Relationship Id="rId5" Type="http://schemas.openxmlformats.org/officeDocument/2006/relationships/hyperlink" Target="https://www.osiptel.gob.pe/n%C2%BA-123-2014-cd-osiptel/" TargetMode="External"/><Relationship Id="rId15" Type="http://schemas.openxmlformats.org/officeDocument/2006/relationships/hyperlink" Target="https://www.gob.pe/institucion/mtc/normas-legales/344616-011-2012-mtc" TargetMode="External"/><Relationship Id="rId10" Type="http://schemas.openxmlformats.org/officeDocument/2006/relationships/hyperlink" Target="https://cdn.www.gob.pe/uploads/document/file/3287862/085-2019.pdf.pdf?v=1655936551" TargetMode="External"/><Relationship Id="rId4" Type="http://schemas.openxmlformats.org/officeDocument/2006/relationships/hyperlink" Target="https://www.osiptel.gob.pe/n-166-2013-cd-osiptel/" TargetMode="External"/><Relationship Id="rId9" Type="http://schemas.openxmlformats.org/officeDocument/2006/relationships/hyperlink" Target="https://www.investinperu.pe/es/app/procesos-concluidos/procesos-por-iniciativa-estatal/banda-899915-y-944960mhz-lyc-902915-y-9479" TargetMode="External"/><Relationship Id="rId14" Type="http://schemas.openxmlformats.org/officeDocument/2006/relationships/hyperlink" Target="https://www.gob.pe/institucion/mtc/normas-legales/5092609-001-2024-mtc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5A3B5-264C-4832-B28D-03104DD82C69}">
  <dimension ref="A1:J27"/>
  <sheetViews>
    <sheetView workbookViewId="0">
      <selection activeCell="D7" sqref="D7:E14"/>
    </sheetView>
  </sheetViews>
  <sheetFormatPr defaultRowHeight="15"/>
  <cols>
    <col min="1" max="1" width="12.42578125" bestFit="1" customWidth="1"/>
    <col min="3" max="3" width="26.7109375" bestFit="1" customWidth="1"/>
    <col min="4" max="4" width="13.7109375" bestFit="1" customWidth="1"/>
    <col min="5" max="5" width="61.42578125" bestFit="1" customWidth="1"/>
    <col min="6" max="6" width="10.42578125" bestFit="1" customWidth="1"/>
  </cols>
  <sheetData>
    <row r="1" spans="1:10"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</row>
    <row r="2" spans="1:10">
      <c r="A2" t="s">
        <v>8</v>
      </c>
      <c r="B2">
        <v>1</v>
      </c>
      <c r="C2" t="s">
        <v>9</v>
      </c>
      <c r="D2" t="s">
        <v>10</v>
      </c>
      <c r="E2" t="s">
        <v>11</v>
      </c>
      <c r="F2" s="1">
        <v>40744</v>
      </c>
      <c r="G2">
        <f t="shared" ref="G2:G16" si="0">DAY(F2)</f>
        <v>20</v>
      </c>
      <c r="H2">
        <f t="shared" ref="H2:H16" si="1">MONTH(F2)</f>
        <v>7</v>
      </c>
      <c r="I2">
        <f t="shared" ref="I2:I16" si="2">YEAR(F2)</f>
        <v>2011</v>
      </c>
      <c r="J2" s="5" t="s">
        <v>12</v>
      </c>
    </row>
    <row r="3" spans="1:10">
      <c r="A3" t="s">
        <v>13</v>
      </c>
      <c r="B3">
        <v>2</v>
      </c>
      <c r="C3" t="s">
        <v>9</v>
      </c>
      <c r="D3" t="s">
        <v>14</v>
      </c>
      <c r="E3" t="s">
        <v>15</v>
      </c>
      <c r="F3" s="1">
        <v>40874</v>
      </c>
      <c r="G3">
        <f t="shared" si="0"/>
        <v>27</v>
      </c>
      <c r="H3">
        <f t="shared" si="1"/>
        <v>11</v>
      </c>
      <c r="I3">
        <f t="shared" si="2"/>
        <v>2011</v>
      </c>
      <c r="J3" s="5" t="s">
        <v>16</v>
      </c>
    </row>
    <row r="4" spans="1:10">
      <c r="A4" t="s">
        <v>17</v>
      </c>
      <c r="B4">
        <v>3</v>
      </c>
      <c r="C4" t="s">
        <v>9</v>
      </c>
      <c r="D4" t="s">
        <v>10</v>
      </c>
      <c r="E4" s="2" t="s">
        <v>18</v>
      </c>
      <c r="F4" s="1">
        <v>41110</v>
      </c>
      <c r="G4">
        <f t="shared" si="0"/>
        <v>20</v>
      </c>
      <c r="H4">
        <f t="shared" si="1"/>
        <v>7</v>
      </c>
      <c r="I4">
        <f t="shared" si="2"/>
        <v>2012</v>
      </c>
      <c r="J4" t="s">
        <v>19</v>
      </c>
    </row>
    <row r="5" spans="1:10">
      <c r="A5" t="s">
        <v>20</v>
      </c>
      <c r="B5">
        <v>4</v>
      </c>
      <c r="C5" t="s">
        <v>9</v>
      </c>
      <c r="D5" t="s">
        <v>14</v>
      </c>
      <c r="E5" t="s">
        <v>21</v>
      </c>
      <c r="F5" s="1">
        <v>41152</v>
      </c>
      <c r="G5">
        <f t="shared" si="0"/>
        <v>31</v>
      </c>
      <c r="H5">
        <f t="shared" si="1"/>
        <v>8</v>
      </c>
      <c r="I5">
        <f t="shared" si="2"/>
        <v>2012</v>
      </c>
      <c r="J5" s="5" t="s">
        <v>22</v>
      </c>
    </row>
    <row r="6" spans="1:10">
      <c r="A6" t="s">
        <v>23</v>
      </c>
      <c r="B6">
        <v>5</v>
      </c>
      <c r="C6" t="s">
        <v>9</v>
      </c>
      <c r="D6" t="s">
        <v>10</v>
      </c>
      <c r="E6" t="s">
        <v>24</v>
      </c>
      <c r="F6" s="1">
        <v>41477</v>
      </c>
      <c r="G6">
        <f t="shared" si="0"/>
        <v>22</v>
      </c>
      <c r="H6">
        <f t="shared" si="1"/>
        <v>7</v>
      </c>
      <c r="I6">
        <f t="shared" si="2"/>
        <v>2013</v>
      </c>
      <c r="J6" t="s">
        <v>25</v>
      </c>
    </row>
    <row r="7" spans="1:10">
      <c r="A7" t="s">
        <v>26</v>
      </c>
      <c r="B7">
        <v>6</v>
      </c>
      <c r="C7" t="s">
        <v>9</v>
      </c>
      <c r="D7" t="s">
        <v>10</v>
      </c>
      <c r="E7" t="s">
        <v>27</v>
      </c>
      <c r="F7" s="1">
        <v>41582</v>
      </c>
      <c r="G7">
        <f t="shared" si="0"/>
        <v>4</v>
      </c>
      <c r="H7">
        <f t="shared" si="1"/>
        <v>11</v>
      </c>
      <c r="I7">
        <f t="shared" si="2"/>
        <v>2013</v>
      </c>
      <c r="J7" s="5" t="s">
        <v>28</v>
      </c>
    </row>
    <row r="8" spans="1:10">
      <c r="A8" t="s">
        <v>29</v>
      </c>
      <c r="B8">
        <v>7</v>
      </c>
      <c r="C8" t="s">
        <v>9</v>
      </c>
      <c r="D8" t="s">
        <v>30</v>
      </c>
      <c r="E8" t="s">
        <v>31</v>
      </c>
      <c r="F8" s="1">
        <v>41627</v>
      </c>
      <c r="G8">
        <f t="shared" si="0"/>
        <v>19</v>
      </c>
      <c r="H8">
        <f t="shared" si="1"/>
        <v>12</v>
      </c>
      <c r="I8">
        <f t="shared" si="2"/>
        <v>2013</v>
      </c>
      <c r="J8" s="5" t="s">
        <v>32</v>
      </c>
    </row>
    <row r="9" spans="1:10">
      <c r="A9" t="s">
        <v>33</v>
      </c>
      <c r="B9">
        <v>8</v>
      </c>
      <c r="C9" t="s">
        <v>9</v>
      </c>
      <c r="D9" t="s">
        <v>30</v>
      </c>
      <c r="E9" t="s">
        <v>34</v>
      </c>
      <c r="F9" s="1">
        <v>41922</v>
      </c>
      <c r="G9">
        <f t="shared" si="0"/>
        <v>10</v>
      </c>
      <c r="H9">
        <f t="shared" si="1"/>
        <v>10</v>
      </c>
      <c r="I9">
        <f t="shared" si="2"/>
        <v>2014</v>
      </c>
      <c r="J9" s="5" t="s">
        <v>35</v>
      </c>
    </row>
    <row r="10" spans="1:10">
      <c r="A10" t="s">
        <v>36</v>
      </c>
      <c r="B10">
        <v>9</v>
      </c>
      <c r="C10" t="s">
        <v>9</v>
      </c>
      <c r="D10" t="s">
        <v>14</v>
      </c>
      <c r="E10" t="s">
        <v>37</v>
      </c>
      <c r="F10" s="1">
        <v>42220</v>
      </c>
      <c r="G10">
        <f t="shared" si="0"/>
        <v>4</v>
      </c>
      <c r="H10">
        <f t="shared" si="1"/>
        <v>8</v>
      </c>
      <c r="I10">
        <f t="shared" si="2"/>
        <v>2015</v>
      </c>
      <c r="J10" s="5" t="s">
        <v>38</v>
      </c>
    </row>
    <row r="11" spans="1:10">
      <c r="A11" t="s">
        <v>39</v>
      </c>
      <c r="B11">
        <v>10</v>
      </c>
      <c r="C11" t="s">
        <v>9</v>
      </c>
      <c r="D11" t="s">
        <v>10</v>
      </c>
      <c r="E11" t="s">
        <v>40</v>
      </c>
      <c r="F11" s="1">
        <v>42516</v>
      </c>
      <c r="G11">
        <f t="shared" si="0"/>
        <v>26</v>
      </c>
      <c r="H11">
        <f t="shared" si="1"/>
        <v>5</v>
      </c>
      <c r="I11">
        <f t="shared" si="2"/>
        <v>2016</v>
      </c>
      <c r="J11" s="5" t="s">
        <v>41</v>
      </c>
    </row>
    <row r="12" spans="1:10">
      <c r="A12" t="s">
        <v>42</v>
      </c>
      <c r="B12">
        <v>11</v>
      </c>
      <c r="C12" t="s">
        <v>9</v>
      </c>
      <c r="D12" t="s">
        <v>10</v>
      </c>
      <c r="E12" t="s">
        <v>43</v>
      </c>
      <c r="F12" s="1">
        <v>43124</v>
      </c>
      <c r="G12">
        <f t="shared" si="0"/>
        <v>24</v>
      </c>
      <c r="H12">
        <f t="shared" si="1"/>
        <v>1</v>
      </c>
      <c r="I12">
        <f t="shared" si="2"/>
        <v>2018</v>
      </c>
      <c r="J12" s="5" t="s">
        <v>44</v>
      </c>
    </row>
    <row r="13" spans="1:10">
      <c r="A13" t="s">
        <v>45</v>
      </c>
      <c r="B13">
        <v>12</v>
      </c>
      <c r="C13" t="s">
        <v>9</v>
      </c>
      <c r="D13" t="s">
        <v>10</v>
      </c>
      <c r="E13" t="s">
        <v>46</v>
      </c>
      <c r="F13" s="1">
        <v>45086</v>
      </c>
      <c r="G13">
        <f t="shared" si="0"/>
        <v>9</v>
      </c>
      <c r="H13">
        <f t="shared" si="1"/>
        <v>6</v>
      </c>
      <c r="I13">
        <f t="shared" si="2"/>
        <v>2023</v>
      </c>
      <c r="J13" t="s">
        <v>47</v>
      </c>
    </row>
    <row r="14" spans="1:10">
      <c r="A14" t="s">
        <v>48</v>
      </c>
      <c r="B14">
        <v>13</v>
      </c>
      <c r="C14" t="s">
        <v>9</v>
      </c>
      <c r="D14" t="s">
        <v>10</v>
      </c>
      <c r="E14" t="s">
        <v>49</v>
      </c>
      <c r="F14" s="1">
        <v>45280</v>
      </c>
      <c r="G14">
        <f t="shared" si="0"/>
        <v>20</v>
      </c>
      <c r="H14">
        <f t="shared" si="1"/>
        <v>12</v>
      </c>
      <c r="I14">
        <f t="shared" si="2"/>
        <v>2023</v>
      </c>
      <c r="J14" t="s">
        <v>47</v>
      </c>
    </row>
    <row r="15" spans="1:10">
      <c r="A15" t="s">
        <v>50</v>
      </c>
      <c r="B15">
        <v>14</v>
      </c>
      <c r="C15" t="s">
        <v>9</v>
      </c>
      <c r="D15" t="s">
        <v>10</v>
      </c>
      <c r="E15" t="s">
        <v>51</v>
      </c>
      <c r="F15" s="1">
        <v>45315</v>
      </c>
      <c r="G15">
        <f t="shared" si="0"/>
        <v>24</v>
      </c>
      <c r="H15">
        <f t="shared" si="1"/>
        <v>1</v>
      </c>
      <c r="I15">
        <f t="shared" si="2"/>
        <v>2024</v>
      </c>
      <c r="J15" t="s">
        <v>52</v>
      </c>
    </row>
    <row r="16" spans="1:10">
      <c r="A16" t="s">
        <v>53</v>
      </c>
      <c r="B16">
        <v>15</v>
      </c>
      <c r="C16" t="s">
        <v>9</v>
      </c>
      <c r="D16" t="s">
        <v>10</v>
      </c>
      <c r="E16" t="s">
        <v>54</v>
      </c>
      <c r="F16" s="1">
        <v>45332</v>
      </c>
      <c r="G16">
        <f t="shared" si="0"/>
        <v>10</v>
      </c>
      <c r="H16">
        <f t="shared" si="1"/>
        <v>2</v>
      </c>
      <c r="I16">
        <f t="shared" si="2"/>
        <v>2024</v>
      </c>
      <c r="J16" t="s">
        <v>55</v>
      </c>
    </row>
    <row r="17" spans="1:10">
      <c r="A17" t="s">
        <v>56</v>
      </c>
      <c r="B17">
        <v>1</v>
      </c>
      <c r="C17" t="s">
        <v>57</v>
      </c>
      <c r="D17" t="s">
        <v>30</v>
      </c>
      <c r="E17" t="s">
        <v>58</v>
      </c>
      <c r="F17" s="1">
        <v>41110</v>
      </c>
      <c r="G17">
        <v>20</v>
      </c>
      <c r="H17">
        <v>7</v>
      </c>
      <c r="I17">
        <v>2012</v>
      </c>
      <c r="J17" t="s">
        <v>19</v>
      </c>
    </row>
    <row r="18" spans="1:10">
      <c r="A18" t="s">
        <v>59</v>
      </c>
      <c r="B18">
        <v>2</v>
      </c>
      <c r="C18" t="s">
        <v>57</v>
      </c>
      <c r="D18" t="s">
        <v>14</v>
      </c>
      <c r="E18" t="s">
        <v>60</v>
      </c>
      <c r="F18" s="1">
        <v>41133</v>
      </c>
      <c r="G18">
        <v>12</v>
      </c>
      <c r="H18">
        <v>8</v>
      </c>
      <c r="I18">
        <v>2012</v>
      </c>
      <c r="J18" s="5" t="s">
        <v>61</v>
      </c>
    </row>
    <row r="19" spans="1:10">
      <c r="A19" t="s">
        <v>62</v>
      </c>
      <c r="B19">
        <v>3</v>
      </c>
      <c r="C19" t="s">
        <v>57</v>
      </c>
      <c r="D19" t="s">
        <v>14</v>
      </c>
      <c r="E19" t="s">
        <v>63</v>
      </c>
      <c r="F19" s="1">
        <v>41540</v>
      </c>
      <c r="G19">
        <v>23</v>
      </c>
      <c r="H19">
        <v>9</v>
      </c>
      <c r="I19">
        <v>2013</v>
      </c>
      <c r="J19" t="s">
        <v>64</v>
      </c>
    </row>
    <row r="20" spans="1:10">
      <c r="A20" t="s">
        <v>65</v>
      </c>
      <c r="B20">
        <v>4</v>
      </c>
      <c r="C20" t="s">
        <v>57</v>
      </c>
      <c r="D20" t="s">
        <v>14</v>
      </c>
      <c r="E20" t="s">
        <v>66</v>
      </c>
      <c r="F20" s="1">
        <v>41631</v>
      </c>
      <c r="G20">
        <v>23</v>
      </c>
      <c r="H20">
        <v>12</v>
      </c>
      <c r="I20">
        <v>2013</v>
      </c>
      <c r="J20" s="5" t="s">
        <v>28</v>
      </c>
    </row>
    <row r="21" spans="1:10">
      <c r="A21" t="s">
        <v>67</v>
      </c>
      <c r="B21">
        <v>5</v>
      </c>
      <c r="C21" t="s">
        <v>57</v>
      </c>
      <c r="D21" t="s">
        <v>10</v>
      </c>
      <c r="E21" t="s">
        <v>68</v>
      </c>
      <c r="F21" s="1">
        <v>41832</v>
      </c>
      <c r="G21">
        <v>12</v>
      </c>
      <c r="H21">
        <v>7</v>
      </c>
      <c r="I21">
        <v>2014</v>
      </c>
      <c r="J21" t="s">
        <v>69</v>
      </c>
    </row>
    <row r="22" spans="1:10">
      <c r="A22" t="s">
        <v>70</v>
      </c>
      <c r="B22">
        <v>6</v>
      </c>
      <c r="C22" t="s">
        <v>57</v>
      </c>
      <c r="D22" t="s">
        <v>30</v>
      </c>
      <c r="E22" t="s">
        <v>71</v>
      </c>
      <c r="F22" s="1">
        <v>42112</v>
      </c>
      <c r="G22">
        <v>18</v>
      </c>
      <c r="H22">
        <v>4</v>
      </c>
      <c r="I22">
        <v>2015</v>
      </c>
    </row>
    <row r="23" spans="1:10">
      <c r="A23" t="s">
        <v>72</v>
      </c>
      <c r="B23">
        <v>7</v>
      </c>
      <c r="C23" t="s">
        <v>57</v>
      </c>
      <c r="D23" t="s">
        <v>14</v>
      </c>
      <c r="E23" t="s">
        <v>73</v>
      </c>
      <c r="F23" s="1">
        <v>42220</v>
      </c>
      <c r="G23">
        <v>4</v>
      </c>
      <c r="H23">
        <v>8</v>
      </c>
      <c r="I23">
        <v>2015</v>
      </c>
      <c r="J23" t="s">
        <v>38</v>
      </c>
    </row>
    <row r="24" spans="1:10">
      <c r="A24" t="s">
        <v>74</v>
      </c>
      <c r="B24">
        <v>8</v>
      </c>
      <c r="C24" t="s">
        <v>57</v>
      </c>
      <c r="D24" t="s">
        <v>14</v>
      </c>
      <c r="E24" t="s">
        <v>75</v>
      </c>
      <c r="F24" s="1">
        <v>43509</v>
      </c>
      <c r="G24">
        <v>13</v>
      </c>
      <c r="H24">
        <v>2</v>
      </c>
      <c r="I24">
        <v>2019</v>
      </c>
      <c r="J24" s="5" t="s">
        <v>76</v>
      </c>
    </row>
    <row r="25" spans="1:10">
      <c r="A25" t="s">
        <v>77</v>
      </c>
      <c r="B25">
        <v>9</v>
      </c>
      <c r="C25" t="s">
        <v>57</v>
      </c>
      <c r="D25" t="s">
        <v>10</v>
      </c>
      <c r="E25" t="s">
        <v>78</v>
      </c>
      <c r="F25" s="1">
        <v>44227</v>
      </c>
      <c r="G25">
        <v>31</v>
      </c>
      <c r="H25">
        <v>1</v>
      </c>
      <c r="I25">
        <v>2021</v>
      </c>
      <c r="J25" s="5" t="s">
        <v>44</v>
      </c>
    </row>
    <row r="26" spans="1:10">
      <c r="A26" t="s">
        <v>79</v>
      </c>
      <c r="B26">
        <v>10</v>
      </c>
      <c r="C26" t="s">
        <v>57</v>
      </c>
      <c r="D26" t="s">
        <v>10</v>
      </c>
      <c r="E26" t="s">
        <v>80</v>
      </c>
      <c r="F26" s="1">
        <v>45064</v>
      </c>
      <c r="G26">
        <v>18</v>
      </c>
      <c r="H26">
        <v>5</v>
      </c>
      <c r="I26">
        <v>2023</v>
      </c>
      <c r="J26" s="5" t="s">
        <v>81</v>
      </c>
    </row>
    <row r="27" spans="1:10">
      <c r="A27" t="s">
        <v>82</v>
      </c>
      <c r="B27">
        <v>11</v>
      </c>
      <c r="C27" t="s">
        <v>57</v>
      </c>
      <c r="D27" t="s">
        <v>30</v>
      </c>
      <c r="E27" t="s">
        <v>83</v>
      </c>
      <c r="F27" s="1">
        <v>45315</v>
      </c>
      <c r="G27">
        <f t="shared" ref="G27" si="3">DAY(F27)</f>
        <v>24</v>
      </c>
      <c r="H27">
        <f t="shared" ref="H27" si="4">MONTH(F27)</f>
        <v>1</v>
      </c>
      <c r="I27">
        <f t="shared" ref="I27" si="5">YEAR(F27)</f>
        <v>2024</v>
      </c>
      <c r="J27" s="5" t="s">
        <v>52</v>
      </c>
    </row>
  </sheetData>
  <autoFilter ref="C1:I27" xr:uid="{DD45A3B5-264C-4832-B28D-03104DD82C69}"/>
  <hyperlinks>
    <hyperlink ref="J2" r:id="rId1" xr:uid="{4965D06C-8993-4F9A-9717-7A42AFCEE3EA}"/>
    <hyperlink ref="J3" r:id="rId2" xr:uid="{C262E9DF-A024-4A6C-A95D-F4D2B8FFE381}"/>
    <hyperlink ref="J7" r:id="rId3" xr:uid="{1CE0E93A-7FED-4A80-BC29-97F2124AE0DD}"/>
    <hyperlink ref="J8" r:id="rId4" xr:uid="{290C6D66-7605-4ED8-803B-E21D272DADD6}"/>
    <hyperlink ref="J9" r:id="rId5" xr:uid="{4E93C7E1-92E2-422B-AF81-BCFE2382BF9C}"/>
    <hyperlink ref="J10" r:id="rId6" xr:uid="{F5861A99-CBD7-4A1A-87AB-26B482405AE3}"/>
    <hyperlink ref="J11" r:id="rId7" xr:uid="{400C5C42-5D31-461F-BCB9-824A1724A98A}"/>
    <hyperlink ref="J12" r:id="rId8" xr:uid="{0BF9622C-6997-4200-B01A-9E775E274C17}"/>
    <hyperlink ref="J18" r:id="rId9" xr:uid="{B362BA9C-2424-4661-99F0-D11CE1882D84}"/>
    <hyperlink ref="J24" r:id="rId10" xr:uid="{BF0A709A-7322-4875-B399-FC0D4FD9A3A1}"/>
    <hyperlink ref="J25" r:id="rId11" xr:uid="{688C6E00-3D37-4720-B4EA-02B109DF6460}"/>
    <hyperlink ref="J26" r:id="rId12" xr:uid="{7B8B20F8-B49E-476C-9379-3221A613BB93}"/>
    <hyperlink ref="J20" r:id="rId13" xr:uid="{C17DD858-985F-4554-A771-19D7FAF0C34F}"/>
    <hyperlink ref="J27" r:id="rId14" xr:uid="{5658A219-8714-466B-A423-CB62F38717A8}"/>
    <hyperlink ref="J5" r:id="rId15" xr:uid="{97E19D4D-1DC2-42C8-AD4A-FA7551D56F59}"/>
  </hyperlinks>
  <pageMargins left="0.7" right="0.7" top="0.75" bottom="0.75" header="0.3" footer="0.3"/>
  <headerFooter>
    <oddFooter>&amp;R_x000D_&amp;1#&amp;"Aptos"&amp;10&amp;K000000 Official Use Only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26518B-5DDA-4BE7-A2C8-AF4A5174289C}">
  <dimension ref="A1:X76"/>
  <sheetViews>
    <sheetView tabSelected="1" topLeftCell="A23" zoomScale="60" zoomScaleNormal="60" workbookViewId="0">
      <selection activeCell="T29" sqref="T29"/>
    </sheetView>
  </sheetViews>
  <sheetFormatPr defaultRowHeight="15"/>
  <cols>
    <col min="2" max="2" width="11.85546875" bestFit="1" customWidth="1"/>
    <col min="3" max="3" width="46.28515625" bestFit="1" customWidth="1"/>
    <col min="4" max="4" width="21.140625" bestFit="1" customWidth="1"/>
    <col min="5" max="5" width="11.85546875" bestFit="1" customWidth="1"/>
    <col min="6" max="6" width="10.7109375" bestFit="1" customWidth="1"/>
    <col min="7" max="7" width="10.7109375" customWidth="1"/>
    <col min="13" max="13" width="10.7109375" bestFit="1" customWidth="1"/>
    <col min="16" max="16" width="9.7109375" bestFit="1" customWidth="1"/>
    <col min="19" max="19" width="12.42578125" bestFit="1" customWidth="1"/>
    <col min="20" max="20" width="11.5703125" bestFit="1" customWidth="1"/>
    <col min="22" max="22" width="10.7109375" bestFit="1" customWidth="1"/>
    <col min="23" max="23" width="9.7109375" bestFit="1" customWidth="1"/>
  </cols>
  <sheetData>
    <row r="1" spans="1:23">
      <c r="C1" t="s">
        <v>84</v>
      </c>
      <c r="I1" t="s">
        <v>85</v>
      </c>
      <c r="P1" t="s">
        <v>86</v>
      </c>
    </row>
    <row r="2" spans="1:23">
      <c r="C2" t="s">
        <v>87</v>
      </c>
      <c r="D2" t="s">
        <v>88</v>
      </c>
      <c r="E2" t="s">
        <v>89</v>
      </c>
      <c r="F2" t="s">
        <v>90</v>
      </c>
      <c r="H2" t="s">
        <v>91</v>
      </c>
      <c r="I2" t="s">
        <v>4</v>
      </c>
      <c r="J2" t="s">
        <v>92</v>
      </c>
      <c r="K2" t="s">
        <v>93</v>
      </c>
      <c r="P2" t="s">
        <v>4</v>
      </c>
      <c r="Q2" t="s">
        <v>92</v>
      </c>
      <c r="R2" t="s">
        <v>93</v>
      </c>
    </row>
    <row r="3" spans="1:23">
      <c r="A3">
        <v>1</v>
      </c>
      <c r="B3" t="str">
        <f>_xlfn.CONCAT("Minister #",A3)</f>
        <v>Minister #1</v>
      </c>
      <c r="C3" t="s">
        <v>94</v>
      </c>
      <c r="D3" t="s">
        <v>95</v>
      </c>
      <c r="E3" s="1">
        <v>39782</v>
      </c>
      <c r="F3" s="1">
        <v>40753</v>
      </c>
      <c r="G3" s="1">
        <f t="shared" ref="G3:G20" si="0">F3-E3</f>
        <v>971</v>
      </c>
      <c r="H3">
        <v>32.4</v>
      </c>
      <c r="I3">
        <f>DAY(E3)</f>
        <v>30</v>
      </c>
      <c r="J3">
        <f>MONTH(E3)</f>
        <v>11</v>
      </c>
      <c r="K3">
        <f>YEAR(E3)</f>
        <v>2008</v>
      </c>
      <c r="L3" t="str">
        <f>_xlfn.CONCAT(K3,J3)</f>
        <v>200811</v>
      </c>
      <c r="M3" s="1">
        <f>DATE(K3,J3,I3)</f>
        <v>39782</v>
      </c>
      <c r="N3">
        <v>1</v>
      </c>
      <c r="P3">
        <f>DAY(F3)</f>
        <v>29</v>
      </c>
      <c r="Q3">
        <f>MONTH(F3)</f>
        <v>7</v>
      </c>
      <c r="R3">
        <f>YEAR(F3)</f>
        <v>2011</v>
      </c>
      <c r="S3" t="str">
        <f>_xlfn.CONCAT(Q3,R3)</f>
        <v>72011</v>
      </c>
      <c r="T3" s="1">
        <f>DATE(R3,Q3,P3)</f>
        <v>40753</v>
      </c>
      <c r="V3">
        <f>T3-M3</f>
        <v>971</v>
      </c>
      <c r="W3" s="1"/>
    </row>
    <row r="4" spans="1:23">
      <c r="A4">
        <v>2</v>
      </c>
      <c r="B4" t="str">
        <f t="shared" ref="B4:B20" si="1">_xlfn.CONCAT("Minister #",A4)</f>
        <v>Minister #2</v>
      </c>
      <c r="C4" t="s">
        <v>96</v>
      </c>
      <c r="D4" t="s">
        <v>97</v>
      </c>
      <c r="E4" s="1">
        <v>40753</v>
      </c>
      <c r="F4" s="1">
        <v>41814</v>
      </c>
      <c r="G4" s="1">
        <f t="shared" si="0"/>
        <v>1061</v>
      </c>
      <c r="H4">
        <v>35.4</v>
      </c>
      <c r="I4">
        <f t="shared" ref="I4:I21" si="2">DAY(E4)</f>
        <v>29</v>
      </c>
      <c r="J4">
        <f t="shared" ref="J4:J21" si="3">MONTH(E4)</f>
        <v>7</v>
      </c>
      <c r="K4">
        <f t="shared" ref="K4:K21" si="4">YEAR(E4)</f>
        <v>2011</v>
      </c>
      <c r="L4" t="str">
        <f t="shared" ref="L4:L20" si="5">_xlfn.CONCAT(K4,J4)</f>
        <v>20117</v>
      </c>
      <c r="M4" s="1">
        <f t="shared" ref="M4:M20" si="6">DATE(K4,J4,I4)</f>
        <v>40753</v>
      </c>
      <c r="N4">
        <f>A4</f>
        <v>2</v>
      </c>
      <c r="P4">
        <f t="shared" ref="P4:P20" si="7">DAY(F4)</f>
        <v>24</v>
      </c>
      <c r="Q4">
        <f t="shared" ref="Q4:Q20" si="8">MONTH(F4)</f>
        <v>6</v>
      </c>
      <c r="R4">
        <f t="shared" ref="R4:R20" si="9">YEAR(F4)</f>
        <v>2014</v>
      </c>
      <c r="S4" t="str">
        <f t="shared" ref="S4:S20" si="10">_xlfn.CONCAT(Q4,R4)</f>
        <v>62014</v>
      </c>
      <c r="T4" s="1">
        <f t="shared" ref="T4:T20" si="11">DATE(R4,Q4,P4)</f>
        <v>41814</v>
      </c>
      <c r="V4">
        <f>T4-M4</f>
        <v>1061</v>
      </c>
      <c r="W4" s="1"/>
    </row>
    <row r="5" spans="1:23">
      <c r="A5">
        <v>3</v>
      </c>
      <c r="B5" t="str">
        <f t="shared" si="1"/>
        <v>Minister #3</v>
      </c>
      <c r="C5" t="s">
        <v>98</v>
      </c>
      <c r="D5" t="s">
        <v>99</v>
      </c>
      <c r="E5" s="1">
        <v>41814</v>
      </c>
      <c r="F5" s="1">
        <v>42580</v>
      </c>
      <c r="G5" s="1">
        <f t="shared" si="0"/>
        <v>766</v>
      </c>
      <c r="H5">
        <v>25.5</v>
      </c>
      <c r="I5">
        <f t="shared" si="2"/>
        <v>24</v>
      </c>
      <c r="J5">
        <f t="shared" si="3"/>
        <v>6</v>
      </c>
      <c r="K5">
        <f t="shared" si="4"/>
        <v>2014</v>
      </c>
      <c r="L5" t="str">
        <f t="shared" si="5"/>
        <v>20146</v>
      </c>
      <c r="M5" s="1">
        <f t="shared" si="6"/>
        <v>41814</v>
      </c>
      <c r="N5">
        <f t="shared" ref="N5:N20" si="12">A5</f>
        <v>3</v>
      </c>
      <c r="P5">
        <f t="shared" si="7"/>
        <v>29</v>
      </c>
      <c r="Q5">
        <f t="shared" si="8"/>
        <v>7</v>
      </c>
      <c r="R5">
        <f t="shared" si="9"/>
        <v>2016</v>
      </c>
      <c r="S5" t="str">
        <f t="shared" si="10"/>
        <v>72016</v>
      </c>
      <c r="T5" s="1">
        <f t="shared" si="11"/>
        <v>42580</v>
      </c>
      <c r="V5">
        <f t="shared" ref="V5:V20" si="13">T5-M5</f>
        <v>766</v>
      </c>
      <c r="W5" s="1"/>
    </row>
    <row r="6" spans="1:23">
      <c r="A6">
        <v>4</v>
      </c>
      <c r="B6" t="str">
        <f t="shared" si="1"/>
        <v>Minister #4</v>
      </c>
      <c r="C6" t="s">
        <v>100</v>
      </c>
      <c r="D6" t="s">
        <v>101</v>
      </c>
      <c r="E6" s="1">
        <v>42580</v>
      </c>
      <c r="F6" s="1">
        <v>42881</v>
      </c>
      <c r="G6" s="1">
        <f t="shared" si="0"/>
        <v>301</v>
      </c>
      <c r="H6">
        <v>10</v>
      </c>
      <c r="I6">
        <f t="shared" si="2"/>
        <v>29</v>
      </c>
      <c r="J6">
        <f t="shared" si="3"/>
        <v>7</v>
      </c>
      <c r="K6">
        <f t="shared" si="4"/>
        <v>2016</v>
      </c>
      <c r="L6" t="str">
        <f t="shared" si="5"/>
        <v>20167</v>
      </c>
      <c r="M6" s="1">
        <f t="shared" si="6"/>
        <v>42580</v>
      </c>
      <c r="N6">
        <f t="shared" si="12"/>
        <v>4</v>
      </c>
      <c r="P6">
        <f t="shared" si="7"/>
        <v>26</v>
      </c>
      <c r="Q6">
        <f t="shared" si="8"/>
        <v>5</v>
      </c>
      <c r="R6">
        <f t="shared" si="9"/>
        <v>2017</v>
      </c>
      <c r="S6" t="str">
        <f t="shared" si="10"/>
        <v>52017</v>
      </c>
      <c r="T6" s="1">
        <f t="shared" si="11"/>
        <v>42881</v>
      </c>
      <c r="V6">
        <f t="shared" si="13"/>
        <v>301</v>
      </c>
      <c r="W6" s="1"/>
    </row>
    <row r="7" spans="1:23">
      <c r="A7">
        <v>5</v>
      </c>
      <c r="B7" t="str">
        <f t="shared" si="1"/>
        <v>Minister #5</v>
      </c>
      <c r="C7" t="s">
        <v>102</v>
      </c>
      <c r="D7" t="s">
        <v>103</v>
      </c>
      <c r="E7" s="1">
        <v>42881</v>
      </c>
      <c r="F7" s="1">
        <v>43187</v>
      </c>
      <c r="G7" s="1">
        <f t="shared" si="0"/>
        <v>306</v>
      </c>
      <c r="H7">
        <v>10.199999999999999</v>
      </c>
      <c r="I7">
        <f t="shared" si="2"/>
        <v>26</v>
      </c>
      <c r="J7">
        <f t="shared" si="3"/>
        <v>5</v>
      </c>
      <c r="K7">
        <f t="shared" si="4"/>
        <v>2017</v>
      </c>
      <c r="L7" t="str">
        <f t="shared" si="5"/>
        <v>20175</v>
      </c>
      <c r="M7" s="1">
        <f t="shared" si="6"/>
        <v>42881</v>
      </c>
      <c r="N7">
        <f t="shared" si="12"/>
        <v>5</v>
      </c>
      <c r="P7">
        <f t="shared" si="7"/>
        <v>28</v>
      </c>
      <c r="Q7">
        <f t="shared" si="8"/>
        <v>3</v>
      </c>
      <c r="R7">
        <f t="shared" si="9"/>
        <v>2018</v>
      </c>
      <c r="S7" t="str">
        <f t="shared" si="10"/>
        <v>32018</v>
      </c>
      <c r="T7" s="1">
        <f t="shared" si="11"/>
        <v>43187</v>
      </c>
      <c r="V7">
        <f t="shared" si="13"/>
        <v>306</v>
      </c>
      <c r="W7" s="1"/>
    </row>
    <row r="8" spans="1:23">
      <c r="A8">
        <v>6</v>
      </c>
      <c r="B8" t="str">
        <f t="shared" si="1"/>
        <v>Minister #6</v>
      </c>
      <c r="C8" t="s">
        <v>104</v>
      </c>
      <c r="D8" t="s">
        <v>105</v>
      </c>
      <c r="E8" s="1">
        <v>43187</v>
      </c>
      <c r="F8" s="1">
        <v>43582</v>
      </c>
      <c r="G8" s="1">
        <f t="shared" si="0"/>
        <v>395</v>
      </c>
      <c r="H8">
        <v>13.2</v>
      </c>
      <c r="I8">
        <f t="shared" si="2"/>
        <v>28</v>
      </c>
      <c r="J8">
        <f t="shared" si="3"/>
        <v>3</v>
      </c>
      <c r="K8">
        <f t="shared" si="4"/>
        <v>2018</v>
      </c>
      <c r="L8" t="str">
        <f t="shared" si="5"/>
        <v>20183</v>
      </c>
      <c r="M8" s="1">
        <f t="shared" si="6"/>
        <v>43187</v>
      </c>
      <c r="N8">
        <f t="shared" si="12"/>
        <v>6</v>
      </c>
      <c r="P8">
        <f t="shared" si="7"/>
        <v>27</v>
      </c>
      <c r="Q8">
        <f t="shared" si="8"/>
        <v>4</v>
      </c>
      <c r="R8">
        <f t="shared" si="9"/>
        <v>2019</v>
      </c>
      <c r="S8" t="str">
        <f t="shared" si="10"/>
        <v>42019</v>
      </c>
      <c r="T8" s="1">
        <f t="shared" si="11"/>
        <v>43582</v>
      </c>
      <c r="V8">
        <f t="shared" si="13"/>
        <v>395</v>
      </c>
      <c r="W8" s="1"/>
    </row>
    <row r="9" spans="1:23">
      <c r="A9">
        <v>7</v>
      </c>
      <c r="B9" t="str">
        <f t="shared" si="1"/>
        <v>Minister #7</v>
      </c>
      <c r="C9" t="s">
        <v>106</v>
      </c>
      <c r="D9" t="s">
        <v>107</v>
      </c>
      <c r="E9" s="1">
        <v>43582</v>
      </c>
      <c r="F9" s="1">
        <v>43742</v>
      </c>
      <c r="G9" s="1">
        <f t="shared" si="0"/>
        <v>160</v>
      </c>
      <c r="H9">
        <v>5.3</v>
      </c>
      <c r="I9">
        <f t="shared" si="2"/>
        <v>27</v>
      </c>
      <c r="J9">
        <f t="shared" si="3"/>
        <v>4</v>
      </c>
      <c r="K9">
        <f t="shared" si="4"/>
        <v>2019</v>
      </c>
      <c r="L9" t="str">
        <f t="shared" si="5"/>
        <v>20194</v>
      </c>
      <c r="M9" s="1">
        <f t="shared" si="6"/>
        <v>43582</v>
      </c>
      <c r="N9">
        <f t="shared" si="12"/>
        <v>7</v>
      </c>
      <c r="P9">
        <f t="shared" si="7"/>
        <v>4</v>
      </c>
      <c r="Q9">
        <f t="shared" si="8"/>
        <v>10</v>
      </c>
      <c r="R9">
        <f t="shared" si="9"/>
        <v>2019</v>
      </c>
      <c r="S9" t="str">
        <f t="shared" si="10"/>
        <v>102019</v>
      </c>
      <c r="T9" s="1">
        <f t="shared" si="11"/>
        <v>43742</v>
      </c>
      <c r="V9">
        <f t="shared" si="13"/>
        <v>160</v>
      </c>
      <c r="W9" s="1"/>
    </row>
    <row r="10" spans="1:23">
      <c r="A10">
        <v>8</v>
      </c>
      <c r="B10" t="str">
        <f t="shared" si="1"/>
        <v>Minister #8</v>
      </c>
      <c r="C10" t="s">
        <v>104</v>
      </c>
      <c r="D10" t="s">
        <v>108</v>
      </c>
      <c r="E10" s="3">
        <v>43565</v>
      </c>
      <c r="F10" s="1">
        <v>43875</v>
      </c>
      <c r="G10" s="1">
        <f t="shared" si="0"/>
        <v>310</v>
      </c>
      <c r="H10">
        <v>4.4000000000000004</v>
      </c>
      <c r="I10">
        <f t="shared" si="2"/>
        <v>10</v>
      </c>
      <c r="J10">
        <f t="shared" si="3"/>
        <v>4</v>
      </c>
      <c r="K10">
        <f t="shared" si="4"/>
        <v>2019</v>
      </c>
      <c r="L10" t="str">
        <f t="shared" si="5"/>
        <v>20194</v>
      </c>
      <c r="M10" s="1">
        <f t="shared" si="6"/>
        <v>43565</v>
      </c>
      <c r="N10">
        <f t="shared" si="12"/>
        <v>8</v>
      </c>
      <c r="P10">
        <f t="shared" si="7"/>
        <v>14</v>
      </c>
      <c r="Q10">
        <f t="shared" si="8"/>
        <v>2</v>
      </c>
      <c r="R10">
        <f t="shared" si="9"/>
        <v>2020</v>
      </c>
      <c r="S10" t="str">
        <f t="shared" si="10"/>
        <v>22020</v>
      </c>
      <c r="T10" s="1">
        <f t="shared" si="11"/>
        <v>43875</v>
      </c>
      <c r="V10">
        <f t="shared" si="13"/>
        <v>310</v>
      </c>
      <c r="W10" s="1"/>
    </row>
    <row r="11" spans="1:23">
      <c r="A11">
        <v>9</v>
      </c>
      <c r="B11" t="str">
        <f t="shared" si="1"/>
        <v>Minister #9</v>
      </c>
      <c r="C11" t="s">
        <v>109</v>
      </c>
      <c r="D11" t="s">
        <v>110</v>
      </c>
      <c r="E11" s="1">
        <v>43875</v>
      </c>
      <c r="F11" s="1">
        <v>44028</v>
      </c>
      <c r="G11" s="1">
        <f t="shared" si="0"/>
        <v>153</v>
      </c>
      <c r="H11">
        <v>5.0999999999999996</v>
      </c>
      <c r="I11">
        <f t="shared" si="2"/>
        <v>14</v>
      </c>
      <c r="J11">
        <f t="shared" si="3"/>
        <v>2</v>
      </c>
      <c r="K11">
        <f t="shared" si="4"/>
        <v>2020</v>
      </c>
      <c r="L11" t="str">
        <f t="shared" si="5"/>
        <v>20202</v>
      </c>
      <c r="M11" s="1">
        <f t="shared" si="6"/>
        <v>43875</v>
      </c>
      <c r="N11">
        <f t="shared" si="12"/>
        <v>9</v>
      </c>
      <c r="P11">
        <f t="shared" si="7"/>
        <v>16</v>
      </c>
      <c r="Q11">
        <f t="shared" si="8"/>
        <v>7</v>
      </c>
      <c r="R11">
        <f t="shared" si="9"/>
        <v>2020</v>
      </c>
      <c r="S11" t="str">
        <f t="shared" si="10"/>
        <v>72020</v>
      </c>
      <c r="T11" s="1">
        <f t="shared" si="11"/>
        <v>44028</v>
      </c>
      <c r="V11">
        <f t="shared" si="13"/>
        <v>153</v>
      </c>
      <c r="W11" s="1"/>
    </row>
    <row r="12" spans="1:23">
      <c r="A12">
        <v>10</v>
      </c>
      <c r="B12" t="str">
        <f t="shared" si="1"/>
        <v>Minister #10</v>
      </c>
      <c r="C12" t="s">
        <v>111</v>
      </c>
      <c r="D12" t="s">
        <v>112</v>
      </c>
      <c r="E12" s="1">
        <v>44028</v>
      </c>
      <c r="F12" s="3">
        <v>44176</v>
      </c>
      <c r="G12" s="1">
        <f t="shared" si="0"/>
        <v>148</v>
      </c>
      <c r="H12">
        <v>4</v>
      </c>
      <c r="I12">
        <f t="shared" si="2"/>
        <v>16</v>
      </c>
      <c r="J12">
        <f t="shared" si="3"/>
        <v>7</v>
      </c>
      <c r="K12">
        <f t="shared" si="4"/>
        <v>2020</v>
      </c>
      <c r="L12" t="str">
        <f t="shared" si="5"/>
        <v>20207</v>
      </c>
      <c r="M12" s="1">
        <f t="shared" si="6"/>
        <v>44028</v>
      </c>
      <c r="N12">
        <f t="shared" si="12"/>
        <v>10</v>
      </c>
      <c r="P12">
        <f t="shared" si="7"/>
        <v>11</v>
      </c>
      <c r="Q12">
        <f t="shared" si="8"/>
        <v>12</v>
      </c>
      <c r="R12">
        <f t="shared" si="9"/>
        <v>2020</v>
      </c>
      <c r="S12" t="str">
        <f t="shared" si="10"/>
        <v>122020</v>
      </c>
      <c r="T12" s="1">
        <f t="shared" si="11"/>
        <v>44176</v>
      </c>
      <c r="V12">
        <f t="shared" si="13"/>
        <v>148</v>
      </c>
      <c r="W12" s="1"/>
    </row>
    <row r="13" spans="1:23">
      <c r="A13">
        <v>11</v>
      </c>
      <c r="B13" t="str">
        <f t="shared" si="1"/>
        <v>Minister #11</v>
      </c>
      <c r="C13" t="s">
        <v>113</v>
      </c>
      <c r="D13" t="s">
        <v>114</v>
      </c>
      <c r="E13" s="3">
        <v>44147</v>
      </c>
      <c r="F13" s="1">
        <v>44154</v>
      </c>
      <c r="G13" s="1">
        <f t="shared" si="0"/>
        <v>7</v>
      </c>
      <c r="H13">
        <v>0.2</v>
      </c>
      <c r="I13">
        <f t="shared" si="2"/>
        <v>12</v>
      </c>
      <c r="J13">
        <f t="shared" si="3"/>
        <v>11</v>
      </c>
      <c r="K13">
        <f t="shared" si="4"/>
        <v>2020</v>
      </c>
      <c r="L13" t="str">
        <f t="shared" si="5"/>
        <v>202011</v>
      </c>
      <c r="M13" s="1">
        <f t="shared" si="6"/>
        <v>44147</v>
      </c>
      <c r="N13">
        <f t="shared" si="12"/>
        <v>11</v>
      </c>
      <c r="P13">
        <f t="shared" si="7"/>
        <v>19</v>
      </c>
      <c r="Q13">
        <f>MONTH(F13)</f>
        <v>11</v>
      </c>
      <c r="R13">
        <f t="shared" si="9"/>
        <v>2020</v>
      </c>
      <c r="S13" t="str">
        <f t="shared" si="10"/>
        <v>112020</v>
      </c>
      <c r="T13" s="1">
        <f t="shared" si="11"/>
        <v>44154</v>
      </c>
      <c r="V13">
        <f t="shared" si="13"/>
        <v>7</v>
      </c>
      <c r="W13" s="1"/>
    </row>
    <row r="14" spans="1:23">
      <c r="A14">
        <v>12</v>
      </c>
      <c r="B14" t="str">
        <f t="shared" si="1"/>
        <v>Minister #12</v>
      </c>
      <c r="C14" t="s">
        <v>115</v>
      </c>
      <c r="D14" t="s">
        <v>116</v>
      </c>
      <c r="E14" s="1">
        <v>44154</v>
      </c>
      <c r="F14" s="1">
        <v>44407</v>
      </c>
      <c r="G14" s="1">
        <f t="shared" si="0"/>
        <v>253</v>
      </c>
      <c r="H14">
        <v>8.4</v>
      </c>
      <c r="I14">
        <f t="shared" si="2"/>
        <v>19</v>
      </c>
      <c r="J14">
        <f t="shared" si="3"/>
        <v>11</v>
      </c>
      <c r="K14">
        <f t="shared" si="4"/>
        <v>2020</v>
      </c>
      <c r="L14" t="str">
        <f t="shared" si="5"/>
        <v>202011</v>
      </c>
      <c r="M14" s="1">
        <f t="shared" si="6"/>
        <v>44154</v>
      </c>
      <c r="N14">
        <f t="shared" si="12"/>
        <v>12</v>
      </c>
      <c r="P14">
        <f t="shared" si="7"/>
        <v>30</v>
      </c>
      <c r="Q14">
        <f t="shared" si="8"/>
        <v>7</v>
      </c>
      <c r="R14">
        <f t="shared" si="9"/>
        <v>2021</v>
      </c>
      <c r="S14" t="str">
        <f t="shared" si="10"/>
        <v>72021</v>
      </c>
      <c r="T14" s="1">
        <f t="shared" si="11"/>
        <v>44407</v>
      </c>
      <c r="V14">
        <f t="shared" si="13"/>
        <v>253</v>
      </c>
      <c r="W14" s="1"/>
    </row>
    <row r="15" spans="1:23">
      <c r="A15">
        <v>13</v>
      </c>
      <c r="B15" t="str">
        <f t="shared" si="1"/>
        <v>Minister #13</v>
      </c>
      <c r="C15" t="s">
        <v>117</v>
      </c>
      <c r="D15" t="s">
        <v>118</v>
      </c>
      <c r="E15" s="1">
        <v>44407</v>
      </c>
      <c r="F15" s="3">
        <v>44654</v>
      </c>
      <c r="G15" s="1">
        <f t="shared" si="0"/>
        <v>247</v>
      </c>
      <c r="H15">
        <v>7.2</v>
      </c>
      <c r="I15">
        <f t="shared" si="2"/>
        <v>30</v>
      </c>
      <c r="J15">
        <f t="shared" si="3"/>
        <v>7</v>
      </c>
      <c r="K15">
        <f t="shared" si="4"/>
        <v>2021</v>
      </c>
      <c r="L15" t="str">
        <f t="shared" si="5"/>
        <v>20217</v>
      </c>
      <c r="M15" s="1">
        <f t="shared" si="6"/>
        <v>44407</v>
      </c>
      <c r="N15">
        <f t="shared" si="12"/>
        <v>13</v>
      </c>
      <c r="P15">
        <f t="shared" si="7"/>
        <v>3</v>
      </c>
      <c r="Q15">
        <f t="shared" si="8"/>
        <v>4</v>
      </c>
      <c r="R15">
        <f t="shared" si="9"/>
        <v>2022</v>
      </c>
      <c r="S15" t="str">
        <f t="shared" si="10"/>
        <v>42022</v>
      </c>
      <c r="T15" s="1">
        <f t="shared" si="11"/>
        <v>44654</v>
      </c>
      <c r="V15">
        <f t="shared" si="13"/>
        <v>247</v>
      </c>
      <c r="W15" s="1"/>
    </row>
    <row r="16" spans="1:23">
      <c r="A16">
        <v>14</v>
      </c>
      <c r="B16" t="str">
        <f t="shared" si="1"/>
        <v>Minister #14</v>
      </c>
      <c r="C16" t="s">
        <v>119</v>
      </c>
      <c r="D16" t="s">
        <v>120</v>
      </c>
      <c r="E16" s="3">
        <v>44624</v>
      </c>
      <c r="F16" s="1">
        <v>44704</v>
      </c>
      <c r="G16" s="1">
        <f t="shared" si="0"/>
        <v>80</v>
      </c>
      <c r="H16">
        <v>2.7</v>
      </c>
      <c r="I16">
        <f t="shared" si="2"/>
        <v>4</v>
      </c>
      <c r="J16">
        <f t="shared" si="3"/>
        <v>3</v>
      </c>
      <c r="K16">
        <f t="shared" si="4"/>
        <v>2022</v>
      </c>
      <c r="L16" t="str">
        <f t="shared" si="5"/>
        <v>20223</v>
      </c>
      <c r="M16" s="1">
        <f t="shared" si="6"/>
        <v>44624</v>
      </c>
      <c r="N16">
        <f t="shared" si="12"/>
        <v>14</v>
      </c>
      <c r="P16">
        <f t="shared" si="7"/>
        <v>23</v>
      </c>
      <c r="Q16">
        <f t="shared" si="8"/>
        <v>5</v>
      </c>
      <c r="R16">
        <f t="shared" si="9"/>
        <v>2022</v>
      </c>
      <c r="S16" t="str">
        <f t="shared" si="10"/>
        <v>52022</v>
      </c>
      <c r="T16" s="1">
        <f t="shared" si="11"/>
        <v>44704</v>
      </c>
      <c r="V16">
        <f t="shared" si="13"/>
        <v>80</v>
      </c>
      <c r="W16" s="1"/>
    </row>
    <row r="17" spans="1:24">
      <c r="A17">
        <v>15</v>
      </c>
      <c r="B17" t="str">
        <f t="shared" si="1"/>
        <v>Minister #15</v>
      </c>
      <c r="C17" t="s">
        <v>121</v>
      </c>
      <c r="D17" t="s">
        <v>122</v>
      </c>
      <c r="E17" s="1">
        <v>44704</v>
      </c>
      <c r="F17" s="3">
        <v>44720</v>
      </c>
      <c r="G17" s="1">
        <f t="shared" si="0"/>
        <v>16</v>
      </c>
      <c r="H17">
        <v>2.5</v>
      </c>
      <c r="I17">
        <f t="shared" si="2"/>
        <v>23</v>
      </c>
      <c r="J17">
        <f t="shared" si="3"/>
        <v>5</v>
      </c>
      <c r="K17">
        <f t="shared" si="4"/>
        <v>2022</v>
      </c>
      <c r="L17" t="str">
        <f t="shared" si="5"/>
        <v>20225</v>
      </c>
      <c r="M17" s="1">
        <f t="shared" si="6"/>
        <v>44704</v>
      </c>
      <c r="N17">
        <f t="shared" si="12"/>
        <v>15</v>
      </c>
      <c r="P17">
        <f t="shared" si="7"/>
        <v>8</v>
      </c>
      <c r="Q17">
        <f t="shared" si="8"/>
        <v>6</v>
      </c>
      <c r="R17">
        <f t="shared" si="9"/>
        <v>2022</v>
      </c>
      <c r="S17" t="str">
        <f t="shared" si="10"/>
        <v>62022</v>
      </c>
      <c r="T17" s="1">
        <f t="shared" si="11"/>
        <v>44720</v>
      </c>
      <c r="V17">
        <f t="shared" si="13"/>
        <v>16</v>
      </c>
      <c r="W17" s="1"/>
    </row>
    <row r="18" spans="1:24">
      <c r="A18">
        <v>16</v>
      </c>
      <c r="B18" t="str">
        <f t="shared" si="1"/>
        <v>Minister #16</v>
      </c>
      <c r="C18" t="s">
        <v>123</v>
      </c>
      <c r="D18" t="s">
        <v>124</v>
      </c>
      <c r="E18" s="3">
        <v>44779</v>
      </c>
      <c r="F18" s="1">
        <v>44828</v>
      </c>
      <c r="G18" s="1">
        <f t="shared" si="0"/>
        <v>49</v>
      </c>
      <c r="H18">
        <v>1.6</v>
      </c>
      <c r="I18">
        <f t="shared" si="2"/>
        <v>6</v>
      </c>
      <c r="J18">
        <f t="shared" si="3"/>
        <v>8</v>
      </c>
      <c r="K18">
        <f t="shared" si="4"/>
        <v>2022</v>
      </c>
      <c r="L18" t="str">
        <f t="shared" si="5"/>
        <v>20228</v>
      </c>
      <c r="M18" s="1">
        <f t="shared" si="6"/>
        <v>44779</v>
      </c>
      <c r="N18">
        <f t="shared" si="12"/>
        <v>16</v>
      </c>
      <c r="P18">
        <f t="shared" si="7"/>
        <v>24</v>
      </c>
      <c r="Q18">
        <f t="shared" si="8"/>
        <v>9</v>
      </c>
      <c r="R18">
        <f t="shared" si="9"/>
        <v>2022</v>
      </c>
      <c r="S18" t="str">
        <f t="shared" si="10"/>
        <v>92022</v>
      </c>
      <c r="T18" s="1">
        <f t="shared" si="11"/>
        <v>44828</v>
      </c>
      <c r="V18">
        <f t="shared" si="13"/>
        <v>49</v>
      </c>
      <c r="W18" s="1"/>
    </row>
    <row r="19" spans="1:24">
      <c r="A19">
        <v>17</v>
      </c>
      <c r="B19" t="str">
        <f t="shared" si="1"/>
        <v>Minister #17</v>
      </c>
      <c r="C19" t="s">
        <v>125</v>
      </c>
      <c r="D19" t="s">
        <v>126</v>
      </c>
      <c r="E19" s="1">
        <v>44828</v>
      </c>
      <c r="F19" s="1">
        <v>44908</v>
      </c>
      <c r="G19" s="1">
        <f t="shared" si="0"/>
        <v>80</v>
      </c>
      <c r="H19">
        <v>2.7</v>
      </c>
      <c r="I19">
        <f t="shared" si="2"/>
        <v>24</v>
      </c>
      <c r="J19">
        <f t="shared" si="3"/>
        <v>9</v>
      </c>
      <c r="K19">
        <f t="shared" si="4"/>
        <v>2022</v>
      </c>
      <c r="L19" t="str">
        <f t="shared" si="5"/>
        <v>20229</v>
      </c>
      <c r="M19" s="1">
        <f t="shared" si="6"/>
        <v>44828</v>
      </c>
      <c r="N19">
        <f t="shared" si="12"/>
        <v>17</v>
      </c>
      <c r="P19">
        <f t="shared" si="7"/>
        <v>13</v>
      </c>
      <c r="Q19">
        <f t="shared" si="8"/>
        <v>12</v>
      </c>
      <c r="R19">
        <f t="shared" si="9"/>
        <v>2022</v>
      </c>
      <c r="S19" t="str">
        <f t="shared" si="10"/>
        <v>122022</v>
      </c>
      <c r="T19" s="1">
        <f t="shared" si="11"/>
        <v>44908</v>
      </c>
      <c r="V19">
        <f t="shared" si="13"/>
        <v>80</v>
      </c>
      <c r="W19" s="1"/>
    </row>
    <row r="20" spans="1:24">
      <c r="A20">
        <v>18</v>
      </c>
      <c r="B20" t="str">
        <f t="shared" si="1"/>
        <v>Minister #18</v>
      </c>
      <c r="C20" t="s">
        <v>127</v>
      </c>
      <c r="D20" t="s">
        <v>128</v>
      </c>
      <c r="E20" s="1">
        <v>44908</v>
      </c>
      <c r="F20" s="3">
        <v>45116</v>
      </c>
      <c r="G20" s="1">
        <f t="shared" si="0"/>
        <v>208</v>
      </c>
      <c r="H20">
        <v>8.9</v>
      </c>
      <c r="I20">
        <f t="shared" si="2"/>
        <v>13</v>
      </c>
      <c r="J20">
        <f t="shared" si="3"/>
        <v>12</v>
      </c>
      <c r="K20">
        <f t="shared" si="4"/>
        <v>2022</v>
      </c>
      <c r="L20" t="str">
        <f t="shared" si="5"/>
        <v>202212</v>
      </c>
      <c r="M20" s="1">
        <f t="shared" si="6"/>
        <v>44908</v>
      </c>
      <c r="N20">
        <f t="shared" si="12"/>
        <v>18</v>
      </c>
      <c r="P20">
        <f t="shared" si="7"/>
        <v>9</v>
      </c>
      <c r="Q20">
        <f t="shared" si="8"/>
        <v>7</v>
      </c>
      <c r="R20">
        <f t="shared" si="9"/>
        <v>2023</v>
      </c>
      <c r="S20" t="str">
        <f t="shared" si="10"/>
        <v>72023</v>
      </c>
      <c r="T20" s="1">
        <f t="shared" si="11"/>
        <v>45116</v>
      </c>
      <c r="V20">
        <f t="shared" si="13"/>
        <v>208</v>
      </c>
      <c r="W20" s="1"/>
    </row>
    <row r="21" spans="1:24">
      <c r="A21">
        <v>19</v>
      </c>
      <c r="B21" t="s">
        <v>129</v>
      </c>
      <c r="C21" t="s">
        <v>130</v>
      </c>
      <c r="D21" t="s">
        <v>131</v>
      </c>
      <c r="E21" s="3">
        <v>45176</v>
      </c>
      <c r="I21">
        <f t="shared" si="2"/>
        <v>7</v>
      </c>
      <c r="J21">
        <f t="shared" si="3"/>
        <v>9</v>
      </c>
      <c r="K21">
        <f t="shared" si="4"/>
        <v>2023</v>
      </c>
      <c r="M21" s="1">
        <f>DATE(K21,J21,I21)</f>
        <v>45176</v>
      </c>
      <c r="P21" s="1">
        <f ca="1">TODAY()</f>
        <v>46140</v>
      </c>
      <c r="Q21">
        <f ca="1">P21-M21</f>
        <v>964</v>
      </c>
      <c r="V21" s="4">
        <v>348</v>
      </c>
    </row>
    <row r="23" spans="1:24">
      <c r="R23" t="s">
        <v>132</v>
      </c>
      <c r="S23" t="s">
        <v>133</v>
      </c>
      <c r="V23" t="s">
        <v>134</v>
      </c>
    </row>
    <row r="24" spans="1:24">
      <c r="F24" s="4">
        <v>39814</v>
      </c>
      <c r="R24" t="s">
        <v>8</v>
      </c>
      <c r="T24" s="1">
        <v>40744</v>
      </c>
      <c r="U24">
        <v>1</v>
      </c>
    </row>
    <row r="25" spans="1:24">
      <c r="F25" s="4">
        <v>40179</v>
      </c>
      <c r="G25" s="4">
        <f>F25-F24</f>
        <v>365</v>
      </c>
      <c r="R25" t="s">
        <v>8</v>
      </c>
      <c r="T25" s="1">
        <v>40744</v>
      </c>
      <c r="U25">
        <v>0.94</v>
      </c>
      <c r="V25" t="s">
        <v>135</v>
      </c>
      <c r="W25" t="s">
        <v>136</v>
      </c>
      <c r="X25" t="s">
        <v>137</v>
      </c>
    </row>
    <row r="27" spans="1:24">
      <c r="R27" t="s">
        <v>13</v>
      </c>
      <c r="T27" s="1">
        <v>40874</v>
      </c>
      <c r="U27">
        <v>0.95</v>
      </c>
    </row>
    <row r="28" spans="1:24">
      <c r="R28" t="s">
        <v>13</v>
      </c>
      <c r="T28" s="1">
        <f>T27</f>
        <v>40874</v>
      </c>
      <c r="U28">
        <v>0.9</v>
      </c>
      <c r="V28" t="s">
        <v>138</v>
      </c>
      <c r="W28" t="s">
        <v>139</v>
      </c>
    </row>
    <row r="29" spans="1:24">
      <c r="R29" t="s">
        <v>17</v>
      </c>
      <c r="T29" s="1">
        <v>41110</v>
      </c>
      <c r="U29">
        <v>0.95</v>
      </c>
    </row>
    <row r="30" spans="1:24">
      <c r="R30" t="s">
        <v>17</v>
      </c>
      <c r="T30" s="1">
        <f>T29</f>
        <v>41110</v>
      </c>
      <c r="U30">
        <v>0.9</v>
      </c>
      <c r="V30" t="s">
        <v>138</v>
      </c>
      <c r="W30" t="s">
        <v>139</v>
      </c>
    </row>
    <row r="31" spans="1:24">
      <c r="R31" t="s">
        <v>20</v>
      </c>
      <c r="T31" s="1">
        <v>41152</v>
      </c>
      <c r="U31">
        <v>0.95</v>
      </c>
    </row>
    <row r="32" spans="1:24">
      <c r="R32" t="s">
        <v>20</v>
      </c>
      <c r="T32" s="1">
        <f>T31</f>
        <v>41152</v>
      </c>
      <c r="U32">
        <v>0.9</v>
      </c>
      <c r="V32" t="s">
        <v>140</v>
      </c>
      <c r="W32" t="s">
        <v>141</v>
      </c>
    </row>
    <row r="33" spans="18:24">
      <c r="R33" t="s">
        <v>23</v>
      </c>
      <c r="T33" s="1">
        <v>41477</v>
      </c>
      <c r="U33">
        <v>0.95</v>
      </c>
    </row>
    <row r="34" spans="18:24">
      <c r="R34" t="s">
        <v>23</v>
      </c>
      <c r="T34" s="1">
        <f>T33</f>
        <v>41477</v>
      </c>
      <c r="U34">
        <v>0.9</v>
      </c>
      <c r="V34" t="s">
        <v>138</v>
      </c>
      <c r="W34" t="s">
        <v>139</v>
      </c>
    </row>
    <row r="35" spans="18:24">
      <c r="R35" t="s">
        <v>26</v>
      </c>
      <c r="T35" s="1">
        <v>41582</v>
      </c>
      <c r="U35">
        <v>0.95</v>
      </c>
    </row>
    <row r="36" spans="18:24">
      <c r="R36" t="s">
        <v>26</v>
      </c>
      <c r="T36" s="1">
        <f>T35</f>
        <v>41582</v>
      </c>
      <c r="U36">
        <v>0.9</v>
      </c>
      <c r="V36" t="s">
        <v>142</v>
      </c>
      <c r="W36" t="s">
        <v>136</v>
      </c>
    </row>
    <row r="37" spans="18:24">
      <c r="R37" t="s">
        <v>29</v>
      </c>
      <c r="T37" s="1">
        <v>41627</v>
      </c>
      <c r="U37">
        <v>0.95</v>
      </c>
    </row>
    <row r="38" spans="18:24">
      <c r="R38" t="s">
        <v>29</v>
      </c>
      <c r="T38" s="1">
        <f>T37</f>
        <v>41627</v>
      </c>
      <c r="U38">
        <v>0.9</v>
      </c>
      <c r="V38" t="s">
        <v>138</v>
      </c>
      <c r="W38" t="s">
        <v>139</v>
      </c>
    </row>
    <row r="39" spans="18:24">
      <c r="R39" t="s">
        <v>33</v>
      </c>
      <c r="T39" s="1">
        <v>41922</v>
      </c>
      <c r="U39">
        <v>0.89</v>
      </c>
    </row>
    <row r="40" spans="18:24">
      <c r="R40" t="s">
        <v>33</v>
      </c>
      <c r="T40" s="1">
        <f>T39</f>
        <v>41922</v>
      </c>
      <c r="U40">
        <v>0.84</v>
      </c>
      <c r="V40" t="s">
        <v>138</v>
      </c>
      <c r="W40" t="s">
        <v>139</v>
      </c>
      <c r="X40" t="s">
        <v>143</v>
      </c>
    </row>
    <row r="41" spans="18:24">
      <c r="R41" t="s">
        <v>36</v>
      </c>
      <c r="T41" s="1">
        <v>42220</v>
      </c>
      <c r="U41">
        <v>0.89</v>
      </c>
    </row>
    <row r="42" spans="18:24">
      <c r="R42" t="s">
        <v>36</v>
      </c>
      <c r="T42" s="1">
        <f>T41</f>
        <v>42220</v>
      </c>
      <c r="U42">
        <v>0.84</v>
      </c>
      <c r="V42" t="s">
        <v>142</v>
      </c>
      <c r="W42" t="s">
        <v>136</v>
      </c>
    </row>
    <row r="43" spans="18:24">
      <c r="R43" t="s">
        <v>39</v>
      </c>
      <c r="T43" s="1">
        <v>42516</v>
      </c>
      <c r="U43">
        <v>0.89</v>
      </c>
    </row>
    <row r="44" spans="18:24">
      <c r="R44" t="s">
        <v>39</v>
      </c>
      <c r="T44" s="1">
        <f>T43</f>
        <v>42516</v>
      </c>
      <c r="U44">
        <v>0.84</v>
      </c>
      <c r="V44" t="s">
        <v>142</v>
      </c>
      <c r="W44" t="s">
        <v>136</v>
      </c>
    </row>
    <row r="45" spans="18:24">
      <c r="R45" t="s">
        <v>42</v>
      </c>
      <c r="T45" s="1">
        <v>43124</v>
      </c>
      <c r="U45">
        <v>0.79</v>
      </c>
    </row>
    <row r="46" spans="18:24">
      <c r="R46" t="s">
        <v>42</v>
      </c>
      <c r="T46" s="1">
        <f>T45</f>
        <v>43124</v>
      </c>
      <c r="U46">
        <v>0.74</v>
      </c>
      <c r="V46" t="s">
        <v>138</v>
      </c>
      <c r="W46" t="s">
        <v>139</v>
      </c>
    </row>
    <row r="47" spans="18:24">
      <c r="R47" t="s">
        <v>45</v>
      </c>
      <c r="T47" s="1">
        <v>45175</v>
      </c>
      <c r="U47">
        <v>0.05</v>
      </c>
      <c r="V47" t="s">
        <v>142</v>
      </c>
      <c r="W47" t="s">
        <v>136</v>
      </c>
    </row>
    <row r="48" spans="18:24">
      <c r="R48" t="s">
        <v>45</v>
      </c>
      <c r="T48" s="1">
        <v>45175</v>
      </c>
      <c r="U48">
        <v>0</v>
      </c>
    </row>
    <row r="49" spans="18:23">
      <c r="R49" t="s">
        <v>48</v>
      </c>
      <c r="T49" s="1">
        <v>45280</v>
      </c>
      <c r="U49">
        <v>0.05</v>
      </c>
    </row>
    <row r="50" spans="18:23">
      <c r="R50" t="s">
        <v>48</v>
      </c>
      <c r="T50" s="1">
        <f>T49</f>
        <v>45280</v>
      </c>
      <c r="U50">
        <v>0</v>
      </c>
      <c r="V50" t="s">
        <v>138</v>
      </c>
      <c r="W50" t="s">
        <v>139</v>
      </c>
    </row>
    <row r="51" spans="18:23">
      <c r="R51" t="s">
        <v>50</v>
      </c>
      <c r="T51" s="1">
        <v>45315</v>
      </c>
      <c r="U51">
        <v>0.05</v>
      </c>
    </row>
    <row r="52" spans="18:23">
      <c r="R52" t="s">
        <v>50</v>
      </c>
      <c r="T52" s="1">
        <f>T51</f>
        <v>45315</v>
      </c>
      <c r="U52">
        <v>0</v>
      </c>
      <c r="V52" t="s">
        <v>140</v>
      </c>
      <c r="W52" t="s">
        <v>141</v>
      </c>
    </row>
    <row r="53" spans="18:23">
      <c r="R53" t="s">
        <v>53</v>
      </c>
      <c r="T53" s="1">
        <v>45332</v>
      </c>
      <c r="U53">
        <v>0.05</v>
      </c>
    </row>
    <row r="54" spans="18:23">
      <c r="R54" t="s">
        <v>53</v>
      </c>
      <c r="T54" s="1">
        <f>T53</f>
        <v>45332</v>
      </c>
      <c r="U54">
        <v>0</v>
      </c>
      <c r="V54" t="s">
        <v>140</v>
      </c>
      <c r="W54" t="s">
        <v>141</v>
      </c>
    </row>
    <row r="55" spans="18:23">
      <c r="R55" t="s">
        <v>56</v>
      </c>
      <c r="T55" s="1">
        <v>41110</v>
      </c>
      <c r="U55">
        <v>0.95</v>
      </c>
    </row>
    <row r="56" spans="18:23">
      <c r="R56" t="s">
        <v>56</v>
      </c>
      <c r="T56" s="1">
        <v>41110</v>
      </c>
      <c r="U56">
        <v>0.9</v>
      </c>
    </row>
    <row r="57" spans="18:23">
      <c r="R57" t="s">
        <v>59</v>
      </c>
      <c r="T57" s="1">
        <v>41133</v>
      </c>
      <c r="U57">
        <v>0.95</v>
      </c>
    </row>
    <row r="58" spans="18:23">
      <c r="R58" t="s">
        <v>59</v>
      </c>
      <c r="T58" s="1">
        <v>41133</v>
      </c>
      <c r="U58">
        <v>0.9</v>
      </c>
    </row>
    <row r="59" spans="18:23">
      <c r="R59" t="s">
        <v>62</v>
      </c>
      <c r="T59" s="1">
        <v>41540</v>
      </c>
      <c r="U59">
        <v>0.9</v>
      </c>
    </row>
    <row r="60" spans="18:23">
      <c r="R60" t="s">
        <v>62</v>
      </c>
      <c r="T60" s="1">
        <v>41540</v>
      </c>
      <c r="U60">
        <v>0.95</v>
      </c>
    </row>
    <row r="61" spans="18:23">
      <c r="R61" t="s">
        <v>65</v>
      </c>
      <c r="T61" s="1">
        <v>41631</v>
      </c>
      <c r="U61">
        <v>0.9</v>
      </c>
    </row>
    <row r="62" spans="18:23">
      <c r="R62" t="s">
        <v>65</v>
      </c>
      <c r="T62" s="1">
        <v>41631</v>
      </c>
      <c r="U62">
        <v>0.95</v>
      </c>
    </row>
    <row r="63" spans="18:23">
      <c r="R63" t="s">
        <v>67</v>
      </c>
      <c r="T63" s="1">
        <v>41832</v>
      </c>
      <c r="U63">
        <v>0.89</v>
      </c>
    </row>
    <row r="64" spans="18:23">
      <c r="R64" t="s">
        <v>67</v>
      </c>
      <c r="T64" s="1">
        <v>41832</v>
      </c>
      <c r="U64">
        <v>0.84</v>
      </c>
    </row>
    <row r="65" spans="18:21">
      <c r="R65" t="s">
        <v>70</v>
      </c>
      <c r="T65" s="1">
        <v>42112</v>
      </c>
      <c r="U65">
        <v>0.89</v>
      </c>
    </row>
    <row r="66" spans="18:21">
      <c r="R66" t="s">
        <v>70</v>
      </c>
      <c r="T66" s="1">
        <v>42112</v>
      </c>
      <c r="U66">
        <v>0.84</v>
      </c>
    </row>
    <row r="67" spans="18:21">
      <c r="R67" t="s">
        <v>72</v>
      </c>
      <c r="T67" s="1">
        <v>42239</v>
      </c>
      <c r="U67">
        <v>0.89</v>
      </c>
    </row>
    <row r="68" spans="18:21">
      <c r="R68" t="s">
        <v>72</v>
      </c>
      <c r="T68" s="1">
        <v>42239</v>
      </c>
      <c r="U68">
        <v>0.84</v>
      </c>
    </row>
    <row r="69" spans="18:21">
      <c r="R69" t="s">
        <v>74</v>
      </c>
      <c r="T69" s="1">
        <v>43509</v>
      </c>
      <c r="U69">
        <v>0.74</v>
      </c>
    </row>
    <row r="70" spans="18:21">
      <c r="R70" t="s">
        <v>74</v>
      </c>
      <c r="T70" s="1">
        <v>43509</v>
      </c>
      <c r="U70">
        <v>0.69</v>
      </c>
    </row>
    <row r="71" spans="18:21">
      <c r="R71" t="s">
        <v>77</v>
      </c>
      <c r="T71" s="1">
        <v>44227</v>
      </c>
      <c r="U71">
        <v>0.42</v>
      </c>
    </row>
    <row r="72" spans="18:21">
      <c r="R72" t="s">
        <v>77</v>
      </c>
      <c r="T72" s="1">
        <v>44227</v>
      </c>
      <c r="U72">
        <v>0.37</v>
      </c>
    </row>
    <row r="73" spans="18:21">
      <c r="R73" t="s">
        <v>79</v>
      </c>
      <c r="T73" s="1">
        <v>45064</v>
      </c>
      <c r="U73">
        <v>0.11</v>
      </c>
    </row>
    <row r="74" spans="18:21">
      <c r="R74" t="s">
        <v>79</v>
      </c>
      <c r="T74" s="1">
        <v>45064</v>
      </c>
      <c r="U74">
        <v>0.05</v>
      </c>
    </row>
    <row r="75" spans="18:21">
      <c r="R75" t="s">
        <v>82</v>
      </c>
      <c r="T75" s="1">
        <v>45315</v>
      </c>
      <c r="U75">
        <v>0.05</v>
      </c>
    </row>
    <row r="76" spans="18:21">
      <c r="R76" t="s">
        <v>82</v>
      </c>
      <c r="T76" s="1">
        <v>45315</v>
      </c>
      <c r="U76">
        <v>0</v>
      </c>
    </row>
  </sheetData>
  <pageMargins left="0.7" right="0.7" top="0.75" bottom="0.75" header="0.3" footer="0.3"/>
  <headerFooter>
    <oddFooter>&amp;R_x000D_&amp;1#&amp;"Aptos"&amp;10&amp;K000000 Official Use Only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WBG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Rogelio Granguillhome Ochoa</dc:creator>
  <cp:keywords/>
  <dc:description/>
  <cp:lastModifiedBy>Galileu Kim</cp:lastModifiedBy>
  <cp:revision/>
  <dcterms:created xsi:type="dcterms:W3CDTF">2024-06-21T16:24:35Z</dcterms:created>
  <dcterms:modified xsi:type="dcterms:W3CDTF">2026-04-28T20:05:59Z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1bf45b6-5649-4236-82a3-f45024cd282e_Enabled">
    <vt:lpwstr>true</vt:lpwstr>
  </property>
  <property fmtid="{D5CDD505-2E9C-101B-9397-08002B2CF9AE}" pid="3" name="MSIP_Label_f1bf45b6-5649-4236-82a3-f45024cd282e_SetDate">
    <vt:lpwstr>2026-04-27T14:30:08Z</vt:lpwstr>
  </property>
  <property fmtid="{D5CDD505-2E9C-101B-9397-08002B2CF9AE}" pid="4" name="MSIP_Label_f1bf45b6-5649-4236-82a3-f45024cd282e_Method">
    <vt:lpwstr>Standard</vt:lpwstr>
  </property>
  <property fmtid="{D5CDD505-2E9C-101B-9397-08002B2CF9AE}" pid="5" name="MSIP_Label_f1bf45b6-5649-4236-82a3-f45024cd282e_Name">
    <vt:lpwstr>Official Use Only</vt:lpwstr>
  </property>
  <property fmtid="{D5CDD505-2E9C-101B-9397-08002B2CF9AE}" pid="6" name="MSIP_Label_f1bf45b6-5649-4236-82a3-f45024cd282e_SiteId">
    <vt:lpwstr>31a2fec0-266b-4c67-b56e-2796d8f59c36</vt:lpwstr>
  </property>
  <property fmtid="{D5CDD505-2E9C-101B-9397-08002B2CF9AE}" pid="7" name="MSIP_Label_f1bf45b6-5649-4236-82a3-f45024cd282e_ActionId">
    <vt:lpwstr>eb9b2bd1-3da8-439a-8d49-0cada3adec98</vt:lpwstr>
  </property>
  <property fmtid="{D5CDD505-2E9C-101B-9397-08002B2CF9AE}" pid="8" name="MSIP_Label_f1bf45b6-5649-4236-82a3-f45024cd282e_ContentBits">
    <vt:lpwstr>2</vt:lpwstr>
  </property>
  <property fmtid="{D5CDD505-2E9C-101B-9397-08002B2CF9AE}" pid="9" name="MSIP_Label_f1bf45b6-5649-4236-82a3-f45024cd282e_Tag">
    <vt:lpwstr>10, 3, 0, 2</vt:lpwstr>
  </property>
</Properties>
</file>