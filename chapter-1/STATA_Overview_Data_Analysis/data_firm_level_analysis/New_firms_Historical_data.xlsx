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rramalho_ifc_org/Documents/Public Institutions/flagship/Draft/Drafts Part 1/analysis/STATA_Overview_Data_Analysis/data_firm_level_analysis/"/>
    </mc:Choice>
  </mc:AlternateContent>
  <xr:revisionPtr revIDLastSave="106" documentId="14_{60F0A988-C5C4-4EDE-8E7D-43B81FA1C335}" xr6:coauthVersionLast="47" xr6:coauthVersionMax="47" xr10:uidLastSave="{1B15FA84-220C-4E33-8F51-6B2FBC9DEB16}"/>
  <bookViews>
    <workbookView xWindow="-120" yWindow="-120" windowWidth="29040" windowHeight="15720" xr2:uid="{E5E81A90-5CD6-4C34-84BC-2B2DF89E2EB9}"/>
  </bookViews>
  <sheets>
    <sheet name="new_lics" sheetId="2" r:id="rId1"/>
    <sheet name="Codes" sheetId="3" r:id="rId2"/>
  </sheets>
  <definedNames>
    <definedName name="_xlnm._FilterDatabase" localSheetId="0" hidden="1">new_lics!$A$1:$F$1980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2" i="2"/>
</calcChain>
</file>

<file path=xl/sharedStrings.xml><?xml version="1.0" encoding="utf-8"?>
<sst xmlns="http://schemas.openxmlformats.org/spreadsheetml/2006/main" count="2945" uniqueCount="590">
  <si>
    <t>Economy</t>
  </si>
  <si>
    <t>country_code</t>
  </si>
  <si>
    <t>Adult population</t>
  </si>
  <si>
    <t>Year</t>
  </si>
  <si>
    <t>Number of NEW
Limited Liability Companies</t>
  </si>
  <si>
    <t>New business density rate</t>
  </si>
  <si>
    <t>Afghanistan</t>
  </si>
  <si>
    <t>Albania</t>
  </si>
  <si>
    <t>Algeria</t>
  </si>
  <si>
    <t>Antigua and Barbuda*</t>
  </si>
  <si>
    <t>Argentina</t>
  </si>
  <si>
    <t>Armenia</t>
  </si>
  <si>
    <t>Australia</t>
  </si>
  <si>
    <t>Austria</t>
  </si>
  <si>
    <t>Azerbaijan</t>
  </si>
  <si>
    <t>Bahrain*</t>
  </si>
  <si>
    <t>Bangladesh</t>
  </si>
  <si>
    <t>Barbados*</t>
  </si>
  <si>
    <t>Belarus</t>
  </si>
  <si>
    <t>Belgium</t>
  </si>
  <si>
    <t>Belize*</t>
  </si>
  <si>
    <t>Benin</t>
  </si>
  <si>
    <t>Bhutan</t>
  </si>
  <si>
    <t>Bolivia</t>
  </si>
  <si>
    <t>Bosnia and Herzegovina</t>
  </si>
  <si>
    <t>Botswana</t>
  </si>
  <si>
    <t>Brazil</t>
  </si>
  <si>
    <t>BRA</t>
  </si>
  <si>
    <t>Brunei Darussalam</t>
  </si>
  <si>
    <t>Bulgaria</t>
  </si>
  <si>
    <t>Burkina Faso</t>
  </si>
  <si>
    <t>Cabo Verde</t>
  </si>
  <si>
    <t>Cambodia</t>
  </si>
  <si>
    <t>Canada**</t>
  </si>
  <si>
    <t>Central African Republic</t>
  </si>
  <si>
    <t>Chad</t>
  </si>
  <si>
    <t>Chile</t>
  </si>
  <si>
    <t>China***</t>
  </si>
  <si>
    <t>Colombia</t>
  </si>
  <si>
    <t>Comoros</t>
  </si>
  <si>
    <t>Congo, Dem. Rep.</t>
  </si>
  <si>
    <t>Costa Rica</t>
  </si>
  <si>
    <t>Croatia</t>
  </si>
  <si>
    <t>Cyprus</t>
  </si>
  <si>
    <t>Czech Republic</t>
  </si>
  <si>
    <t>Denmark</t>
  </si>
  <si>
    <t>Djibouti</t>
  </si>
  <si>
    <t>Dominica*</t>
  </si>
  <si>
    <t>Dominican Republic</t>
  </si>
  <si>
    <t>Egypt, Arab Rep.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</si>
  <si>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</si>
  <si>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</si>
  <si>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</si>
  <si>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</si>
  <si>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</si>
  <si>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</si>
  <si>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</si>
  <si>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</si>
  <si>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</si>
  <si>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</si>
  <si>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</si>
  <si>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</si>
  <si>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Grenada*</t>
  </si>
  <si>
    <t>Guatemala</t>
  </si>
  <si>
    <t>Guinea</t>
  </si>
  <si>
    <t>Guyana</t>
  </si>
  <si>
    <t>Haiti</t>
  </si>
  <si>
    <t>Hong Kong SAR, China*</t>
  </si>
  <si>
    <t>HKG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</si>
  <si>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</si>
  <si>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</si>
  <si>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</si>
  <si>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</si>
  <si>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</si>
  <si>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</si>
  <si>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</si>
  <si>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Man*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</si>
  <si>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</si>
  <si>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</si>
  <si>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</si>
  <si>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</si>
  <si>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</si>
  <si>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</si>
  <si>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</si>
  <si>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</si>
  <si>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</si>
  <si>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</si>
  <si>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 Republic</t>
  </si>
  <si>
    <t>Lao PDR</t>
  </si>
  <si>
    <t>Latvia</t>
  </si>
  <si>
    <t>Lesotho</t>
  </si>
  <si>
    <t>Liberia*</t>
  </si>
  <si>
    <t>Liechtenstein*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</si>
  <si>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</si>
  <si>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</si>
  <si>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</si>
  <si>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</si>
  <si>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</si>
  <si>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</si>
  <si>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</si>
  <si>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</si>
  <si>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</si>
  <si>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Mauritius*</t>
  </si>
  <si>
    <t>Mexico</t>
  </si>
  <si>
    <t>Micronesia, Fed. Sts.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</si>
  <si>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</si>
  <si>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</si>
  <si>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</si>
  <si>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</si>
  <si>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</si>
  <si>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</si>
  <si>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</si>
  <si>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</si>
  <si>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</si>
  <si>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Zealand</t>
  </si>
  <si>
    <t>Niger</t>
  </si>
  <si>
    <t>Nigeria</t>
  </si>
  <si>
    <t>North Macedonia</t>
  </si>
  <si>
    <t>Norway</t>
  </si>
  <si>
    <t>Oman</t>
  </si>
  <si>
    <t>Pakistan</t>
  </si>
  <si>
    <t>Panama*</t>
  </si>
  <si>
    <t>Paraguay</t>
  </si>
  <si>
    <t>Peru</t>
  </si>
  <si>
    <t>Philippines*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</si>
  <si>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</si>
  <si>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</si>
  <si>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</si>
  <si>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</si>
  <si>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</si>
  <si>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</si>
  <si>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</si>
  <si>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</si>
  <si>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São Tomé and Príncipe</t>
  </si>
  <si>
    <t>Saudi Arabia</t>
  </si>
  <si>
    <t>Senegal</t>
  </si>
  <si>
    <t>Serbia</t>
  </si>
  <si>
    <t>Seychelles*</t>
  </si>
  <si>
    <t>Sierra Leone</t>
  </si>
  <si>
    <t>Singapore*</t>
  </si>
  <si>
    <t>Slovak Republic</t>
  </si>
  <si>
    <t>Slovenia</t>
  </si>
  <si>
    <t>South Africa</t>
  </si>
  <si>
    <t>South Sudan</t>
  </si>
  <si>
    <t>Spain</t>
  </si>
  <si>
    <t>Sri Lanka</t>
  </si>
  <si>
    <t>St. Lucia*</t>
  </si>
  <si>
    <t>St. Vincent and the Grenadines*</t>
  </si>
  <si>
    <t>Suriname</t>
  </si>
  <si>
    <t>Sweden</t>
  </si>
  <si>
    <t>Switzerland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</si>
  <si>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</si>
  <si>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</si>
  <si>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</si>
  <si>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</si>
  <si>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</si>
  <si>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</si>
  <si>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</si>
  <si>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</si>
  <si>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</si>
  <si>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</si>
  <si>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</si>
  <si>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</si>
  <si>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</si>
  <si>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</si>
  <si>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Uruguay</t>
  </si>
  <si>
    <t>Uzbekistan</t>
  </si>
  <si>
    <t>Vanuatu*</t>
  </si>
  <si>
    <t>Vietnam</t>
  </si>
  <si>
    <t>Zambia</t>
  </si>
  <si>
    <t>Zimbabwe</t>
  </si>
  <si>
    <t>AFG</t>
  </si>
  <si>
    <t>ALB</t>
  </si>
  <si>
    <t>DZA</t>
  </si>
  <si>
    <t>American Samoa</t>
  </si>
  <si>
    <t>ASM</t>
  </si>
  <si>
    <t>Andorra</t>
  </si>
  <si>
    <t>AND</t>
  </si>
  <si>
    <t>Angola</t>
  </si>
  <si>
    <t>AGO</t>
  </si>
  <si>
    <t>Anguila</t>
  </si>
  <si>
    <t>AIA</t>
  </si>
  <si>
    <t>Antigua and Barbuda</t>
  </si>
  <si>
    <t>ATG</t>
  </si>
  <si>
    <t>ARG</t>
  </si>
  <si>
    <t>ARM</t>
  </si>
  <si>
    <t>Aruba</t>
  </si>
  <si>
    <t>ABW</t>
  </si>
  <si>
    <t>AUS</t>
  </si>
  <si>
    <t>AUT</t>
  </si>
  <si>
    <t>AZE</t>
  </si>
  <si>
    <t>Bahamas, The</t>
  </si>
  <si>
    <t>BHS</t>
  </si>
  <si>
    <t>Bahrain</t>
  </si>
  <si>
    <t>BHR</t>
  </si>
  <si>
    <t>BGD</t>
  </si>
  <si>
    <t>Barbados</t>
  </si>
  <si>
    <t>BRB</t>
  </si>
  <si>
    <t>BLR</t>
  </si>
  <si>
    <t>BEL</t>
  </si>
  <si>
    <t>Belgium-Luxembourg</t>
  </si>
  <si>
    <t>BLX</t>
  </si>
  <si>
    <t>Belize</t>
  </si>
  <si>
    <t>BLZ</t>
  </si>
  <si>
    <t>BEN</t>
  </si>
  <si>
    <t>Bermuda</t>
  </si>
  <si>
    <t>BMU</t>
  </si>
  <si>
    <t>BTN</t>
  </si>
  <si>
    <t>BOL</t>
  </si>
  <si>
    <t>BIH</t>
  </si>
  <si>
    <t>BWA</t>
  </si>
  <si>
    <t>Br. Antr. Terr</t>
  </si>
  <si>
    <t>BAT</t>
  </si>
  <si>
    <t>British Indian Ocean Ter.</t>
  </si>
  <si>
    <t>IOT</t>
  </si>
  <si>
    <t>British Virgin Islands</t>
  </si>
  <si>
    <t>VGB</t>
  </si>
  <si>
    <t>Brunei</t>
  </si>
  <si>
    <t>BRN</t>
  </si>
  <si>
    <t>BGR</t>
  </si>
  <si>
    <t>BFA</t>
  </si>
  <si>
    <t>Burundi</t>
  </si>
  <si>
    <t>BDI</t>
  </si>
  <si>
    <t>KHM</t>
  </si>
  <si>
    <t>Cameroon</t>
  </si>
  <si>
    <t>CMR</t>
  </si>
  <si>
    <t>Canada</t>
  </si>
  <si>
    <t>CAN</t>
  </si>
  <si>
    <t>CPV</t>
  </si>
  <si>
    <t>Cayman Islands</t>
  </si>
  <si>
    <t>CYM</t>
  </si>
  <si>
    <t>CAF</t>
  </si>
  <si>
    <t>TCD</t>
  </si>
  <si>
    <t>CHL</t>
  </si>
  <si>
    <t>China</t>
  </si>
  <si>
    <t>CHN</t>
  </si>
  <si>
    <t>Christmas Island</t>
  </si>
  <si>
    <t>CXR</t>
  </si>
  <si>
    <t>Cocos (Keeling) Islands</t>
  </si>
  <si>
    <t>CCK</t>
  </si>
  <si>
    <t>COL</t>
  </si>
  <si>
    <t>COM</t>
  </si>
  <si>
    <t>ZAR</t>
  </si>
  <si>
    <t>Congo, Rep.</t>
  </si>
  <si>
    <t>COG</t>
  </si>
  <si>
    <t>Cook Islands</t>
  </si>
  <si>
    <t>COK</t>
  </si>
  <si>
    <t>CRI</t>
  </si>
  <si>
    <t>Cote d'Ivoire</t>
  </si>
  <si>
    <t>CIV</t>
  </si>
  <si>
    <t>HRV</t>
  </si>
  <si>
    <t>Cuba</t>
  </si>
  <si>
    <t>CUB</t>
  </si>
  <si>
    <t>CYP</t>
  </si>
  <si>
    <t>CZE</t>
  </si>
  <si>
    <t>Czechoslovakia</t>
  </si>
  <si>
    <t>CSK</t>
  </si>
  <si>
    <t>DNK</t>
  </si>
  <si>
    <t>DJI</t>
  </si>
  <si>
    <t>Dominica</t>
  </si>
  <si>
    <t>DMA</t>
  </si>
  <si>
    <t>DOM</t>
  </si>
  <si>
    <t>East Timor</t>
  </si>
  <si>
    <t>TMP</t>
  </si>
  <si>
    <t>Ecuador</t>
  </si>
  <si>
    <t>ECU</t>
  </si>
  <si>
    <t>EGY</t>
  </si>
  <si>
    <t>SLV</t>
  </si>
  <si>
    <t>Equatorial Guinea</t>
  </si>
  <si>
    <t>GNQ</t>
  </si>
  <si>
    <t>Eritrea</t>
  </si>
  <si>
    <t>ERI</t>
  </si>
  <si>
    <t>EST</t>
  </si>
  <si>
    <t>ETH</t>
  </si>
  <si>
    <t>Ethiopia (includes Eritrea)</t>
  </si>
  <si>
    <t>ETF</t>
  </si>
  <si>
    <t>European Union</t>
  </si>
  <si>
    <t>EUN</t>
  </si>
  <si>
    <t>Faeroe Islands</t>
  </si>
  <si>
    <t>FRO</t>
  </si>
  <si>
    <t>Falkland Island</t>
  </si>
  <si>
    <t>FLK</t>
  </si>
  <si>
    <t>FJI</t>
  </si>
  <si>
    <t>FIN</t>
  </si>
  <si>
    <t>Fm Panama Cz</t>
  </si>
  <si>
    <t>PCZ</t>
  </si>
  <si>
    <t>Fm Rhod Nyas</t>
  </si>
  <si>
    <t>ZW1</t>
  </si>
  <si>
    <t>Fm Tanganyik</t>
  </si>
  <si>
    <t>TAN</t>
  </si>
  <si>
    <t>Fm Vietnam Dr</t>
  </si>
  <si>
    <t>VDR</t>
  </si>
  <si>
    <t>Fm Vietnam Rp</t>
  </si>
  <si>
    <t>SVR</t>
  </si>
  <si>
    <t>Fm Zanz-Pemb</t>
  </si>
  <si>
    <t>ZPM</t>
  </si>
  <si>
    <t>Fr. So. Ant. Tr</t>
  </si>
  <si>
    <t>ATF</t>
  </si>
  <si>
    <t>FRA</t>
  </si>
  <si>
    <t>Free Zones</t>
  </si>
  <si>
    <t>FRE</t>
  </si>
  <si>
    <t>French Guiana</t>
  </si>
  <si>
    <t>GUF</t>
  </si>
  <si>
    <t>French Polynesia</t>
  </si>
  <si>
    <t>PYF</t>
  </si>
  <si>
    <t>GAB</t>
  </si>
  <si>
    <t>Gambia, The</t>
  </si>
  <si>
    <t>GMB</t>
  </si>
  <si>
    <t>Gaza Strip</t>
  </si>
  <si>
    <t>GAZ</t>
  </si>
  <si>
    <t>GEO</t>
  </si>
  <si>
    <t>German Democratic Republic</t>
  </si>
  <si>
    <t>DDR</t>
  </si>
  <si>
    <t>DEU</t>
  </si>
  <si>
    <t>GHA</t>
  </si>
  <si>
    <t>Gibraltar</t>
  </si>
  <si>
    <t>GIB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</si>
  <si>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</si>
  <si>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</si>
  <si>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</si>
  <si>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</si>
  <si>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</si>
  <si>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</si>
  <si>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</si>
  <si>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</si>
  <si>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</si>
  <si>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GTM</t>
  </si>
  <si>
    <t>GIN</t>
  </si>
  <si>
    <t>Guinea-Bissau</t>
  </si>
  <si>
    <t>GNB</t>
  </si>
  <si>
    <t>GUY</t>
  </si>
  <si>
    <t>HTI</t>
  </si>
  <si>
    <t>Holy See</t>
  </si>
  <si>
    <t>VAT</t>
  </si>
  <si>
    <t>Honduras</t>
  </si>
  <si>
    <t>HND</t>
  </si>
  <si>
    <t>Hong Kong, China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</si>
  <si>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</si>
  <si>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</si>
  <si>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</si>
  <si>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</si>
  <si>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</si>
  <si>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</si>
  <si>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</si>
  <si>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</si>
  <si>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</si>
  <si>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</si>
  <si>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</si>
  <si>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Jhonston Island</t>
  </si>
  <si>
    <t>JTN</t>
  </si>
  <si>
    <t>JOR</t>
  </si>
  <si>
    <t>KAZ</t>
  </si>
  <si>
    <t>KEN</t>
  </si>
  <si>
    <t>KIR</t>
  </si>
  <si>
    <t>Korea, Dem. Rep.</t>
  </si>
  <si>
    <t>PRK</t>
  </si>
  <si>
    <t>Korea, Rep.</t>
  </si>
  <si>
    <t>KOR</t>
  </si>
  <si>
    <t>KWT</t>
  </si>
  <si>
    <t>KGZ</t>
  </si>
  <si>
    <t>LAO</t>
  </si>
  <si>
    <t>LVA</t>
  </si>
  <si>
    <t>Lebanon</t>
  </si>
  <si>
    <t>LBN</t>
  </si>
  <si>
    <t>LSO</t>
  </si>
  <si>
    <t>Liberia</t>
  </si>
  <si>
    <t>LBR</t>
  </si>
  <si>
    <t>Libya</t>
  </si>
  <si>
    <t>LBY</t>
  </si>
  <si>
    <t>Liechtenstein</t>
  </si>
  <si>
    <t>LIE</t>
  </si>
  <si>
    <t>LTU</t>
  </si>
  <si>
    <t>LUX</t>
  </si>
  <si>
    <t>Macao</t>
  </si>
  <si>
    <t>MAC</t>
  </si>
  <si>
    <t>Macedonia, FYR</t>
  </si>
  <si>
    <t>MKD</t>
  </si>
  <si>
    <t>MDG</t>
  </si>
  <si>
    <t>MWI</t>
  </si>
  <si>
    <t>MYS</t>
  </si>
  <si>
    <t>MDV</t>
  </si>
  <si>
    <t>MLI</t>
  </si>
  <si>
    <t>MLT</t>
  </si>
  <si>
    <t>Marshall Islands</t>
  </si>
  <si>
    <t>MHL</t>
  </si>
  <si>
    <t>Martinique</t>
  </si>
  <si>
    <t>MTQ</t>
  </si>
  <si>
    <t>MRT</t>
  </si>
  <si>
    <t>Mauritius</t>
  </si>
  <si>
    <t>MUS</t>
  </si>
  <si>
    <t>MEX</t>
  </si>
  <si>
    <t>FSM</t>
  </si>
  <si>
    <t>Midway Islands</t>
  </si>
  <si>
    <t>MID</t>
  </si>
  <si>
    <t>Moldova</t>
  </si>
  <si>
    <t>MDA</t>
  </si>
  <si>
    <t>Monaco</t>
  </si>
  <si>
    <t>MCO</t>
  </si>
  <si>
    <t>MNG</t>
  </si>
  <si>
    <t>Montserrat</t>
  </si>
  <si>
    <t>MSR</t>
  </si>
  <si>
    <t>MAR</t>
  </si>
  <si>
    <t>MOZ</t>
  </si>
  <si>
    <t>MMR</t>
  </si>
  <si>
    <t>NAM</t>
  </si>
  <si>
    <t>Nauru</t>
  </si>
  <si>
    <t>NRU</t>
  </si>
  <si>
    <t>NPL</t>
  </si>
  <si>
    <t>NLD</t>
  </si>
  <si>
    <t>ANT</t>
  </si>
  <si>
    <t>Neutral Zone</t>
  </si>
  <si>
    <t>NZE</t>
  </si>
  <si>
    <t>New Caledonia</t>
  </si>
  <si>
    <t>NCL</t>
  </si>
  <si>
    <t>NZL</t>
  </si>
  <si>
    <t>Nicaragua</t>
  </si>
  <si>
    <t>NIC</t>
  </si>
  <si>
    <t>NER</t>
  </si>
  <si>
    <t>NGA</t>
  </si>
  <si>
    <t>Niue</t>
  </si>
  <si>
    <t>NIU</t>
  </si>
  <si>
    <t>Norfolk Island</t>
  </si>
  <si>
    <t>NFK</t>
  </si>
  <si>
    <t>Northern Mariana Islands</t>
  </si>
  <si>
    <t>MNP</t>
  </si>
  <si>
    <t>NOR</t>
  </si>
  <si>
    <t>OMN</t>
  </si>
  <si>
    <t>Pacific Islands</t>
  </si>
  <si>
    <t>PCE</t>
  </si>
  <si>
    <t>PAK</t>
  </si>
  <si>
    <t>Palau</t>
  </si>
  <si>
    <t>PLW</t>
  </si>
  <si>
    <t>Panama</t>
  </si>
  <si>
    <t>PAN</t>
  </si>
  <si>
    <t>Papua New Guinea</t>
  </si>
  <si>
    <t>PNG</t>
  </si>
  <si>
    <t>PRY</t>
  </si>
  <si>
    <t>Pen Malaysia</t>
  </si>
  <si>
    <t>PMY</t>
  </si>
  <si>
    <t>PER</t>
  </si>
  <si>
    <t>Philippines</t>
  </si>
  <si>
    <t>PHL</t>
  </si>
  <si>
    <t>Pitcairn</t>
  </si>
  <si>
    <t>PCN</t>
  </si>
  <si>
    <t>POL</t>
  </si>
  <si>
    <t>PRT</t>
  </si>
  <si>
    <t>PRI</t>
  </si>
  <si>
    <t>QAT</t>
  </si>
  <si>
    <t>Reunion</t>
  </si>
  <si>
    <t>REU</t>
  </si>
  <si>
    <t>ROM</t>
  </si>
  <si>
    <t>RUS</t>
  </si>
  <si>
    <t>RWA</t>
  </si>
  <si>
    <t>Ryukyu Is</t>
  </si>
  <si>
    <t>RYU</t>
  </si>
  <si>
    <t>Sabah</t>
  </si>
  <si>
    <t>SBH</t>
  </si>
  <si>
    <t>Saint Helena</t>
  </si>
  <si>
    <t>SHN</t>
  </si>
  <si>
    <t>Saint Kitts-Nevis-Anguilla-Aru</t>
  </si>
  <si>
    <t>KN1</t>
  </si>
  <si>
    <t>Saint Pierre and Miquelon</t>
  </si>
  <si>
    <t>SPM</t>
  </si>
  <si>
    <t>WSM</t>
  </si>
  <si>
    <t>San Marino</t>
  </si>
  <si>
    <t>SMR</t>
  </si>
  <si>
    <t>Sao Tome and Principe</t>
  </si>
  <si>
    <t>STP</t>
  </si>
  <si>
    <t>Sarawak</t>
  </si>
  <si>
    <t>SWK</t>
  </si>
  <si>
    <t>SAU</t>
  </si>
  <si>
    <t>SEN</t>
  </si>
  <si>
    <t>Seychelles</t>
  </si>
  <si>
    <t>SYC</t>
  </si>
  <si>
    <t>SLE</t>
  </si>
  <si>
    <t>SIKKIM</t>
  </si>
  <si>
    <t>SIK</t>
  </si>
  <si>
    <t>Singapore</t>
  </si>
  <si>
    <t>SGP</t>
  </si>
  <si>
    <t>SVK</t>
  </si>
  <si>
    <t>SVN</t>
  </si>
  <si>
    <t>Solomon Islands</t>
  </si>
  <si>
    <t>SLB</t>
  </si>
  <si>
    <t>Somalia</t>
  </si>
  <si>
    <t>SOM</t>
  </si>
  <si>
    <t>ZAF</t>
  </si>
  <si>
    <t>Soviet Union</t>
  </si>
  <si>
    <t>SVU</t>
  </si>
  <si>
    <t>ESP</t>
  </si>
  <si>
    <t>Special Categories</t>
  </si>
  <si>
    <t>SPE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</si>
  <si>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</si>
  <si>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</si>
  <si>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</si>
  <si>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</si>
  <si>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</si>
  <si>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</si>
  <si>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</si>
  <si>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</si>
  <si>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</si>
  <si>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</t>
  </si>
  <si>
    <t>Svalbard and Jan Mayen Is</t>
  </si>
  <si>
    <t>SJM</t>
  </si>
  <si>
    <t>SWZ</t>
  </si>
  <si>
    <t>SWE</t>
  </si>
  <si>
    <t>CHE</t>
  </si>
  <si>
    <t>Syrian Arab Republic</t>
  </si>
  <si>
    <t>SYR</t>
  </si>
  <si>
    <t>Taiwan</t>
  </si>
  <si>
    <t>TWN</t>
  </si>
  <si>
    <t>TJK</t>
  </si>
  <si>
    <t>TZA</t>
  </si>
  <si>
    <t>THA</t>
  </si>
  <si>
    <t>TGO</t>
  </si>
  <si>
    <t>Tokelau</t>
  </si>
  <si>
    <t>TKL</t>
  </si>
  <si>
    <t>TON</t>
  </si>
  <si>
    <t>TTO</t>
  </si>
  <si>
    <t>TUN</t>
  </si>
  <si>
    <t>TUR</t>
  </si>
  <si>
    <t>Turkmenistan</t>
  </si>
  <si>
    <t>TKM</t>
  </si>
  <si>
    <t>Turks and Caicos Isl.</t>
  </si>
  <si>
    <t>TCA</t>
  </si>
  <si>
    <t>Tuvalu</t>
  </si>
  <si>
    <t>TUV</t>
  </si>
  <si>
    <t>UGA</t>
  </si>
  <si>
    <t>UKR</t>
  </si>
  <si>
    <t>ARE</t>
  </si>
  <si>
    <t>GBR</t>
  </si>
  <si>
    <t>United States</t>
  </si>
  <si>
    <t>USA</t>
  </si>
  <si>
    <t>Unspecified</t>
  </si>
  <si>
    <t>UNS</t>
  </si>
  <si>
    <t>URY</t>
  </si>
  <si>
    <t>Us Msc.Pac.I</t>
  </si>
  <si>
    <t>USP</t>
  </si>
  <si>
    <t>UZB</t>
  </si>
  <si>
    <t>Vanuatu</t>
  </si>
  <si>
    <t>VUT</t>
  </si>
  <si>
    <t>Venezuela</t>
  </si>
  <si>
    <t>VEN</t>
  </si>
  <si>
    <t>VNM</t>
  </si>
  <si>
    <t>Virgin Islands (U.S.)</t>
  </si>
  <si>
    <t>VIR</t>
  </si>
  <si>
    <t>Wake Island</t>
  </si>
  <si>
    <t>WAK</t>
  </si>
  <si>
    <t>Wallis and Futura Isl.</t>
  </si>
  <si>
    <t>WLF</t>
  </si>
  <si>
    <t>Western Sahara</t>
  </si>
  <si>
    <t>ESH</t>
  </si>
  <si>
    <t>World</t>
  </si>
  <si>
    <t>WLD</t>
  </si>
  <si>
    <t>Yemen Democratic</t>
  </si>
  <si>
    <t>YDR</t>
  </si>
  <si>
    <t>Yemen, Rep.</t>
  </si>
  <si>
    <t>YEM</t>
  </si>
  <si>
    <t>Yugoslavia</t>
  </si>
  <si>
    <t>SER</t>
  </si>
  <si>
    <t>Yugoslavia, FR (Serbia/Montene</t>
  </si>
  <si>
    <t>YUG</t>
  </si>
  <si>
    <t>ZMB</t>
  </si>
  <si>
    <t>ZWE</t>
  </si>
  <si>
    <t>CHI</t>
  </si>
  <si>
    <t>Channel Islands</t>
  </si>
  <si>
    <t>Côte d’Ivoire</t>
  </si>
  <si>
    <t>COD</t>
  </si>
  <si>
    <t>CUW</t>
  </si>
  <si>
    <t>Curaçao</t>
  </si>
  <si>
    <t>Czechia</t>
  </si>
  <si>
    <t>Faroe Islands</t>
  </si>
  <si>
    <t>Hong Kong SAR, China</t>
  </si>
  <si>
    <t>IMN</t>
  </si>
  <si>
    <t>Isle of Man</t>
  </si>
  <si>
    <t>Macao SAR, China</t>
  </si>
  <si>
    <t>MAF</t>
  </si>
  <si>
    <t>St. Martin (French part)</t>
  </si>
  <si>
    <t>MNE</t>
  </si>
  <si>
    <t>PSE</t>
  </si>
  <si>
    <t>West Bank and Gaza</t>
  </si>
  <si>
    <t>ROU</t>
  </si>
  <si>
    <t>SRB</t>
  </si>
  <si>
    <t>SSD</t>
  </si>
  <si>
    <t>SXM</t>
  </si>
  <si>
    <t>Sint Maarten (Dutch part)</t>
  </si>
  <si>
    <t>Turks and Caicos Islands</t>
  </si>
  <si>
    <t>TLS</t>
  </si>
  <si>
    <t>Türkiye</t>
  </si>
  <si>
    <t>Venezuela, RB</t>
  </si>
  <si>
    <t>XKX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</si>
</sst>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2" fontId="3" fillId="2" borderId="4" xfId="2" applyNumberFormat="1" applyFont="1" applyFill="1" applyBorder="1" applyAlignment="1">
      <alignment horizontal="center" vertical="center" wrapText="1"/>
    </xf>
    <xf numFmtId="0" fontId="2" fillId="3" borderId="5" xfId="2" applyFill="1" applyBorder="1"/>
    <xf numFmtId="0" fontId="2" fillId="0" borderId="5" xfId="2" applyBorder="1"/>
    <xf numFmtId="0" fontId="5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8" xfId="0" applyBorder="1"/>
    <xf numFmtId="2" fontId="2" fillId="0" borderId="7" xfId="2" applyNumberFormat="1" applyBorder="1" applyAlignment="1">
      <alignment horizontal="right" vertical="center"/>
    </xf>
    <xf numFmtId="2" fontId="2" fillId="0" borderId="6" xfId="2" applyNumberFormat="1" applyBorder="1" applyAlignment="1">
      <alignment horizontal="right" vertical="center"/>
    </xf>
    <xf numFmtId="2" fontId="2" fillId="0" borderId="6" xfId="2" applyNumberFormat="1" applyBorder="1" applyAlignment="1">
      <alignment horizontal="center" vertical="center"/>
    </xf>
    <xf numFmtId="1" fontId="4" fillId="0" borderId="6" xfId="0" applyNumberFormat="1" applyFont="1" applyBorder="1" applyAlignment="1">
      <alignment horizontal="right"/>
    </xf>
    <xf numFmtId="1" fontId="2" fillId="0" borderId="7" xfId="2" applyNumberFormat="1" applyBorder="1" applyAlignment="1">
      <alignment horizontal="right" vertical="center"/>
    </xf>
    <xf numFmtId="1" fontId="2" fillId="0" borderId="6" xfId="2" applyNumberFormat="1" applyBorder="1" applyAlignment="1">
      <alignment horizontal="right"/>
    </xf>
    <xf numFmtId="1" fontId="3" fillId="0" borderId="7" xfId="2" applyNumberFormat="1" applyFont="1" applyBorder="1" applyAlignment="1">
      <alignment horizontal="right" vertical="center"/>
    </xf>
    <xf numFmtId="1" fontId="3" fillId="0" borderId="7" xfId="2" applyNumberFormat="1" applyFont="1" applyBorder="1" applyAlignment="1">
      <alignment horizontal="right"/>
    </xf>
    <xf numFmtId="1" fontId="2" fillId="0" borderId="7" xfId="2" applyNumberFormat="1" applyBorder="1" applyAlignment="1">
      <alignment horizontal="right"/>
    </xf>
    <xf numFmtId="1" fontId="2" fillId="0" borderId="6" xfId="0" applyNumberFormat="1" applyFont="1" applyBorder="1" applyAlignment="1">
      <alignment horizontal="right"/>
    </xf>
    <xf numFmtId="1" fontId="2" fillId="0" borderId="6" xfId="2" applyNumberFormat="1" applyBorder="1" applyAlignment="1">
      <alignment horizontal="right" vertical="center"/>
    </xf>
    <xf numFmtId="1" fontId="4" fillId="0" borderId="6" xfId="1" applyNumberFormat="1" applyFont="1" applyFill="1" applyBorder="1" applyAlignment="1">
      <alignment horizontal="right"/>
    </xf>
    <xf numFmtId="1" fontId="2" fillId="0" borderId="6" xfId="2" applyNumberFormat="1" applyBorder="1" applyAlignment="1">
      <alignment horizontal="right" vertical="top"/>
    </xf>
    <xf numFmtId="1" fontId="4" fillId="0" borderId="6" xfId="0" applyNumberFormat="1" applyFont="1" applyBorder="1" applyAlignment="1">
      <alignment horizontal="right" vertical="top" wrapText="1"/>
    </xf>
    <xf numFmtId="1" fontId="3" fillId="2" borderId="3" xfId="2" applyNumberFormat="1" applyFont="1" applyFill="1" applyBorder="1" applyAlignment="1">
      <alignment horizontal="center" vertical="center" wrapText="1"/>
    </xf>
    <xf numFmtId="1" fontId="2" fillId="0" borderId="7" xfId="2" applyNumberFormat="1" applyBorder="1" applyAlignment="1">
      <alignment horizontal="right" vertical="top"/>
    </xf>
    <xf numFmtId="1" fontId="2" fillId="0" borderId="0" xfId="2" applyNumberFormat="1" applyAlignment="1">
      <alignment horizontal="right" vertical="center"/>
    </xf>
    <xf numFmtId="1" fontId="0" fillId="0" borderId="0" xfId="0" applyNumberFormat="1"/>
    <xf numFmtId="1" fontId="3" fillId="2" borderId="2" xfId="2" applyNumberFormat="1" applyFont="1" applyFill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right" vertical="top"/>
    </xf>
    <xf numFmtId="2" fontId="0" fillId="0" borderId="0" xfId="0" applyNumberFormat="1"/>
  </cellXfs>
  <cellStyles count="3">
    <cellStyle name="Comma" xfId="1" builtinId="3"/>
    <cellStyle name="Normal" xfId="0" builtinId="0"/>
    <cellStyle name="Normal 2" xfId="2" xr:uid="{B8EB64E2-B98B-490D-8E4C-E735C067B2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9B49-1256-478E-951B-E9E0C0B36D6D}">
  <dimension ref="A1:F1980"/>
  <sheetViews>
    <sheetView tabSelected="1" topLeftCell="A213" zoomScale="80" zoomScaleNormal="80" workbookViewId="0">
      <selection activeCell="B245" sqref="B245"/>
    </sheetView>
  </sheetViews>
  <sheetFormatPr defaultRowHeight="15" x14ac:dyDescent="0.25"/>
  <cols>
    <col min="1" max="2" width="27.42578125" customWidth="1"/>
    <col min="3" max="3" width="16.7109375" style="25" customWidth="1"/>
    <col min="4" max="4" width="11.7109375" style="25" customWidth="1"/>
    <col min="5" max="5" width="22.28515625" style="25" customWidth="1"/>
    <col min="6" max="6" width="18" style="28" customWidth="1"/>
  </cols>
  <sheetData>
    <row r="1" spans="1:6" ht="41.1" customHeight="1" thickBot="1" x14ac:dyDescent="0.3">
      <c r="A1" s="1" t="s">
        <v>0</v>
      </c>
      <c r="B1" s="1" t="s">
        <v>1</v>
      </c>
      <c r="C1" s="26" t="s">
        <v>2</v>
      </c>
      <c r="D1" s="22" t="s">
        <v>3</v>
      </c>
      <c r="E1" s="26" t="s">
        <v>4</v>
      </c>
      <c r="F1" s="2" t="s">
        <v>5</v>
      </c>
    </row>
    <row r="2" spans="1:6" x14ac:dyDescent="0.25">
      <c r="A2" s="3" t="s">
        <v>6</v>
      </c>
      <c r="B2" s="4" t="str">
        <f>VLOOKUP(A2,Codes!$G$2:$H$217,2,0)</f>
        <v>AFG</v>
      </c>
      <c r="C2" s="11">
        <v>14039528</v>
      </c>
      <c r="D2" s="12">
        <v>2009</v>
      </c>
      <c r="E2" s="13">
        <v>3653</v>
      </c>
      <c r="F2" s="8">
        <v>0.26019393244559219</v>
      </c>
    </row>
    <row r="3" spans="1:6" x14ac:dyDescent="0.25">
      <c r="A3" s="4" t="s">
        <v>6</v>
      </c>
      <c r="B3" s="4" t="str">
        <f>VLOOKUP(A3,Codes!$G$2:$H$217,2,0)</f>
        <v>AFG</v>
      </c>
      <c r="C3" s="11">
        <v>14444996</v>
      </c>
      <c r="D3" s="12">
        <v>2010</v>
      </c>
      <c r="E3" s="13">
        <v>4759</v>
      </c>
      <c r="F3" s="8">
        <v>0.32945665059374196</v>
      </c>
    </row>
    <row r="4" spans="1:6" x14ac:dyDescent="0.25">
      <c r="A4" s="4" t="s">
        <v>6</v>
      </c>
      <c r="B4" s="4" t="str">
        <f>VLOOKUP(A4,Codes!$G$2:$H$217,2,0)</f>
        <v>AFG</v>
      </c>
      <c r="C4" s="11">
        <v>15041824</v>
      </c>
      <c r="D4" s="12">
        <v>2011</v>
      </c>
      <c r="E4" s="13">
        <v>3745</v>
      </c>
      <c r="F4" s="8">
        <v>0.24897246504147366</v>
      </c>
    </row>
    <row r="5" spans="1:6" x14ac:dyDescent="0.25">
      <c r="A5" s="4" t="s">
        <v>6</v>
      </c>
      <c r="B5" s="4" t="str">
        <f>VLOOKUP(A5,Codes!$G$2:$H$217,2,0)</f>
        <v>AFG</v>
      </c>
      <c r="C5" s="11">
        <v>15743958</v>
      </c>
      <c r="D5" s="14">
        <v>2012</v>
      </c>
      <c r="E5" s="13">
        <v>3557</v>
      </c>
      <c r="F5" s="8">
        <v>0.22592794010248249</v>
      </c>
    </row>
    <row r="6" spans="1:6" x14ac:dyDescent="0.25">
      <c r="A6" s="4" t="s">
        <v>6</v>
      </c>
      <c r="B6" s="4" t="str">
        <f>VLOOKUP(A6,Codes!$G$2:$H$217,2,0)</f>
        <v>AFG</v>
      </c>
      <c r="C6" s="11">
        <v>16519812</v>
      </c>
      <c r="D6" s="12">
        <v>2013</v>
      </c>
      <c r="E6" s="13">
        <v>3191</v>
      </c>
      <c r="F6" s="8">
        <v>0.19316200450707308</v>
      </c>
    </row>
    <row r="7" spans="1:6" x14ac:dyDescent="0.25">
      <c r="A7" s="4" t="s">
        <v>6</v>
      </c>
      <c r="B7" s="4" t="str">
        <f>VLOOKUP(A7,Codes!$G$2:$H$217,2,0)</f>
        <v>AFG</v>
      </c>
      <c r="C7" s="11">
        <v>17322062</v>
      </c>
      <c r="D7" s="15">
        <v>2014</v>
      </c>
      <c r="E7" s="13">
        <v>2466</v>
      </c>
      <c r="F7" s="8">
        <v>0.14236180427018447</v>
      </c>
    </row>
    <row r="8" spans="1:6" x14ac:dyDescent="0.25">
      <c r="A8" s="4" t="s">
        <v>6</v>
      </c>
      <c r="B8" s="4" t="str">
        <f>VLOOKUP(A8,Codes!$G$2:$H$217,2,0)</f>
        <v>AFG</v>
      </c>
      <c r="C8" s="11">
        <v>18116800</v>
      </c>
      <c r="D8" s="16">
        <v>2015</v>
      </c>
      <c r="E8" s="13">
        <v>2255</v>
      </c>
      <c r="F8" s="8">
        <v>0.12447010509582265</v>
      </c>
    </row>
    <row r="9" spans="1:6" x14ac:dyDescent="0.25">
      <c r="A9" s="4" t="s">
        <v>6</v>
      </c>
      <c r="B9" s="4" t="str">
        <f>VLOOKUP(A9,Codes!$G$2:$H$217,2,0)</f>
        <v>AFG</v>
      </c>
      <c r="C9" s="11">
        <v>18826589</v>
      </c>
      <c r="D9" s="15">
        <v>2016</v>
      </c>
      <c r="E9" s="13">
        <v>2448</v>
      </c>
      <c r="F9" s="8">
        <v>0.13002886502701047</v>
      </c>
    </row>
    <row r="10" spans="1:6" x14ac:dyDescent="0.25">
      <c r="A10" s="4" t="s">
        <v>6</v>
      </c>
      <c r="B10" s="4" t="str">
        <f>VLOOKUP(A10,Codes!$G$2:$H$217,2,0)</f>
        <v>AFG</v>
      </c>
      <c r="C10" s="11">
        <v>19513959</v>
      </c>
      <c r="D10" s="16">
        <v>2017</v>
      </c>
      <c r="E10" s="13">
        <v>3022</v>
      </c>
      <c r="F10" s="8">
        <v>0.15486350053313117</v>
      </c>
    </row>
    <row r="11" spans="1:6" x14ac:dyDescent="0.25">
      <c r="A11" s="4" t="s">
        <v>6</v>
      </c>
      <c r="B11" s="4" t="str">
        <f>VLOOKUP(A11,Codes!$G$2:$H$217,2,0)</f>
        <v>AFG</v>
      </c>
      <c r="C11" s="11">
        <v>20193609</v>
      </c>
      <c r="D11" s="15">
        <v>2018</v>
      </c>
      <c r="E11" s="13">
        <v>4274</v>
      </c>
      <c r="F11" s="8">
        <v>0.21165112189703186</v>
      </c>
    </row>
    <row r="12" spans="1:6" x14ac:dyDescent="0.25">
      <c r="A12" s="3" t="s">
        <v>7</v>
      </c>
      <c r="B12" s="4" t="str">
        <f>VLOOKUP(A12,Codes!$G$2:$H$217,2,0)</f>
        <v>ALB</v>
      </c>
      <c r="C12" s="11">
        <v>1960789</v>
      </c>
      <c r="D12" s="12">
        <v>2006</v>
      </c>
      <c r="E12" s="13">
        <v>1671</v>
      </c>
      <c r="F12" s="8">
        <v>0.85220796322296788</v>
      </c>
    </row>
    <row r="13" spans="1:6" x14ac:dyDescent="0.25">
      <c r="A13" s="4" t="s">
        <v>7</v>
      </c>
      <c r="B13" s="4" t="str">
        <f>VLOOKUP(A13,Codes!$G$2:$H$217,2,0)</f>
        <v>ALB</v>
      </c>
      <c r="C13" s="11">
        <v>1959058</v>
      </c>
      <c r="D13" s="12">
        <v>2007</v>
      </c>
      <c r="E13" s="13">
        <v>2094</v>
      </c>
      <c r="F13" s="8">
        <v>1.0688810642666016</v>
      </c>
    </row>
    <row r="14" spans="1:6" x14ac:dyDescent="0.25">
      <c r="A14" s="4" t="s">
        <v>7</v>
      </c>
      <c r="B14" s="4" t="str">
        <f>VLOOKUP(A14,Codes!$G$2:$H$217,2,0)</f>
        <v>ALB</v>
      </c>
      <c r="C14" s="11">
        <v>1955065</v>
      </c>
      <c r="D14" s="12">
        <v>2008</v>
      </c>
      <c r="E14" s="13">
        <v>2891</v>
      </c>
      <c r="F14" s="8">
        <v>1.4787232138061905</v>
      </c>
    </row>
    <row r="15" spans="1:6" x14ac:dyDescent="0.25">
      <c r="A15" s="4" t="s">
        <v>7</v>
      </c>
      <c r="B15" s="4" t="str">
        <f>VLOOKUP(A15,Codes!$G$2:$H$217,2,0)</f>
        <v>ALB</v>
      </c>
      <c r="C15" s="11">
        <v>1951106</v>
      </c>
      <c r="D15" s="12">
        <v>2009</v>
      </c>
      <c r="E15" s="13">
        <v>2217</v>
      </c>
      <c r="F15" s="8">
        <v>1.1362786030077301</v>
      </c>
    </row>
    <row r="16" spans="1:6" x14ac:dyDescent="0.25">
      <c r="A16" s="4" t="s">
        <v>7</v>
      </c>
      <c r="B16" s="4" t="str">
        <f>VLOOKUP(A16,Codes!$G$2:$H$217,2,0)</f>
        <v>ALB</v>
      </c>
      <c r="C16" s="11">
        <v>1948797</v>
      </c>
      <c r="D16" s="12">
        <v>2010</v>
      </c>
      <c r="E16" s="13">
        <v>2166</v>
      </c>
      <c r="F16" s="8">
        <v>1.1114549129539917</v>
      </c>
    </row>
    <row r="17" spans="1:6" x14ac:dyDescent="0.25">
      <c r="A17" s="4" t="s">
        <v>7</v>
      </c>
      <c r="B17" s="4" t="str">
        <f>VLOOKUP(A17,Codes!$G$2:$H$217,2,0)</f>
        <v>ALB</v>
      </c>
      <c r="C17" s="11">
        <v>1961405</v>
      </c>
      <c r="D17" s="12">
        <v>2011</v>
      </c>
      <c r="E17" s="13">
        <v>1891</v>
      </c>
      <c r="F17" s="8">
        <v>0.96410481262156467</v>
      </c>
    </row>
    <row r="18" spans="1:6" x14ac:dyDescent="0.25">
      <c r="A18" s="4" t="s">
        <v>7</v>
      </c>
      <c r="B18" s="4" t="str">
        <f>VLOOKUP(A18,Codes!$G$2:$H$217,2,0)</f>
        <v>ALB</v>
      </c>
      <c r="C18" s="11">
        <v>1972618</v>
      </c>
      <c r="D18" s="12">
        <v>2012</v>
      </c>
      <c r="E18" s="13">
        <v>1877</v>
      </c>
      <c r="F18" s="8">
        <v>0.95152736110083147</v>
      </c>
    </row>
    <row r="19" spans="1:6" x14ac:dyDescent="0.25">
      <c r="A19" s="4" t="s">
        <v>7</v>
      </c>
      <c r="B19" s="4" t="str">
        <f>VLOOKUP(A19,Codes!$G$2:$H$217,2,0)</f>
        <v>ALB</v>
      </c>
      <c r="C19" s="11">
        <v>1979460</v>
      </c>
      <c r="D19" s="12">
        <v>2013</v>
      </c>
      <c r="E19" s="13">
        <v>2105</v>
      </c>
      <c r="F19" s="8">
        <v>1.0634213371323493</v>
      </c>
    </row>
    <row r="20" spans="1:6" x14ac:dyDescent="0.25">
      <c r="A20" s="4" t="s">
        <v>7</v>
      </c>
      <c r="B20" s="4" t="str">
        <f>VLOOKUP(A20,Codes!$G$2:$H$217,2,0)</f>
        <v>ALB</v>
      </c>
      <c r="C20" s="11">
        <v>1981897</v>
      </c>
      <c r="D20" s="16">
        <v>2014</v>
      </c>
      <c r="E20" s="13">
        <v>2271</v>
      </c>
      <c r="F20" s="8">
        <v>1.1458718591329418</v>
      </c>
    </row>
    <row r="21" spans="1:6" x14ac:dyDescent="0.25">
      <c r="A21" s="4" t="s">
        <v>7</v>
      </c>
      <c r="B21" s="4" t="str">
        <f>VLOOKUP(A21,Codes!$G$2:$H$217,2,0)</f>
        <v>ALB</v>
      </c>
      <c r="C21" s="11">
        <v>1979179</v>
      </c>
      <c r="D21" s="16">
        <v>2015</v>
      </c>
      <c r="E21" s="13">
        <v>2610</v>
      </c>
      <c r="F21" s="8">
        <v>1.3187286243437304</v>
      </c>
    </row>
    <row r="22" spans="1:6" x14ac:dyDescent="0.25">
      <c r="A22" s="4" t="s">
        <v>7</v>
      </c>
      <c r="B22" s="4" t="str">
        <f>VLOOKUP(A22,Codes!$G$2:$H$217,2,0)</f>
        <v>ALB</v>
      </c>
      <c r="C22" s="11">
        <v>1974734</v>
      </c>
      <c r="D22" s="16">
        <v>2016</v>
      </c>
      <c r="E22" s="13">
        <v>2721</v>
      </c>
      <c r="F22" s="8">
        <v>1.3779071003993448</v>
      </c>
    </row>
    <row r="23" spans="1:6" x14ac:dyDescent="0.25">
      <c r="A23" s="4" t="s">
        <v>7</v>
      </c>
      <c r="B23" s="4" t="str">
        <f>VLOOKUP(A23,Codes!$G$2:$H$217,2,0)</f>
        <v>ALB</v>
      </c>
      <c r="C23" s="11">
        <v>1972416</v>
      </c>
      <c r="D23" s="16">
        <v>2017</v>
      </c>
      <c r="E23" s="13">
        <v>3014</v>
      </c>
      <c r="F23" s="8">
        <v>1.5280752133424187</v>
      </c>
    </row>
    <row r="24" spans="1:6" x14ac:dyDescent="0.25">
      <c r="A24" s="4" t="s">
        <v>7</v>
      </c>
      <c r="B24" s="4" t="str">
        <f>VLOOKUP(A24,Codes!$G$2:$H$217,2,0)</f>
        <v>ALB</v>
      </c>
      <c r="C24" s="11">
        <v>1965829</v>
      </c>
      <c r="D24" s="16">
        <v>2018</v>
      </c>
      <c r="E24" s="13">
        <v>3259</v>
      </c>
      <c r="F24" s="8">
        <v>1.6578247650227971</v>
      </c>
    </row>
    <row r="25" spans="1:6" x14ac:dyDescent="0.25">
      <c r="A25" s="4" t="s">
        <v>7</v>
      </c>
      <c r="B25" s="4" t="str">
        <f>VLOOKUP(A25,Codes!$G$2:$H$217,2,0)</f>
        <v>ALB</v>
      </c>
      <c r="C25" s="11">
        <v>1952204</v>
      </c>
      <c r="D25" s="16">
        <v>2019</v>
      </c>
      <c r="E25" s="13">
        <v>3189</v>
      </c>
      <c r="F25" s="8">
        <v>1.6335382982516171</v>
      </c>
    </row>
    <row r="26" spans="1:6" x14ac:dyDescent="0.25">
      <c r="A26" s="4" t="s">
        <v>7</v>
      </c>
      <c r="B26" s="4" t="str">
        <f>VLOOKUP(A26,Codes!$G$2:$H$217,2,0)</f>
        <v>ALB</v>
      </c>
      <c r="C26" s="11">
        <v>1931355</v>
      </c>
      <c r="D26" s="16">
        <v>2020</v>
      </c>
      <c r="E26" s="13">
        <v>2945</v>
      </c>
      <c r="F26" s="8">
        <v>1.5248361901359408</v>
      </c>
    </row>
    <row r="27" spans="1:6" x14ac:dyDescent="0.25">
      <c r="A27" s="3" t="s">
        <v>8</v>
      </c>
      <c r="B27" s="4" t="str">
        <f>VLOOKUP(A27,Codes!$G$2:$H$217,2,0)</f>
        <v>DZA</v>
      </c>
      <c r="C27" s="11">
        <v>22354242</v>
      </c>
      <c r="D27" s="12">
        <v>2006</v>
      </c>
      <c r="E27" s="13">
        <v>4218</v>
      </c>
      <c r="F27" s="8">
        <v>0.1886890192921773</v>
      </c>
    </row>
    <row r="28" spans="1:6" x14ac:dyDescent="0.25">
      <c r="A28" s="4" t="s">
        <v>8</v>
      </c>
      <c r="B28" s="4" t="str">
        <f>VLOOKUP(A28,Codes!$G$2:$H$217,2,0)</f>
        <v>DZA</v>
      </c>
      <c r="C28" s="11">
        <v>22845303</v>
      </c>
      <c r="D28" s="12">
        <v>2007</v>
      </c>
      <c r="E28" s="13">
        <v>3622</v>
      </c>
      <c r="F28" s="8">
        <v>0.1585446251249108</v>
      </c>
    </row>
    <row r="29" spans="1:6" x14ac:dyDescent="0.25">
      <c r="A29" s="4" t="s">
        <v>8</v>
      </c>
      <c r="B29" s="4" t="str">
        <f>VLOOKUP(A29,Codes!$G$2:$H$217,2,0)</f>
        <v>DZA</v>
      </c>
      <c r="C29" s="11">
        <v>23315424</v>
      </c>
      <c r="D29" s="12">
        <v>2008</v>
      </c>
      <c r="E29" s="13">
        <v>4651</v>
      </c>
      <c r="F29" s="8">
        <v>0.19948168216885098</v>
      </c>
    </row>
    <row r="30" spans="1:6" x14ac:dyDescent="0.25">
      <c r="A30" s="4" t="s">
        <v>8</v>
      </c>
      <c r="B30" s="4" t="str">
        <f>VLOOKUP(A30,Codes!$G$2:$H$217,2,0)</f>
        <v>DZA</v>
      </c>
      <c r="C30" s="11">
        <v>23766657</v>
      </c>
      <c r="D30" s="12">
        <v>2009</v>
      </c>
      <c r="E30" s="13">
        <v>4574</v>
      </c>
      <c r="F30" s="8">
        <v>0.19245449622973898</v>
      </c>
    </row>
    <row r="31" spans="1:6" x14ac:dyDescent="0.25">
      <c r="A31" s="4" t="s">
        <v>8</v>
      </c>
      <c r="B31" s="4" t="str">
        <f>VLOOKUP(A31,Codes!$G$2:$H$217,2,0)</f>
        <v>DZA</v>
      </c>
      <c r="C31" s="11">
        <v>24198798</v>
      </c>
      <c r="D31" s="12">
        <v>2010</v>
      </c>
      <c r="E31" s="13">
        <v>4122</v>
      </c>
      <c r="F31" s="8">
        <v>0.1703390391539282</v>
      </c>
    </row>
    <row r="32" spans="1:6" x14ac:dyDescent="0.25">
      <c r="A32" s="4" t="s">
        <v>8</v>
      </c>
      <c r="B32" s="4" t="str">
        <f>VLOOKUP(A32,Codes!$G$2:$H$217,2,0)</f>
        <v>DZA</v>
      </c>
      <c r="C32" s="11">
        <v>24569853</v>
      </c>
      <c r="D32" s="12">
        <v>2011</v>
      </c>
      <c r="E32" s="13">
        <v>4711</v>
      </c>
      <c r="F32" s="8">
        <v>0.1917390388945347</v>
      </c>
    </row>
    <row r="33" spans="1:6" x14ac:dyDescent="0.25">
      <c r="A33" s="4" t="s">
        <v>8</v>
      </c>
      <c r="B33" s="4" t="str">
        <f>VLOOKUP(A33,Codes!$G$2:$H$217,2,0)</f>
        <v>DZA</v>
      </c>
      <c r="C33" s="11">
        <v>24959503</v>
      </c>
      <c r="D33" s="12">
        <v>2012</v>
      </c>
      <c r="E33" s="13">
        <v>7724</v>
      </c>
      <c r="F33" s="8">
        <v>0.30946129015469581</v>
      </c>
    </row>
    <row r="34" spans="1:6" x14ac:dyDescent="0.25">
      <c r="A34" s="4" t="s">
        <v>8</v>
      </c>
      <c r="B34" s="4" t="str">
        <f>VLOOKUP(A34,Codes!$G$2:$H$217,2,0)</f>
        <v>DZA</v>
      </c>
      <c r="C34" s="11">
        <v>25342751</v>
      </c>
      <c r="D34" s="12">
        <v>2013</v>
      </c>
      <c r="E34" s="13">
        <v>7698</v>
      </c>
      <c r="F34" s="8">
        <v>0.30375549994552681</v>
      </c>
    </row>
    <row r="35" spans="1:6" x14ac:dyDescent="0.25">
      <c r="A35" s="4" t="s">
        <v>8</v>
      </c>
      <c r="B35" s="4" t="str">
        <f>VLOOKUP(A35,Codes!$G$2:$H$217,2,0)</f>
        <v>DZA</v>
      </c>
      <c r="C35" s="11">
        <v>25690645</v>
      </c>
      <c r="D35" s="16">
        <v>2014</v>
      </c>
      <c r="E35" s="13">
        <v>8426</v>
      </c>
      <c r="F35" s="8">
        <v>0.32797930919990526</v>
      </c>
    </row>
    <row r="36" spans="1:6" x14ac:dyDescent="0.25">
      <c r="A36" s="4" t="s">
        <v>8</v>
      </c>
      <c r="B36" s="4" t="str">
        <f>VLOOKUP(A36,Codes!$G$2:$H$217,2,0)</f>
        <v>DZA</v>
      </c>
      <c r="C36" s="11">
        <v>25993585</v>
      </c>
      <c r="D36" s="16">
        <v>2015</v>
      </c>
      <c r="E36" s="13">
        <v>8093</v>
      </c>
      <c r="F36" s="8">
        <v>0.311346049419501</v>
      </c>
    </row>
    <row r="37" spans="1:6" x14ac:dyDescent="0.25">
      <c r="A37" s="4" t="s">
        <v>8</v>
      </c>
      <c r="B37" s="4" t="str">
        <f>VLOOKUP(A37,Codes!$G$2:$H$217,2,0)</f>
        <v>DZA</v>
      </c>
      <c r="C37" s="11">
        <v>26300650</v>
      </c>
      <c r="D37" s="16">
        <v>2016</v>
      </c>
      <c r="E37" s="13">
        <v>8841</v>
      </c>
      <c r="F37" s="8">
        <v>0.33615138789345511</v>
      </c>
    </row>
    <row r="38" spans="1:6" x14ac:dyDescent="0.25">
      <c r="A38" s="4" t="s">
        <v>8</v>
      </c>
      <c r="B38" s="4" t="str">
        <f>VLOOKUP(A38,Codes!$G$2:$H$217,2,0)</f>
        <v>DZA</v>
      </c>
      <c r="C38" s="11">
        <v>26564898</v>
      </c>
      <c r="D38" s="16">
        <v>2017</v>
      </c>
      <c r="E38" s="13">
        <v>9885</v>
      </c>
      <c r="F38" s="8">
        <v>0.37210758347349948</v>
      </c>
    </row>
    <row r="39" spans="1:6" x14ac:dyDescent="0.25">
      <c r="A39" s="4" t="s">
        <v>8</v>
      </c>
      <c r="B39" s="4" t="str">
        <f>VLOOKUP(A39,Codes!$G$2:$H$217,2,0)</f>
        <v>DZA</v>
      </c>
      <c r="C39" s="11">
        <v>26810324</v>
      </c>
      <c r="D39" s="16">
        <v>2018</v>
      </c>
      <c r="E39" s="13">
        <v>9472</v>
      </c>
      <c r="F39" s="8">
        <v>0.35329673748068097</v>
      </c>
    </row>
    <row r="40" spans="1:6" x14ac:dyDescent="0.25">
      <c r="A40" s="3" t="s">
        <v>9</v>
      </c>
      <c r="B40" s="4" t="str">
        <f>VLOOKUP(A40,Codes!$G$2:$H$217,2,0)</f>
        <v>ATG</v>
      </c>
      <c r="C40" s="11">
        <v>55282</v>
      </c>
      <c r="D40" s="12">
        <v>2006</v>
      </c>
      <c r="E40" s="13">
        <v>295</v>
      </c>
      <c r="F40" s="8">
        <v>5.3362758221482585</v>
      </c>
    </row>
    <row r="41" spans="1:6" x14ac:dyDescent="0.25">
      <c r="A41" s="4" t="s">
        <v>9</v>
      </c>
      <c r="B41" s="4" t="str">
        <f>VLOOKUP(A41,Codes!$G$2:$H$217,2,0)</f>
        <v>ATG</v>
      </c>
      <c r="C41" s="11">
        <v>56455</v>
      </c>
      <c r="D41" s="12">
        <v>2007</v>
      </c>
      <c r="E41" s="13">
        <v>257</v>
      </c>
      <c r="F41" s="8">
        <v>4.5522982906739884</v>
      </c>
    </row>
    <row r="42" spans="1:6" x14ac:dyDescent="0.25">
      <c r="A42" s="4" t="s">
        <v>9</v>
      </c>
      <c r="B42" s="4" t="str">
        <f>VLOOKUP(A42,Codes!$G$2:$H$217,2,0)</f>
        <v>ATG</v>
      </c>
      <c r="C42" s="11">
        <v>57688</v>
      </c>
      <c r="D42" s="12">
        <v>2008</v>
      </c>
      <c r="E42" s="13">
        <v>226</v>
      </c>
      <c r="F42" s="8">
        <v>3.9176258493967553</v>
      </c>
    </row>
    <row r="43" spans="1:6" x14ac:dyDescent="0.25">
      <c r="A43" s="4" t="s">
        <v>9</v>
      </c>
      <c r="B43" s="4" t="str">
        <f>VLOOKUP(A43,Codes!$G$2:$H$217,2,0)</f>
        <v>ATG</v>
      </c>
      <c r="C43" s="11">
        <v>58926</v>
      </c>
      <c r="D43" s="12">
        <v>2009</v>
      </c>
      <c r="E43" s="13">
        <v>159</v>
      </c>
      <c r="F43" s="8">
        <v>2.6982995621627124</v>
      </c>
    </row>
    <row r="44" spans="1:6" x14ac:dyDescent="0.25">
      <c r="A44" s="4" t="s">
        <v>9</v>
      </c>
      <c r="B44" s="4" t="str">
        <f>VLOOKUP(A44,Codes!$G$2:$H$217,2,0)</f>
        <v>ATG</v>
      </c>
      <c r="C44" s="11">
        <v>60126</v>
      </c>
      <c r="D44" s="12">
        <v>2010</v>
      </c>
      <c r="E44" s="13">
        <v>193</v>
      </c>
      <c r="F44" s="8">
        <v>3.2099258224395437</v>
      </c>
    </row>
    <row r="45" spans="1:6" x14ac:dyDescent="0.25">
      <c r="A45" s="4" t="s">
        <v>9</v>
      </c>
      <c r="B45" s="4" t="str">
        <f>VLOOKUP(A45,Codes!$G$2:$H$217,2,0)</f>
        <v>ATG</v>
      </c>
      <c r="C45" s="11">
        <v>61125</v>
      </c>
      <c r="D45" s="12">
        <v>2011</v>
      </c>
      <c r="E45" s="13">
        <v>187</v>
      </c>
      <c r="F45" s="8">
        <v>3.0593047034764824</v>
      </c>
    </row>
    <row r="46" spans="1:6" x14ac:dyDescent="0.25">
      <c r="A46" s="4" t="s">
        <v>9</v>
      </c>
      <c r="B46" s="4" t="str">
        <f>VLOOKUP(A46,Codes!$G$2:$H$217,2,0)</f>
        <v>ATG</v>
      </c>
      <c r="C46" s="11">
        <v>62129</v>
      </c>
      <c r="D46" s="12">
        <v>2012</v>
      </c>
      <c r="E46" s="13">
        <v>168</v>
      </c>
      <c r="F46" s="8">
        <v>2.704051248209371</v>
      </c>
    </row>
    <row r="47" spans="1:6" x14ac:dyDescent="0.25">
      <c r="A47" s="4" t="s">
        <v>9</v>
      </c>
      <c r="B47" s="4" t="str">
        <f>VLOOKUP(A47,Codes!$G$2:$H$217,2,0)</f>
        <v>ATG</v>
      </c>
      <c r="C47" s="11">
        <v>63102</v>
      </c>
      <c r="D47" s="12">
        <v>2013</v>
      </c>
      <c r="E47" s="13">
        <v>217</v>
      </c>
      <c r="F47" s="8">
        <v>3.4388767392475672</v>
      </c>
    </row>
    <row r="48" spans="1:6" x14ac:dyDescent="0.25">
      <c r="A48" s="4" t="s">
        <v>9</v>
      </c>
      <c r="B48" s="4" t="str">
        <f>VLOOKUP(A48,Codes!$G$2:$H$217,2,0)</f>
        <v>ATG</v>
      </c>
      <c r="C48" s="11">
        <v>64003</v>
      </c>
      <c r="D48" s="16">
        <v>2014</v>
      </c>
      <c r="E48" s="13">
        <v>246</v>
      </c>
      <c r="F48" s="8">
        <v>3.8435698326640937</v>
      </c>
    </row>
    <row r="49" spans="1:6" x14ac:dyDescent="0.25">
      <c r="A49" s="4" t="s">
        <v>9</v>
      </c>
      <c r="B49" s="4" t="str">
        <f>VLOOKUP(A49,Codes!$G$2:$H$217,2,0)</f>
        <v>ATG</v>
      </c>
      <c r="C49" s="11">
        <v>64815</v>
      </c>
      <c r="D49" s="16">
        <v>2015</v>
      </c>
      <c r="E49" s="13">
        <v>271</v>
      </c>
      <c r="F49" s="8">
        <v>4.1811309110545398</v>
      </c>
    </row>
    <row r="50" spans="1:6" x14ac:dyDescent="0.25">
      <c r="A50" s="4" t="s">
        <v>9</v>
      </c>
      <c r="B50" s="4" t="str">
        <f>VLOOKUP(A50,Codes!$G$2:$H$217,2,0)</f>
        <v>ATG</v>
      </c>
      <c r="C50" s="11">
        <v>65438</v>
      </c>
      <c r="D50" s="16">
        <v>2016</v>
      </c>
      <c r="E50" s="13">
        <v>296</v>
      </c>
      <c r="F50" s="8">
        <v>4.5233656285338792</v>
      </c>
    </row>
    <row r="51" spans="1:6" x14ac:dyDescent="0.25">
      <c r="A51" s="4" t="s">
        <v>9</v>
      </c>
      <c r="B51" s="4" t="str">
        <f>VLOOKUP(A51,Codes!$G$2:$H$217,2,0)</f>
        <v>ATG</v>
      </c>
      <c r="C51" s="11">
        <v>66027</v>
      </c>
      <c r="D51" s="16">
        <v>2017</v>
      </c>
      <c r="E51" s="13">
        <v>380</v>
      </c>
      <c r="F51" s="8">
        <v>5.7552213488421406</v>
      </c>
    </row>
    <row r="52" spans="1:6" x14ac:dyDescent="0.25">
      <c r="A52" s="4" t="s">
        <v>9</v>
      </c>
      <c r="B52" s="4" t="str">
        <f>VLOOKUP(A52,Codes!$G$2:$H$217,2,0)</f>
        <v>ATG</v>
      </c>
      <c r="C52" s="11">
        <v>66549</v>
      </c>
      <c r="D52" s="16">
        <v>2018</v>
      </c>
      <c r="E52" s="13">
        <v>280</v>
      </c>
      <c r="F52" s="8">
        <v>4.2074261070789944</v>
      </c>
    </row>
    <row r="53" spans="1:6" x14ac:dyDescent="0.25">
      <c r="A53" s="4" t="s">
        <v>9</v>
      </c>
      <c r="B53" s="4" t="str">
        <f>VLOOKUP(A53,Codes!$G$2:$H$217,2,0)</f>
        <v>ATG</v>
      </c>
      <c r="C53" s="11">
        <v>67000</v>
      </c>
      <c r="D53" s="16">
        <v>2019</v>
      </c>
      <c r="E53" s="13">
        <v>242</v>
      </c>
      <c r="F53" s="8">
        <v>3.6119402985074629</v>
      </c>
    </row>
    <row r="54" spans="1:6" x14ac:dyDescent="0.25">
      <c r="A54" s="4" t="s">
        <v>9</v>
      </c>
      <c r="B54" s="4" t="str">
        <f>VLOOKUP(A54,Codes!$G$2:$H$217,2,0)</f>
        <v>ATG</v>
      </c>
      <c r="C54" s="11">
        <v>67391</v>
      </c>
      <c r="D54" s="16">
        <v>2020</v>
      </c>
      <c r="E54" s="13">
        <v>255</v>
      </c>
      <c r="F54" s="8">
        <v>3.7838880562686414</v>
      </c>
    </row>
    <row r="55" spans="1:6" x14ac:dyDescent="0.25">
      <c r="A55" s="3" t="s">
        <v>10</v>
      </c>
      <c r="B55" s="4" t="str">
        <f>VLOOKUP(A55,Codes!$G$2:$H$217,2,0)</f>
        <v>ARG</v>
      </c>
      <c r="C55" s="11">
        <v>24749593</v>
      </c>
      <c r="D55" s="12">
        <v>2006</v>
      </c>
      <c r="E55" s="13">
        <v>5956</v>
      </c>
      <c r="F55" s="8">
        <v>0.24065042200895992</v>
      </c>
    </row>
    <row r="56" spans="1:6" x14ac:dyDescent="0.25">
      <c r="A56" s="4" t="s">
        <v>10</v>
      </c>
      <c r="B56" s="4" t="str">
        <f>VLOOKUP(A56,Codes!$G$2:$H$217,2,0)</f>
        <v>ARG</v>
      </c>
      <c r="C56" s="11">
        <v>25080395</v>
      </c>
      <c r="D56" s="12">
        <v>2007</v>
      </c>
      <c r="E56" s="13">
        <v>6031</v>
      </c>
      <c r="F56" s="8">
        <v>0.24046670716310489</v>
      </c>
    </row>
    <row r="57" spans="1:6" x14ac:dyDescent="0.25">
      <c r="A57" s="4" t="s">
        <v>10</v>
      </c>
      <c r="B57" s="4" t="str">
        <f>VLOOKUP(A57,Codes!$G$2:$H$217,2,0)</f>
        <v>ARG</v>
      </c>
      <c r="C57" s="11">
        <v>25420355</v>
      </c>
      <c r="D57" s="12">
        <v>2008</v>
      </c>
      <c r="E57" s="13">
        <v>6032</v>
      </c>
      <c r="F57" s="8">
        <v>0.23729015586131663</v>
      </c>
    </row>
    <row r="58" spans="1:6" x14ac:dyDescent="0.25">
      <c r="A58" s="4" t="s">
        <v>10</v>
      </c>
      <c r="B58" s="4" t="str">
        <f>VLOOKUP(A58,Codes!$G$2:$H$217,2,0)</f>
        <v>ARG</v>
      </c>
      <c r="C58" s="11">
        <v>25755689</v>
      </c>
      <c r="D58" s="12">
        <v>2009</v>
      </c>
      <c r="E58" s="13">
        <v>4885</v>
      </c>
      <c r="F58" s="8">
        <v>0.18966683438365792</v>
      </c>
    </row>
    <row r="59" spans="1:6" x14ac:dyDescent="0.25">
      <c r="A59" s="4" t="s">
        <v>10</v>
      </c>
      <c r="B59" s="4" t="str">
        <f>VLOOKUP(A59,Codes!$G$2:$H$217,2,0)</f>
        <v>ARG</v>
      </c>
      <c r="C59" s="11">
        <v>26010395</v>
      </c>
      <c r="D59" s="12">
        <v>2010</v>
      </c>
      <c r="E59" s="13">
        <v>5400</v>
      </c>
      <c r="F59" s="8">
        <v>0.20760930389561558</v>
      </c>
    </row>
    <row r="60" spans="1:6" x14ac:dyDescent="0.25">
      <c r="A60" s="4" t="s">
        <v>10</v>
      </c>
      <c r="B60" s="4" t="str">
        <f>VLOOKUP(A60,Codes!$G$2:$H$217,2,0)</f>
        <v>ARG</v>
      </c>
      <c r="C60" s="11">
        <v>26358138</v>
      </c>
      <c r="D60" s="12">
        <v>2011</v>
      </c>
      <c r="E60" s="13">
        <v>5828</v>
      </c>
      <c r="F60" s="8">
        <v>0.22110818298318341</v>
      </c>
    </row>
    <row r="61" spans="1:6" x14ac:dyDescent="0.25">
      <c r="A61" s="4" t="s">
        <v>10</v>
      </c>
      <c r="B61" s="4" t="str">
        <f>VLOOKUP(A61,Codes!$G$2:$H$217,2,0)</f>
        <v>ARG</v>
      </c>
      <c r="C61" s="11">
        <v>26687229</v>
      </c>
      <c r="D61" s="12">
        <v>2012</v>
      </c>
      <c r="E61" s="13">
        <v>4928</v>
      </c>
      <c r="F61" s="8">
        <v>0.18465761282297238</v>
      </c>
    </row>
    <row r="62" spans="1:6" x14ac:dyDescent="0.25">
      <c r="A62" s="4" t="s">
        <v>10</v>
      </c>
      <c r="B62" s="4" t="str">
        <f>VLOOKUP(A62,Codes!$G$2:$H$217,2,0)</f>
        <v>ARG</v>
      </c>
      <c r="C62" s="11">
        <v>27002574</v>
      </c>
      <c r="D62" s="12">
        <v>2013</v>
      </c>
      <c r="E62" s="13">
        <v>5406</v>
      </c>
      <c r="F62" s="8">
        <v>0.20020313618990546</v>
      </c>
    </row>
    <row r="63" spans="1:6" x14ac:dyDescent="0.25">
      <c r="A63" s="4" t="s">
        <v>10</v>
      </c>
      <c r="B63" s="4" t="str">
        <f>VLOOKUP(A63,Codes!$G$2:$H$217,2,0)</f>
        <v>ARG</v>
      </c>
      <c r="C63" s="11">
        <v>27315081</v>
      </c>
      <c r="D63" s="16">
        <v>2014</v>
      </c>
      <c r="E63" s="13">
        <v>4699</v>
      </c>
      <c r="F63" s="8">
        <v>0.17202950999852426</v>
      </c>
    </row>
    <row r="64" spans="1:6" x14ac:dyDescent="0.25">
      <c r="A64" s="4" t="s">
        <v>10</v>
      </c>
      <c r="B64" s="4" t="str">
        <f>VLOOKUP(A64,Codes!$G$2:$H$217,2,0)</f>
        <v>ARG</v>
      </c>
      <c r="C64" s="11">
        <v>27630346</v>
      </c>
      <c r="D64" s="16">
        <v>2015</v>
      </c>
      <c r="E64" s="13">
        <v>4958</v>
      </c>
      <c r="F64" s="8">
        <v>0.17944038775337812</v>
      </c>
    </row>
    <row r="65" spans="1:6" x14ac:dyDescent="0.25">
      <c r="A65" s="4" t="s">
        <v>10</v>
      </c>
      <c r="B65" s="4" t="str">
        <f>VLOOKUP(A65,Codes!$G$2:$H$217,2,0)</f>
        <v>ARG</v>
      </c>
      <c r="C65" s="11">
        <v>27924237</v>
      </c>
      <c r="D65" s="16">
        <v>2016</v>
      </c>
      <c r="E65" s="13">
        <v>5885</v>
      </c>
      <c r="F65" s="8">
        <v>0.21074882010204968</v>
      </c>
    </row>
    <row r="66" spans="1:6" x14ac:dyDescent="0.25">
      <c r="A66" s="4" t="s">
        <v>10</v>
      </c>
      <c r="B66" s="4" t="str">
        <f>VLOOKUP(A66,Codes!$G$2:$H$217,2,0)</f>
        <v>ARG</v>
      </c>
      <c r="C66" s="11">
        <v>28225466</v>
      </c>
      <c r="D66" s="16">
        <v>2017</v>
      </c>
      <c r="E66" s="13">
        <v>6209</v>
      </c>
      <c r="F66" s="8">
        <v>0.21997865331966532</v>
      </c>
    </row>
    <row r="67" spans="1:6" x14ac:dyDescent="0.25">
      <c r="A67" s="4" t="s">
        <v>10</v>
      </c>
      <c r="B67" s="4" t="str">
        <f>VLOOKUP(A67,Codes!$G$2:$H$217,2,0)</f>
        <v>ARG</v>
      </c>
      <c r="C67" s="11">
        <v>28530443</v>
      </c>
      <c r="D67" s="16">
        <v>2018</v>
      </c>
      <c r="E67" s="13">
        <v>5667</v>
      </c>
      <c r="F67" s="8">
        <v>0.19862993364666648</v>
      </c>
    </row>
    <row r="68" spans="1:6" x14ac:dyDescent="0.25">
      <c r="A68" s="3" t="s">
        <v>11</v>
      </c>
      <c r="B68" s="4" t="str">
        <f>VLOOKUP(A68,Codes!$G$2:$H$217,2,0)</f>
        <v>ARM</v>
      </c>
      <c r="C68" s="11">
        <v>1987008</v>
      </c>
      <c r="D68" s="12">
        <v>2006</v>
      </c>
      <c r="E68" s="13">
        <v>2474</v>
      </c>
      <c r="F68" s="8">
        <v>1.2450880922472383</v>
      </c>
    </row>
    <row r="69" spans="1:6" x14ac:dyDescent="0.25">
      <c r="A69" s="4" t="s">
        <v>11</v>
      </c>
      <c r="B69" s="4" t="str">
        <f>VLOOKUP(A69,Codes!$G$2:$H$217,2,0)</f>
        <v>ARM</v>
      </c>
      <c r="C69" s="11">
        <v>1990071</v>
      </c>
      <c r="D69" s="12">
        <v>2007</v>
      </c>
      <c r="E69" s="13">
        <v>3290</v>
      </c>
      <c r="F69" s="8">
        <v>1.6532073478785432</v>
      </c>
    </row>
    <row r="70" spans="1:6" x14ac:dyDescent="0.25">
      <c r="A70" s="4" t="s">
        <v>11</v>
      </c>
      <c r="B70" s="4" t="str">
        <f>VLOOKUP(A70,Codes!$G$2:$H$217,2,0)</f>
        <v>ARM</v>
      </c>
      <c r="C70" s="11">
        <v>1994590</v>
      </c>
      <c r="D70" s="12">
        <v>2008</v>
      </c>
      <c r="E70" s="13">
        <v>3344</v>
      </c>
      <c r="F70" s="8">
        <v>1.6765350272487076</v>
      </c>
    </row>
    <row r="71" spans="1:6" x14ac:dyDescent="0.25">
      <c r="A71" s="4" t="s">
        <v>11</v>
      </c>
      <c r="B71" s="4" t="str">
        <f>VLOOKUP(A71,Codes!$G$2:$H$217,2,0)</f>
        <v>ARM</v>
      </c>
      <c r="C71" s="11">
        <v>1998528</v>
      </c>
      <c r="D71" s="12">
        <v>2009</v>
      </c>
      <c r="E71" s="13">
        <v>2575</v>
      </c>
      <c r="F71" s="8">
        <v>1.2884482979472893</v>
      </c>
    </row>
    <row r="72" spans="1:6" x14ac:dyDescent="0.25">
      <c r="A72" s="4" t="s">
        <v>11</v>
      </c>
      <c r="B72" s="4" t="str">
        <f>VLOOKUP(A72,Codes!$G$2:$H$217,2,0)</f>
        <v>ARM</v>
      </c>
      <c r="C72" s="11">
        <v>2001042</v>
      </c>
      <c r="D72" s="12">
        <v>2010</v>
      </c>
      <c r="E72" s="13">
        <v>2527</v>
      </c>
      <c r="F72" s="8">
        <v>1.2628420592871115</v>
      </c>
    </row>
    <row r="73" spans="1:6" x14ac:dyDescent="0.25">
      <c r="A73" s="4" t="s">
        <v>11</v>
      </c>
      <c r="B73" s="4" t="str">
        <f>VLOOKUP(A73,Codes!$G$2:$H$217,2,0)</f>
        <v>ARM</v>
      </c>
      <c r="C73" s="11">
        <v>2004811</v>
      </c>
      <c r="D73" s="12">
        <v>2011</v>
      </c>
      <c r="E73" s="13">
        <v>2640</v>
      </c>
      <c r="F73" s="8">
        <v>1.3168323597586007</v>
      </c>
    </row>
    <row r="74" spans="1:6" x14ac:dyDescent="0.25">
      <c r="A74" s="4" t="s">
        <v>11</v>
      </c>
      <c r="B74" s="4" t="str">
        <f>VLOOKUP(A74,Codes!$G$2:$H$217,2,0)</f>
        <v>ARM</v>
      </c>
      <c r="C74" s="11">
        <v>2009727</v>
      </c>
      <c r="D74" s="12">
        <v>2012</v>
      </c>
      <c r="E74" s="13">
        <v>3190</v>
      </c>
      <c r="F74" s="8">
        <v>1.5872802624436053</v>
      </c>
    </row>
    <row r="75" spans="1:6" x14ac:dyDescent="0.25">
      <c r="A75" s="4" t="s">
        <v>11</v>
      </c>
      <c r="B75" s="4" t="str">
        <f>VLOOKUP(A75,Codes!$G$2:$H$217,2,0)</f>
        <v>ARM</v>
      </c>
      <c r="C75" s="11">
        <v>2014464</v>
      </c>
      <c r="D75" s="12">
        <v>2013</v>
      </c>
      <c r="E75" s="13">
        <v>3180</v>
      </c>
      <c r="F75" s="8">
        <v>1.5785836828059474</v>
      </c>
    </row>
    <row r="76" spans="1:6" x14ac:dyDescent="0.25">
      <c r="A76" s="4" t="s">
        <v>11</v>
      </c>
      <c r="B76" s="4" t="str">
        <f>VLOOKUP(A76,Codes!$G$2:$H$217,2,0)</f>
        <v>ARM</v>
      </c>
      <c r="C76" s="11">
        <v>2018089</v>
      </c>
      <c r="D76" s="16">
        <v>2014</v>
      </c>
      <c r="E76" s="13">
        <v>3168</v>
      </c>
      <c r="F76" s="8">
        <v>1.5698019264759879</v>
      </c>
    </row>
    <row r="77" spans="1:6" x14ac:dyDescent="0.25">
      <c r="A77" s="4" t="s">
        <v>11</v>
      </c>
      <c r="B77" s="4" t="str">
        <f>VLOOKUP(A77,Codes!$G$2:$H$217,2,0)</f>
        <v>ARM</v>
      </c>
      <c r="C77" s="11">
        <v>2019881</v>
      </c>
      <c r="D77" s="16">
        <v>2015</v>
      </c>
      <c r="E77" s="13">
        <v>3493</v>
      </c>
      <c r="F77" s="8">
        <v>1.7293097959731289</v>
      </c>
    </row>
    <row r="78" spans="1:6" x14ac:dyDescent="0.25">
      <c r="A78" s="4" t="s">
        <v>11</v>
      </c>
      <c r="B78" s="4" t="str">
        <f>VLOOKUP(A78,Codes!$G$2:$H$217,2,0)</f>
        <v>ARM</v>
      </c>
      <c r="C78" s="11">
        <v>2018926</v>
      </c>
      <c r="D78" s="16">
        <v>2016</v>
      </c>
      <c r="E78" s="13">
        <v>3510</v>
      </c>
      <c r="F78" s="8">
        <v>1.7385481191484979</v>
      </c>
    </row>
    <row r="79" spans="1:6" x14ac:dyDescent="0.25">
      <c r="A79" s="4" t="s">
        <v>11</v>
      </c>
      <c r="B79" s="4" t="str">
        <f>VLOOKUP(A79,Codes!$G$2:$H$217,2,0)</f>
        <v>ARM</v>
      </c>
      <c r="C79" s="11">
        <v>2015678</v>
      </c>
      <c r="D79" s="16">
        <v>2017</v>
      </c>
      <c r="E79" s="13">
        <v>4443</v>
      </c>
      <c r="F79" s="8">
        <v>2.20422111071312</v>
      </c>
    </row>
    <row r="80" spans="1:6" x14ac:dyDescent="0.25">
      <c r="A80" s="4" t="s">
        <v>11</v>
      </c>
      <c r="B80" s="4" t="str">
        <f>VLOOKUP(A80,Codes!$G$2:$H$217,2,0)</f>
        <v>ARM</v>
      </c>
      <c r="C80" s="11">
        <v>2010512</v>
      </c>
      <c r="D80" s="16">
        <v>2018</v>
      </c>
      <c r="E80" s="13">
        <v>6137</v>
      </c>
      <c r="F80" s="8">
        <v>3.0524562897411207</v>
      </c>
    </row>
    <row r="81" spans="1:6" x14ac:dyDescent="0.25">
      <c r="A81" s="4" t="s">
        <v>11</v>
      </c>
      <c r="B81" s="4" t="str">
        <f>VLOOKUP(A81,Codes!$G$2:$H$217,2,0)</f>
        <v>ARM</v>
      </c>
      <c r="C81" s="11">
        <v>2003872</v>
      </c>
      <c r="D81" s="16">
        <v>2019</v>
      </c>
      <c r="E81" s="13">
        <v>6877</v>
      </c>
      <c r="F81" s="8">
        <v>3.4318559269254725</v>
      </c>
    </row>
    <row r="82" spans="1:6" x14ac:dyDescent="0.25">
      <c r="A82" s="4" t="s">
        <v>11</v>
      </c>
      <c r="B82" s="4" t="str">
        <f>VLOOKUP(A82,Codes!$G$2:$H$217,2,0)</f>
        <v>ARM</v>
      </c>
      <c r="C82" s="11">
        <v>1996176</v>
      </c>
      <c r="D82" s="16">
        <v>2020</v>
      </c>
      <c r="E82" s="13">
        <v>5700</v>
      </c>
      <c r="F82" s="8">
        <v>2.855459638829442</v>
      </c>
    </row>
    <row r="83" spans="1:6" x14ac:dyDescent="0.25">
      <c r="A83" s="3" t="s">
        <v>12</v>
      </c>
      <c r="B83" s="4" t="str">
        <f>VLOOKUP(A83,Codes!$G$2:$H$217,2,0)</f>
        <v>AUS</v>
      </c>
      <c r="C83" s="11">
        <v>13967584</v>
      </c>
      <c r="D83" s="12">
        <v>2006</v>
      </c>
      <c r="E83" s="13">
        <v>133756</v>
      </c>
      <c r="F83" s="8">
        <v>9.5761729444404988</v>
      </c>
    </row>
    <row r="84" spans="1:6" x14ac:dyDescent="0.25">
      <c r="A84" s="4" t="s">
        <v>12</v>
      </c>
      <c r="B84" s="4" t="str">
        <f>VLOOKUP(A84,Codes!$G$2:$H$217,2,0)</f>
        <v>AUS</v>
      </c>
      <c r="C84" s="11">
        <v>14083094</v>
      </c>
      <c r="D84" s="12">
        <v>2007</v>
      </c>
      <c r="E84" s="13">
        <v>157438</v>
      </c>
      <c r="F84" s="8">
        <v>11.179219566382216</v>
      </c>
    </row>
    <row r="85" spans="1:6" x14ac:dyDescent="0.25">
      <c r="A85" s="4" t="s">
        <v>12</v>
      </c>
      <c r="B85" s="4" t="str">
        <f>VLOOKUP(A85,Codes!$G$2:$H$217,2,0)</f>
        <v>AUS</v>
      </c>
      <c r="C85" s="11">
        <v>14382253</v>
      </c>
      <c r="D85" s="12">
        <v>2008</v>
      </c>
      <c r="E85" s="13">
        <v>141827</v>
      </c>
      <c r="F85" s="8">
        <v>9.8612505286897676</v>
      </c>
    </row>
    <row r="86" spans="1:6" x14ac:dyDescent="0.25">
      <c r="A86" s="4" t="s">
        <v>12</v>
      </c>
      <c r="B86" s="4" t="str">
        <f>VLOOKUP(A86,Codes!$G$2:$H$217,2,0)</f>
        <v>AUS</v>
      </c>
      <c r="C86" s="11">
        <v>14679103</v>
      </c>
      <c r="D86" s="12">
        <v>2009</v>
      </c>
      <c r="E86" s="13">
        <v>145963</v>
      </c>
      <c r="F86" s="8">
        <v>9.9435912398734434</v>
      </c>
    </row>
    <row r="87" spans="1:6" x14ac:dyDescent="0.25">
      <c r="A87" s="4" t="s">
        <v>12</v>
      </c>
      <c r="B87" s="4" t="str">
        <f>VLOOKUP(A87,Codes!$G$2:$H$217,2,0)</f>
        <v>AUS</v>
      </c>
      <c r="C87" s="11">
        <v>14891504</v>
      </c>
      <c r="D87" s="12">
        <v>2010</v>
      </c>
      <c r="E87" s="13">
        <v>159246</v>
      </c>
      <c r="F87" s="8">
        <v>10.693748596515167</v>
      </c>
    </row>
    <row r="88" spans="1:6" x14ac:dyDescent="0.25">
      <c r="A88" s="4" t="s">
        <v>12</v>
      </c>
      <c r="B88" s="4" t="str">
        <f>VLOOKUP(A88,Codes!$G$2:$H$217,2,0)</f>
        <v>AUS</v>
      </c>
      <c r="C88" s="11">
        <v>15042394</v>
      </c>
      <c r="D88" s="12">
        <v>2011</v>
      </c>
      <c r="E88" s="13">
        <v>166740</v>
      </c>
      <c r="F88" s="8">
        <v>11.084671761688998</v>
      </c>
    </row>
    <row r="89" spans="1:6" x14ac:dyDescent="0.25">
      <c r="A89" s="4" t="s">
        <v>12</v>
      </c>
      <c r="B89" s="4" t="str">
        <f>VLOOKUP(A89,Codes!$G$2:$H$217,2,0)</f>
        <v>AUS</v>
      </c>
      <c r="C89" s="11">
        <v>15250481</v>
      </c>
      <c r="D89" s="12">
        <v>2012</v>
      </c>
      <c r="E89" s="13">
        <v>184237</v>
      </c>
      <c r="F89" s="8">
        <v>12.080733715874272</v>
      </c>
    </row>
    <row r="90" spans="1:6" x14ac:dyDescent="0.25">
      <c r="A90" s="4" t="s">
        <v>12</v>
      </c>
      <c r="B90" s="4" t="str">
        <f>VLOOKUP(A90,Codes!$G$2:$H$217,2,0)</f>
        <v>AUS</v>
      </c>
      <c r="C90" s="11">
        <v>15455787</v>
      </c>
      <c r="D90" s="12">
        <v>2013</v>
      </c>
      <c r="E90" s="13">
        <v>201855</v>
      </c>
      <c r="F90" s="8">
        <v>13.060156690823963</v>
      </c>
    </row>
    <row r="91" spans="1:6" x14ac:dyDescent="0.25">
      <c r="A91" s="4" t="s">
        <v>12</v>
      </c>
      <c r="B91" s="4" t="str">
        <f>VLOOKUP(A91,Codes!$G$2:$H$217,2,0)</f>
        <v>AUS</v>
      </c>
      <c r="C91" s="11">
        <v>15623408</v>
      </c>
      <c r="D91" s="16">
        <v>2014</v>
      </c>
      <c r="E91" s="13">
        <v>222294</v>
      </c>
      <c r="F91" s="8">
        <v>14.228265689534576</v>
      </c>
    </row>
    <row r="92" spans="1:6" x14ac:dyDescent="0.25">
      <c r="A92" s="4" t="s">
        <v>12</v>
      </c>
      <c r="B92" s="4" t="str">
        <f>VLOOKUP(A92,Codes!$G$2:$H$217,2,0)</f>
        <v>AUS</v>
      </c>
      <c r="C92" s="11">
        <v>15780014</v>
      </c>
      <c r="D92" s="16">
        <v>2015</v>
      </c>
      <c r="E92" s="13">
        <v>241023</v>
      </c>
      <c r="F92" s="8">
        <v>15.273940821598764</v>
      </c>
    </row>
    <row r="93" spans="1:6" x14ac:dyDescent="0.25">
      <c r="A93" s="4" t="s">
        <v>12</v>
      </c>
      <c r="B93" s="4" t="str">
        <f>VLOOKUP(A93,Codes!$G$2:$H$217,2,0)</f>
        <v>AUS</v>
      </c>
      <c r="C93" s="11">
        <v>15943398</v>
      </c>
      <c r="D93" s="16">
        <v>2016</v>
      </c>
      <c r="E93" s="13">
        <v>243105</v>
      </c>
      <c r="F93" s="8">
        <v>15.248004220932076</v>
      </c>
    </row>
    <row r="94" spans="1:6" x14ac:dyDescent="0.25">
      <c r="A94" s="4" t="s">
        <v>12</v>
      </c>
      <c r="B94" s="4" t="str">
        <f>VLOOKUP(A94,Codes!$G$2:$H$217,2,0)</f>
        <v>AUS</v>
      </c>
      <c r="C94" s="11">
        <v>16121831</v>
      </c>
      <c r="D94" s="16">
        <v>2017</v>
      </c>
      <c r="E94" s="13">
        <v>249048</v>
      </c>
      <c r="F94" s="8">
        <v>15.447873135501792</v>
      </c>
    </row>
    <row r="95" spans="1:6" x14ac:dyDescent="0.25">
      <c r="A95" s="4" t="s">
        <v>12</v>
      </c>
      <c r="B95" s="4" t="str">
        <f>VLOOKUP(A95,Codes!$G$2:$H$217,2,0)</f>
        <v>AUS</v>
      </c>
      <c r="C95" s="11">
        <v>16276948</v>
      </c>
      <c r="D95" s="16">
        <v>2018</v>
      </c>
      <c r="E95" s="13">
        <v>235684</v>
      </c>
      <c r="F95" s="8">
        <v>14.479618660697325</v>
      </c>
    </row>
    <row r="96" spans="1:6" x14ac:dyDescent="0.25">
      <c r="A96" s="4" t="s">
        <v>12</v>
      </c>
      <c r="B96" s="4" t="str">
        <f>VLOOKUP(A96,Codes!$G$2:$H$217,2,0)</f>
        <v>AUS</v>
      </c>
      <c r="C96" s="11">
        <v>16437853</v>
      </c>
      <c r="D96" s="16">
        <v>2019</v>
      </c>
      <c r="E96" s="13">
        <v>223389</v>
      </c>
      <c r="F96" s="8">
        <v>13.58991347592657</v>
      </c>
    </row>
    <row r="97" spans="1:6" x14ac:dyDescent="0.25">
      <c r="A97" s="4" t="s">
        <v>12</v>
      </c>
      <c r="B97" s="4" t="str">
        <f>VLOOKUP(A97,Codes!$G$2:$H$217,2,0)</f>
        <v>AUS</v>
      </c>
      <c r="C97" s="11">
        <v>16566733</v>
      </c>
      <c r="D97" s="16">
        <v>2020</v>
      </c>
      <c r="E97" s="13">
        <v>236447</v>
      </c>
      <c r="F97" s="8">
        <v>14.2723975813457</v>
      </c>
    </row>
    <row r="98" spans="1:6" x14ac:dyDescent="0.25">
      <c r="A98" s="3" t="s">
        <v>13</v>
      </c>
      <c r="B98" s="4" t="str">
        <f>VLOOKUP(A98,Codes!$G$2:$H$217,2,0)</f>
        <v>AUT</v>
      </c>
      <c r="C98" s="11">
        <v>5601862</v>
      </c>
      <c r="D98" s="12">
        <v>2006</v>
      </c>
      <c r="E98" s="13">
        <v>3116</v>
      </c>
      <c r="F98" s="8">
        <v>0.55624362042478026</v>
      </c>
    </row>
    <row r="99" spans="1:6" x14ac:dyDescent="0.25">
      <c r="A99" s="4" t="s">
        <v>13</v>
      </c>
      <c r="B99" s="4" t="str">
        <f>VLOOKUP(A99,Codes!$G$2:$H$217,2,0)</f>
        <v>AUT</v>
      </c>
      <c r="C99" s="11">
        <v>5614453</v>
      </c>
      <c r="D99" s="12">
        <v>2007</v>
      </c>
      <c r="E99" s="13">
        <v>2944</v>
      </c>
      <c r="F99" s="8">
        <v>0.52436096624194728</v>
      </c>
    </row>
    <row r="100" spans="1:6" x14ac:dyDescent="0.25">
      <c r="A100" s="4" t="s">
        <v>13</v>
      </c>
      <c r="B100" s="4" t="str">
        <f>VLOOKUP(A100,Codes!$G$2:$H$217,2,0)</f>
        <v>AUT</v>
      </c>
      <c r="C100" s="11">
        <v>5627244</v>
      </c>
      <c r="D100" s="12">
        <v>2008</v>
      </c>
      <c r="E100" s="13">
        <v>2856</v>
      </c>
      <c r="F100" s="8">
        <v>0.50753086235464473</v>
      </c>
    </row>
    <row r="101" spans="1:6" x14ac:dyDescent="0.25">
      <c r="A101" s="4" t="s">
        <v>13</v>
      </c>
      <c r="B101" s="4" t="str">
        <f>VLOOKUP(A101,Codes!$G$2:$H$217,2,0)</f>
        <v>AUT</v>
      </c>
      <c r="C101" s="11">
        <v>5636777</v>
      </c>
      <c r="D101" s="12">
        <v>2009</v>
      </c>
      <c r="E101" s="13">
        <v>2826</v>
      </c>
      <c r="F101" s="8">
        <v>0.50135032838801319</v>
      </c>
    </row>
    <row r="102" spans="1:6" x14ac:dyDescent="0.25">
      <c r="A102" s="4" t="s">
        <v>13</v>
      </c>
      <c r="B102" s="4" t="str">
        <f>VLOOKUP(A102,Codes!$G$2:$H$217,2,0)</f>
        <v>AUT</v>
      </c>
      <c r="C102" s="11">
        <v>5644039</v>
      </c>
      <c r="D102" s="12">
        <v>2010</v>
      </c>
      <c r="E102" s="13">
        <v>2819</v>
      </c>
      <c r="F102" s="8">
        <v>0.4994650107839439</v>
      </c>
    </row>
    <row r="103" spans="1:6" x14ac:dyDescent="0.25">
      <c r="A103" s="4" t="s">
        <v>13</v>
      </c>
      <c r="B103" s="4" t="str">
        <f>VLOOKUP(A103,Codes!$G$2:$H$217,2,0)</f>
        <v>AUT</v>
      </c>
      <c r="C103" s="11">
        <v>5658054</v>
      </c>
      <c r="D103" s="12">
        <v>2011</v>
      </c>
      <c r="E103" s="13">
        <v>2771</v>
      </c>
      <c r="F103" s="8">
        <v>0.4897443538007944</v>
      </c>
    </row>
    <row r="104" spans="1:6" x14ac:dyDescent="0.25">
      <c r="A104" s="4" t="s">
        <v>13</v>
      </c>
      <c r="B104" s="4" t="str">
        <f>VLOOKUP(A104,Codes!$G$2:$H$217,2,0)</f>
        <v>AUT</v>
      </c>
      <c r="C104" s="11">
        <v>5678351</v>
      </c>
      <c r="D104" s="12">
        <v>2012</v>
      </c>
      <c r="E104" s="13">
        <v>2714</v>
      </c>
      <c r="F104" s="8">
        <v>0.47795566001467676</v>
      </c>
    </row>
    <row r="105" spans="1:6" x14ac:dyDescent="0.25">
      <c r="A105" s="4" t="s">
        <v>13</v>
      </c>
      <c r="B105" s="4" t="str">
        <f>VLOOKUP(A105,Codes!$G$2:$H$217,2,0)</f>
        <v>AUT</v>
      </c>
      <c r="C105" s="11">
        <v>5704617</v>
      </c>
      <c r="D105" s="12">
        <v>2013</v>
      </c>
      <c r="E105" s="13">
        <v>2811</v>
      </c>
      <c r="F105" s="8">
        <v>0.49275876014112779</v>
      </c>
    </row>
    <row r="106" spans="1:6" x14ac:dyDescent="0.25">
      <c r="A106" s="4" t="s">
        <v>13</v>
      </c>
      <c r="B106" s="4" t="str">
        <f>VLOOKUP(A106,Codes!$G$2:$H$217,2,0)</f>
        <v>AUT</v>
      </c>
      <c r="C106" s="11">
        <v>5740267</v>
      </c>
      <c r="D106" s="16">
        <v>2014</v>
      </c>
      <c r="E106" s="13">
        <v>2923</v>
      </c>
      <c r="F106" s="8">
        <v>0.50920976323923606</v>
      </c>
    </row>
    <row r="107" spans="1:6" x14ac:dyDescent="0.25">
      <c r="A107" s="4" t="s">
        <v>13</v>
      </c>
      <c r="B107" s="4" t="str">
        <f>VLOOKUP(A107,Codes!$G$2:$H$217,2,0)</f>
        <v>AUT</v>
      </c>
      <c r="C107" s="11">
        <v>5794026</v>
      </c>
      <c r="D107" s="16">
        <v>2015</v>
      </c>
      <c r="E107" s="13">
        <v>3020</v>
      </c>
      <c r="F107" s="8">
        <v>0.52122651848645485</v>
      </c>
    </row>
    <row r="108" spans="1:6" x14ac:dyDescent="0.25">
      <c r="A108" s="4" t="s">
        <v>13</v>
      </c>
      <c r="B108" s="4" t="str">
        <f>VLOOKUP(A108,Codes!$G$2:$H$217,2,0)</f>
        <v>AUT</v>
      </c>
      <c r="C108" s="11">
        <v>5846595</v>
      </c>
      <c r="D108" s="16">
        <v>2016</v>
      </c>
      <c r="E108" s="13">
        <v>3009</v>
      </c>
      <c r="F108" s="8">
        <v>0.51465853201735368</v>
      </c>
    </row>
    <row r="109" spans="1:6" x14ac:dyDescent="0.25">
      <c r="A109" s="4" t="s">
        <v>13</v>
      </c>
      <c r="B109" s="4" t="str">
        <f>VLOOKUP(A109,Codes!$G$2:$H$217,2,0)</f>
        <v>AUT</v>
      </c>
      <c r="C109" s="11">
        <v>5877874</v>
      </c>
      <c r="D109" s="16">
        <v>2017</v>
      </c>
      <c r="E109" s="13">
        <v>3046</v>
      </c>
      <c r="F109" s="8">
        <v>0.51821457894470002</v>
      </c>
    </row>
    <row r="110" spans="1:6" x14ac:dyDescent="0.25">
      <c r="A110" s="4" t="s">
        <v>13</v>
      </c>
      <c r="B110" s="4" t="str">
        <f>VLOOKUP(A110,Codes!$G$2:$H$217,2,0)</f>
        <v>AUT</v>
      </c>
      <c r="C110" s="11">
        <v>5896670</v>
      </c>
      <c r="D110" s="16">
        <v>2018</v>
      </c>
      <c r="E110" s="13">
        <v>2997</v>
      </c>
      <c r="F110" s="8">
        <v>0.50825296311307899</v>
      </c>
    </row>
    <row r="111" spans="1:6" x14ac:dyDescent="0.25">
      <c r="A111" s="4" t="s">
        <v>13</v>
      </c>
      <c r="B111" s="4" t="str">
        <f>VLOOKUP(A111,Codes!$G$2:$H$217,2,0)</f>
        <v>AUT</v>
      </c>
      <c r="C111" s="11">
        <v>5910700</v>
      </c>
      <c r="D111" s="16">
        <v>2019</v>
      </c>
      <c r="E111" s="13">
        <v>3017</v>
      </c>
      <c r="F111" s="8">
        <v>0.51043023668939391</v>
      </c>
    </row>
    <row r="112" spans="1:6" x14ac:dyDescent="0.25">
      <c r="A112" s="4" t="s">
        <v>13</v>
      </c>
      <c r="B112" s="4" t="str">
        <f>VLOOKUP(A112,Codes!$G$2:$H$217,2,0)</f>
        <v>AUT</v>
      </c>
      <c r="C112" s="11">
        <v>5919581</v>
      </c>
      <c r="D112" s="16">
        <v>2020</v>
      </c>
      <c r="E112" s="13">
        <v>3141</v>
      </c>
      <c r="F112" s="8">
        <v>0.53061187945565746</v>
      </c>
    </row>
    <row r="113" spans="1:6" x14ac:dyDescent="0.25">
      <c r="A113" s="3" t="s">
        <v>14</v>
      </c>
      <c r="B113" s="4" t="str">
        <f>VLOOKUP(A113,Codes!$G$2:$H$217,2,0)</f>
        <v>AZE</v>
      </c>
      <c r="C113" s="11">
        <v>6124539</v>
      </c>
      <c r="D113" s="12">
        <v>2008</v>
      </c>
      <c r="E113" s="13">
        <v>6153</v>
      </c>
      <c r="F113" s="8">
        <v>1.0046470436387132</v>
      </c>
    </row>
    <row r="114" spans="1:6" x14ac:dyDescent="0.25">
      <c r="A114" s="4" t="s">
        <v>14</v>
      </c>
      <c r="B114" s="4" t="str">
        <f>VLOOKUP(A114,Codes!$G$2:$H$217,2,0)</f>
        <v>AZE</v>
      </c>
      <c r="C114" s="11">
        <v>6323530</v>
      </c>
      <c r="D114" s="12">
        <v>2009</v>
      </c>
      <c r="E114" s="13">
        <v>4677</v>
      </c>
      <c r="F114" s="8">
        <v>0.7396185358494386</v>
      </c>
    </row>
    <row r="115" spans="1:6" x14ac:dyDescent="0.25">
      <c r="A115" s="4" t="s">
        <v>14</v>
      </c>
      <c r="B115" s="4" t="str">
        <f>VLOOKUP(A115,Codes!$G$2:$H$217,2,0)</f>
        <v>AZE</v>
      </c>
      <c r="C115" s="11">
        <v>6452695</v>
      </c>
      <c r="D115" s="12">
        <v>2010</v>
      </c>
      <c r="E115" s="13">
        <v>3541</v>
      </c>
      <c r="F115" s="8">
        <v>0.54876295873274661</v>
      </c>
    </row>
    <row r="116" spans="1:6" x14ac:dyDescent="0.25">
      <c r="A116" s="4" t="s">
        <v>14</v>
      </c>
      <c r="B116" s="4" t="str">
        <f>VLOOKUP(A116,Codes!$G$2:$H$217,2,0)</f>
        <v>AZE</v>
      </c>
      <c r="C116" s="11">
        <v>6565755</v>
      </c>
      <c r="D116" s="12">
        <v>2011</v>
      </c>
      <c r="E116" s="13">
        <v>4174</v>
      </c>
      <c r="F116" s="8">
        <v>0.63572277674083189</v>
      </c>
    </row>
    <row r="117" spans="1:6" x14ac:dyDescent="0.25">
      <c r="A117" s="4" t="s">
        <v>14</v>
      </c>
      <c r="B117" s="4" t="str">
        <f>VLOOKUP(A117,Codes!$G$2:$H$217,2,0)</f>
        <v>AZE</v>
      </c>
      <c r="C117" s="11">
        <v>6665639</v>
      </c>
      <c r="D117" s="12">
        <v>2012</v>
      </c>
      <c r="E117" s="13">
        <v>4661</v>
      </c>
      <c r="F117" s="8">
        <v>0.69925779058841919</v>
      </c>
    </row>
    <row r="118" spans="1:6" x14ac:dyDescent="0.25">
      <c r="A118" s="4" t="s">
        <v>14</v>
      </c>
      <c r="B118" s="4" t="str">
        <f>VLOOKUP(A118,Codes!$G$2:$H$217,2,0)</f>
        <v>AZE</v>
      </c>
      <c r="C118" s="11">
        <v>6749582</v>
      </c>
      <c r="D118" s="12">
        <v>2013</v>
      </c>
      <c r="E118" s="13">
        <v>7172</v>
      </c>
      <c r="F118" s="8">
        <v>1.0625843200364111</v>
      </c>
    </row>
    <row r="119" spans="1:6" x14ac:dyDescent="0.25">
      <c r="A119" s="4" t="s">
        <v>14</v>
      </c>
      <c r="B119" s="4" t="str">
        <f>VLOOKUP(A119,Codes!$G$2:$H$217,2,0)</f>
        <v>AZE</v>
      </c>
      <c r="C119" s="11">
        <v>6822750</v>
      </c>
      <c r="D119" s="16">
        <v>2014</v>
      </c>
      <c r="E119" s="13">
        <v>6803</v>
      </c>
      <c r="F119" s="8">
        <v>0.99710527280055694</v>
      </c>
    </row>
    <row r="120" spans="1:6" x14ac:dyDescent="0.25">
      <c r="A120" s="4" t="s">
        <v>14</v>
      </c>
      <c r="B120" s="4" t="str">
        <f>VLOOKUP(A120,Codes!$G$2:$H$217,2,0)</f>
        <v>AZE</v>
      </c>
      <c r="C120" s="11">
        <v>6888625</v>
      </c>
      <c r="D120" s="16">
        <v>2015</v>
      </c>
      <c r="E120" s="13">
        <v>5208</v>
      </c>
      <c r="F120" s="8">
        <v>0.75602896078680437</v>
      </c>
    </row>
    <row r="121" spans="1:6" x14ac:dyDescent="0.25">
      <c r="A121" s="4" t="s">
        <v>14</v>
      </c>
      <c r="B121" s="4" t="str">
        <f>VLOOKUP(A121,Codes!$G$2:$H$217,2,0)</f>
        <v>AZE</v>
      </c>
      <c r="C121" s="11">
        <v>6930695</v>
      </c>
      <c r="D121" s="16">
        <v>2016</v>
      </c>
      <c r="E121" s="13">
        <v>7219</v>
      </c>
      <c r="F121" s="8">
        <v>1.0415982812690503</v>
      </c>
    </row>
    <row r="122" spans="1:6" x14ac:dyDescent="0.25">
      <c r="A122" s="4" t="s">
        <v>14</v>
      </c>
      <c r="B122" s="4" t="str">
        <f>VLOOKUP(A122,Codes!$G$2:$H$217,2,0)</f>
        <v>AZE</v>
      </c>
      <c r="C122" s="11">
        <v>6969033</v>
      </c>
      <c r="D122" s="16">
        <v>2017</v>
      </c>
      <c r="E122" s="13">
        <v>11058</v>
      </c>
      <c r="F122" s="8">
        <v>1.5867337692331203</v>
      </c>
    </row>
    <row r="123" spans="1:6" x14ac:dyDescent="0.25">
      <c r="A123" s="4" t="s">
        <v>14</v>
      </c>
      <c r="B123" s="4" t="str">
        <f>VLOOKUP(A123,Codes!$G$2:$H$217,2,0)</f>
        <v>AZE</v>
      </c>
      <c r="C123" s="11">
        <v>7001102</v>
      </c>
      <c r="D123" s="16">
        <v>2018</v>
      </c>
      <c r="E123" s="13">
        <v>11611</v>
      </c>
      <c r="F123" s="8">
        <v>1.6584531977965753</v>
      </c>
    </row>
    <row r="124" spans="1:6" x14ac:dyDescent="0.25">
      <c r="A124" s="4" t="s">
        <v>14</v>
      </c>
      <c r="B124" s="4" t="str">
        <f>VLOOKUP(A124,Codes!$G$2:$H$217,2,0)</f>
        <v>AZE</v>
      </c>
      <c r="C124" s="11">
        <v>7028194</v>
      </c>
      <c r="D124" s="16">
        <v>2019</v>
      </c>
      <c r="E124" s="13">
        <v>15687</v>
      </c>
      <c r="F124" s="8">
        <v>2.2320101010302218</v>
      </c>
    </row>
    <row r="125" spans="1:6" x14ac:dyDescent="0.25">
      <c r="A125" s="4" t="s">
        <v>14</v>
      </c>
      <c r="B125" s="4" t="str">
        <f>VLOOKUP(A125,Codes!$G$2:$H$217,2,0)</f>
        <v>AZE</v>
      </c>
      <c r="C125" s="11">
        <v>7051107</v>
      </c>
      <c r="D125" s="16">
        <v>2020</v>
      </c>
      <c r="E125" s="13">
        <v>9165</v>
      </c>
      <c r="F125" s="8">
        <v>1.2997959043877791</v>
      </c>
    </row>
    <row r="126" spans="1:6" x14ac:dyDescent="0.25">
      <c r="A126" s="3" t="s">
        <v>15</v>
      </c>
      <c r="B126" s="4" t="str">
        <f>VLOOKUP(A126,Codes!$G$2:$H$217,2,0)</f>
        <v>BHR</v>
      </c>
      <c r="C126" s="11">
        <v>705697</v>
      </c>
      <c r="D126" s="12">
        <v>2006</v>
      </c>
      <c r="E126" s="13">
        <v>1110</v>
      </c>
      <c r="F126" s="8">
        <v>1.5729130207440305</v>
      </c>
    </row>
    <row r="127" spans="1:6" x14ac:dyDescent="0.25">
      <c r="A127" s="4" t="s">
        <v>15</v>
      </c>
      <c r="B127" s="4" t="str">
        <f>VLOOKUP(A127,Codes!$G$2:$H$217,2,0)</f>
        <v>BHR</v>
      </c>
      <c r="C127" s="11">
        <v>776279</v>
      </c>
      <c r="D127" s="12">
        <v>2007</v>
      </c>
      <c r="E127" s="13">
        <v>1416</v>
      </c>
      <c r="F127" s="8">
        <v>1.8240864431473736</v>
      </c>
    </row>
    <row r="128" spans="1:6" x14ac:dyDescent="0.25">
      <c r="A128" s="4" t="s">
        <v>15</v>
      </c>
      <c r="B128" s="4" t="str">
        <f>VLOOKUP(A128,Codes!$G$2:$H$217,2,0)</f>
        <v>BHR</v>
      </c>
      <c r="C128" s="11">
        <v>847089</v>
      </c>
      <c r="D128" s="12">
        <v>2008</v>
      </c>
      <c r="E128" s="13">
        <v>1584</v>
      </c>
      <c r="F128" s="8">
        <v>1.8699333836232084</v>
      </c>
    </row>
    <row r="129" spans="1:6" x14ac:dyDescent="0.25">
      <c r="A129" s="4" t="s">
        <v>15</v>
      </c>
      <c r="B129" s="4" t="str">
        <f>VLOOKUP(A129,Codes!$G$2:$H$217,2,0)</f>
        <v>BHR</v>
      </c>
      <c r="C129" s="11">
        <v>910966</v>
      </c>
      <c r="D129" s="12">
        <v>2009</v>
      </c>
      <c r="E129" s="13">
        <v>1127</v>
      </c>
      <c r="F129" s="8">
        <v>1.2371482580030428</v>
      </c>
    </row>
    <row r="130" spans="1:6" x14ac:dyDescent="0.25">
      <c r="A130" s="4" t="s">
        <v>15</v>
      </c>
      <c r="B130" s="4" t="str">
        <f>VLOOKUP(A130,Codes!$G$2:$H$217,2,0)</f>
        <v>BHR</v>
      </c>
      <c r="C130" s="11">
        <v>963018</v>
      </c>
      <c r="D130" s="12">
        <v>2010</v>
      </c>
      <c r="E130" s="13">
        <v>1363</v>
      </c>
      <c r="F130" s="8">
        <v>1.4153421846735992</v>
      </c>
    </row>
    <row r="131" spans="1:6" x14ac:dyDescent="0.25">
      <c r="A131" s="4" t="s">
        <v>15</v>
      </c>
      <c r="B131" s="4" t="str">
        <f>VLOOKUP(A131,Codes!$G$2:$H$217,2,0)</f>
        <v>BHR</v>
      </c>
      <c r="C131" s="11">
        <v>990589</v>
      </c>
      <c r="D131" s="12">
        <v>2011</v>
      </c>
      <c r="E131" s="13">
        <v>1207</v>
      </c>
      <c r="F131" s="8">
        <v>1.2184669928698986</v>
      </c>
    </row>
    <row r="132" spans="1:6" x14ac:dyDescent="0.25">
      <c r="A132" s="4" t="s">
        <v>15</v>
      </c>
      <c r="B132" s="4" t="str">
        <f>VLOOKUP(A132,Codes!$G$2:$H$217,2,0)</f>
        <v>BHR</v>
      </c>
      <c r="C132" s="11">
        <v>1006064</v>
      </c>
      <c r="D132" s="12">
        <v>2012</v>
      </c>
      <c r="E132" s="13">
        <v>1346</v>
      </c>
      <c r="F132" s="8">
        <v>1.3378870529111468</v>
      </c>
    </row>
    <row r="133" spans="1:6" x14ac:dyDescent="0.25">
      <c r="A133" s="4" t="s">
        <v>15</v>
      </c>
      <c r="B133" s="4" t="str">
        <f>VLOOKUP(A133,Codes!$G$2:$H$217,2,0)</f>
        <v>BHR</v>
      </c>
      <c r="C133" s="11">
        <v>1015656</v>
      </c>
      <c r="D133" s="12">
        <v>2013</v>
      </c>
      <c r="E133" s="13">
        <v>1433</v>
      </c>
      <c r="F133" s="8">
        <v>1.4109107808155519</v>
      </c>
    </row>
    <row r="134" spans="1:6" x14ac:dyDescent="0.25">
      <c r="A134" s="4" t="s">
        <v>15</v>
      </c>
      <c r="B134" s="4" t="str">
        <f>VLOOKUP(A134,Codes!$G$2:$H$217,2,0)</f>
        <v>BHR</v>
      </c>
      <c r="C134" s="11">
        <v>1029179</v>
      </c>
      <c r="D134" s="16">
        <v>2014</v>
      </c>
      <c r="E134" s="13">
        <v>1439</v>
      </c>
      <c r="F134" s="8">
        <v>1.3982018677023142</v>
      </c>
    </row>
    <row r="135" spans="1:6" x14ac:dyDescent="0.25">
      <c r="A135" s="4" t="s">
        <v>15</v>
      </c>
      <c r="B135" s="4" t="str">
        <f>VLOOKUP(A135,Codes!$G$2:$H$217,2,0)</f>
        <v>BHR</v>
      </c>
      <c r="C135" s="11">
        <v>1053941</v>
      </c>
      <c r="D135" s="16">
        <v>2015</v>
      </c>
      <c r="E135" s="13">
        <v>1567</v>
      </c>
      <c r="F135" s="8">
        <v>1.4868004945248359</v>
      </c>
    </row>
    <row r="136" spans="1:6" x14ac:dyDescent="0.25">
      <c r="A136" s="4" t="s">
        <v>15</v>
      </c>
      <c r="B136" s="4" t="str">
        <f>VLOOKUP(A136,Codes!$G$2:$H$217,2,0)</f>
        <v>BHR</v>
      </c>
      <c r="C136" s="11">
        <v>1101676</v>
      </c>
      <c r="D136" s="16">
        <v>2016</v>
      </c>
      <c r="E136" s="13">
        <v>4230</v>
      </c>
      <c r="F136" s="8">
        <v>3.839604384592203</v>
      </c>
    </row>
    <row r="137" spans="1:6" x14ac:dyDescent="0.25">
      <c r="A137" s="4" t="s">
        <v>15</v>
      </c>
      <c r="B137" s="4" t="str">
        <f>VLOOKUP(A137,Codes!$G$2:$H$217,2,0)</f>
        <v>BHR</v>
      </c>
      <c r="C137" s="11">
        <v>1162186</v>
      </c>
      <c r="D137" s="16">
        <v>2017</v>
      </c>
      <c r="E137" s="13">
        <v>4177</v>
      </c>
      <c r="F137" s="8">
        <v>3.5940890700800043</v>
      </c>
    </row>
    <row r="138" spans="1:6" x14ac:dyDescent="0.25">
      <c r="A138" s="4" t="s">
        <v>15</v>
      </c>
      <c r="B138" s="4" t="str">
        <f>VLOOKUP(A138,Codes!$G$2:$H$217,2,0)</f>
        <v>BHR</v>
      </c>
      <c r="C138" s="11">
        <v>1229175</v>
      </c>
      <c r="D138" s="16">
        <v>2018</v>
      </c>
      <c r="E138" s="13">
        <v>3823</v>
      </c>
      <c r="F138" s="8">
        <v>3.1102162019240547</v>
      </c>
    </row>
    <row r="139" spans="1:6" x14ac:dyDescent="0.25">
      <c r="A139" s="3" t="s">
        <v>16</v>
      </c>
      <c r="B139" s="4" t="str">
        <f>VLOOKUP(A139,Codes!$G$2:$H$217,2,0)</f>
        <v>BGD</v>
      </c>
      <c r="C139" s="11">
        <v>102533152</v>
      </c>
      <c r="D139" s="16">
        <v>2015</v>
      </c>
      <c r="E139" s="13">
        <v>7556</v>
      </c>
      <c r="F139" s="8">
        <v>7.3693238261123589E-2</v>
      </c>
    </row>
    <row r="140" spans="1:6" x14ac:dyDescent="0.25">
      <c r="A140" s="4" t="s">
        <v>16</v>
      </c>
      <c r="B140" s="4" t="str">
        <f>VLOOKUP(A140,Codes!$G$2:$H$217,2,0)</f>
        <v>BGD</v>
      </c>
      <c r="C140" s="11">
        <v>104440785</v>
      </c>
      <c r="D140" s="16">
        <v>2016</v>
      </c>
      <c r="E140" s="13">
        <v>8103</v>
      </c>
      <c r="F140" s="8">
        <v>7.7584633244570114E-2</v>
      </c>
    </row>
    <row r="141" spans="1:6" x14ac:dyDescent="0.25">
      <c r="A141" s="4" t="s">
        <v>16</v>
      </c>
      <c r="B141" s="4" t="str">
        <f>VLOOKUP(A141,Codes!$G$2:$H$217,2,0)</f>
        <v>BGD</v>
      </c>
      <c r="C141" s="11">
        <v>106391908</v>
      </c>
      <c r="D141" s="16">
        <v>2017</v>
      </c>
      <c r="E141" s="13">
        <v>7629</v>
      </c>
      <c r="F141" s="8">
        <v>7.1706581293757787E-2</v>
      </c>
    </row>
    <row r="142" spans="1:6" x14ac:dyDescent="0.25">
      <c r="A142" s="4" t="s">
        <v>16</v>
      </c>
      <c r="B142" s="4" t="str">
        <f>VLOOKUP(A142,Codes!$G$2:$H$217,2,0)</f>
        <v>BGD</v>
      </c>
      <c r="C142" s="11">
        <v>108341203</v>
      </c>
      <c r="D142" s="16">
        <v>2018</v>
      </c>
      <c r="E142" s="13">
        <v>4473</v>
      </c>
      <c r="F142" s="8">
        <v>4.1286231610332041E-2</v>
      </c>
    </row>
    <row r="143" spans="1:6" x14ac:dyDescent="0.25">
      <c r="A143" s="3" t="s">
        <v>17</v>
      </c>
      <c r="B143" s="4" t="str">
        <f>VLOOKUP(A143,Codes!$G$2:$H$217,2,0)</f>
        <v>BRB</v>
      </c>
      <c r="C143" s="11">
        <v>191260</v>
      </c>
      <c r="D143" s="16">
        <v>2015</v>
      </c>
      <c r="E143" s="13">
        <v>1105</v>
      </c>
      <c r="F143" s="8">
        <v>5.7774756875457491</v>
      </c>
    </row>
    <row r="144" spans="1:6" x14ac:dyDescent="0.25">
      <c r="A144" s="4" t="s">
        <v>17</v>
      </c>
      <c r="B144" s="4" t="str">
        <f>VLOOKUP(A144,Codes!$G$2:$H$217,2,0)</f>
        <v>BRB</v>
      </c>
      <c r="C144" s="11">
        <v>191502</v>
      </c>
      <c r="D144" s="16">
        <v>2016</v>
      </c>
      <c r="E144" s="13">
        <v>1056</v>
      </c>
      <c r="F144" s="8">
        <v>5.5143027226869696</v>
      </c>
    </row>
    <row r="145" spans="1:6" x14ac:dyDescent="0.25">
      <c r="A145" s="4" t="s">
        <v>17</v>
      </c>
      <c r="B145" s="4" t="str">
        <f>VLOOKUP(A145,Codes!$G$2:$H$217,2,0)</f>
        <v>BRB</v>
      </c>
      <c r="C145" s="11">
        <v>191627</v>
      </c>
      <c r="D145" s="16">
        <v>2017</v>
      </c>
      <c r="E145" s="13">
        <v>945</v>
      </c>
      <c r="F145" s="8">
        <v>4.9314553794611404</v>
      </c>
    </row>
    <row r="146" spans="1:6" x14ac:dyDescent="0.25">
      <c r="A146" s="4" t="s">
        <v>17</v>
      </c>
      <c r="B146" s="4" t="str">
        <f>VLOOKUP(A146,Codes!$G$2:$H$217,2,0)</f>
        <v>BRB</v>
      </c>
      <c r="C146" s="11">
        <v>191631</v>
      </c>
      <c r="D146" s="16">
        <v>2018</v>
      </c>
      <c r="E146" s="13">
        <v>859</v>
      </c>
      <c r="F146" s="8">
        <v>4.4825732788536303</v>
      </c>
    </row>
    <row r="147" spans="1:6" x14ac:dyDescent="0.25">
      <c r="A147" s="4" t="s">
        <v>17</v>
      </c>
      <c r="B147" s="4" t="str">
        <f>VLOOKUP(A147,Codes!$G$2:$H$217,2,0)</f>
        <v>BRB</v>
      </c>
      <c r="C147" s="11">
        <v>191496</v>
      </c>
      <c r="D147" s="16">
        <v>2019</v>
      </c>
      <c r="E147" s="13">
        <v>939</v>
      </c>
      <c r="F147" s="8">
        <v>4.903496678781802</v>
      </c>
    </row>
    <row r="148" spans="1:6" x14ac:dyDescent="0.25">
      <c r="A148" s="4" t="s">
        <v>17</v>
      </c>
      <c r="B148" s="4" t="str">
        <f>VLOOKUP(A148,Codes!$G$2:$H$217,2,0)</f>
        <v>BRB</v>
      </c>
      <c r="C148" s="11">
        <v>191209</v>
      </c>
      <c r="D148" s="16">
        <v>2020</v>
      </c>
      <c r="E148" s="13">
        <v>934</v>
      </c>
      <c r="F148" s="8">
        <v>4.884707309802363</v>
      </c>
    </row>
    <row r="149" spans="1:6" x14ac:dyDescent="0.25">
      <c r="A149" s="3" t="s">
        <v>18</v>
      </c>
      <c r="B149" s="4" t="str">
        <f>VLOOKUP(A149,Codes!$G$2:$H$217,2,0)</f>
        <v>BLR</v>
      </c>
      <c r="C149" s="11">
        <v>6722301</v>
      </c>
      <c r="D149" s="12">
        <v>2006</v>
      </c>
      <c r="E149" s="13">
        <v>1885</v>
      </c>
      <c r="F149" s="8">
        <v>0.28040993701412659</v>
      </c>
    </row>
    <row r="150" spans="1:6" x14ac:dyDescent="0.25">
      <c r="A150" s="4" t="s">
        <v>18</v>
      </c>
      <c r="B150" s="4" t="str">
        <f>VLOOKUP(A150,Codes!$G$2:$H$217,2,0)</f>
        <v>BLR</v>
      </c>
      <c r="C150" s="11">
        <v>6727786</v>
      </c>
      <c r="D150" s="12">
        <v>2007</v>
      </c>
      <c r="E150" s="13">
        <v>3820</v>
      </c>
      <c r="F150" s="8">
        <v>0.56779451665079717</v>
      </c>
    </row>
    <row r="151" spans="1:6" x14ac:dyDescent="0.25">
      <c r="A151" s="4" t="s">
        <v>18</v>
      </c>
      <c r="B151" s="4" t="str">
        <f>VLOOKUP(A151,Codes!$G$2:$H$217,2,0)</f>
        <v>BLR</v>
      </c>
      <c r="C151" s="11">
        <v>6740078</v>
      </c>
      <c r="D151" s="12">
        <v>2008</v>
      </c>
      <c r="E151" s="13">
        <v>5168</v>
      </c>
      <c r="F151" s="8">
        <v>0.76675670518946515</v>
      </c>
    </row>
    <row r="152" spans="1:6" x14ac:dyDescent="0.25">
      <c r="A152" s="4" t="s">
        <v>18</v>
      </c>
      <c r="B152" s="4" t="str">
        <f>VLOOKUP(A152,Codes!$G$2:$H$217,2,0)</f>
        <v>BLR</v>
      </c>
      <c r="C152" s="11">
        <v>6751254</v>
      </c>
      <c r="D152" s="12">
        <v>2009</v>
      </c>
      <c r="E152" s="13">
        <v>5714</v>
      </c>
      <c r="F152" s="8">
        <v>0.84636128340009131</v>
      </c>
    </row>
    <row r="153" spans="1:6" x14ac:dyDescent="0.25">
      <c r="A153" s="4" t="s">
        <v>18</v>
      </c>
      <c r="B153" s="4" t="str">
        <f>VLOOKUP(A153,Codes!$G$2:$H$217,2,0)</f>
        <v>BLR</v>
      </c>
      <c r="C153" s="11">
        <v>6751613</v>
      </c>
      <c r="D153" s="12">
        <v>2010</v>
      </c>
      <c r="E153" s="13">
        <v>6399</v>
      </c>
      <c r="F153" s="8">
        <v>0.94777351723210446</v>
      </c>
    </row>
    <row r="154" spans="1:6" x14ac:dyDescent="0.25">
      <c r="A154" s="4" t="s">
        <v>18</v>
      </c>
      <c r="B154" s="4" t="str">
        <f>VLOOKUP(A154,Codes!$G$2:$H$217,2,0)</f>
        <v>BLR</v>
      </c>
      <c r="C154" s="11">
        <v>6723813</v>
      </c>
      <c r="D154" s="12">
        <v>2011</v>
      </c>
      <c r="E154" s="13">
        <v>6063</v>
      </c>
      <c r="F154" s="8">
        <v>0.90172049698586199</v>
      </c>
    </row>
    <row r="155" spans="1:6" x14ac:dyDescent="0.25">
      <c r="A155" s="4" t="s">
        <v>18</v>
      </c>
      <c r="B155" s="4" t="str">
        <f>VLOOKUP(A155,Codes!$G$2:$H$217,2,0)</f>
        <v>BLR</v>
      </c>
      <c r="C155" s="11">
        <v>6689976</v>
      </c>
      <c r="D155" s="12">
        <v>2012</v>
      </c>
      <c r="E155" s="13">
        <v>7674</v>
      </c>
      <c r="F155" s="8">
        <v>1.1470893169123477</v>
      </c>
    </row>
    <row r="156" spans="1:6" x14ac:dyDescent="0.25">
      <c r="A156" s="4" t="s">
        <v>18</v>
      </c>
      <c r="B156" s="4" t="str">
        <f>VLOOKUP(A156,Codes!$G$2:$H$217,2,0)</f>
        <v>BLR</v>
      </c>
      <c r="C156" s="11">
        <v>6653923</v>
      </c>
      <c r="D156" s="12">
        <v>2013</v>
      </c>
      <c r="E156" s="13">
        <v>8983</v>
      </c>
      <c r="F156" s="8">
        <v>1.3500306510910933</v>
      </c>
    </row>
    <row r="157" spans="1:6" x14ac:dyDescent="0.25">
      <c r="A157" s="4" t="s">
        <v>18</v>
      </c>
      <c r="B157" s="4" t="str">
        <f>VLOOKUP(A157,Codes!$G$2:$H$217,2,0)</f>
        <v>BLR</v>
      </c>
      <c r="C157" s="11">
        <v>6618651</v>
      </c>
      <c r="D157" s="16">
        <v>2014</v>
      </c>
      <c r="E157" s="13">
        <v>7019</v>
      </c>
      <c r="F157" s="8">
        <v>1.0604880057884909</v>
      </c>
    </row>
    <row r="158" spans="1:6" x14ac:dyDescent="0.25">
      <c r="A158" s="4" t="s">
        <v>18</v>
      </c>
      <c r="B158" s="4" t="str">
        <f>VLOOKUP(A158,Codes!$G$2:$H$217,2,0)</f>
        <v>BLR</v>
      </c>
      <c r="C158" s="11">
        <v>6587087</v>
      </c>
      <c r="D158" s="16">
        <v>2015</v>
      </c>
      <c r="E158" s="13">
        <v>6095</v>
      </c>
      <c r="F158" s="8">
        <v>0.92529520256829767</v>
      </c>
    </row>
    <row r="159" spans="1:6" x14ac:dyDescent="0.25">
      <c r="A159" s="4" t="s">
        <v>18</v>
      </c>
      <c r="B159" s="4" t="str">
        <f>VLOOKUP(A159,Codes!$G$2:$H$217,2,0)</f>
        <v>BLR</v>
      </c>
      <c r="C159" s="11">
        <v>6562720</v>
      </c>
      <c r="D159" s="16">
        <v>2016</v>
      </c>
      <c r="E159" s="13">
        <v>6427</v>
      </c>
      <c r="F159" s="8">
        <v>0.97931955043030938</v>
      </c>
    </row>
    <row r="160" spans="1:6" x14ac:dyDescent="0.25">
      <c r="A160" s="4" t="s">
        <v>18</v>
      </c>
      <c r="B160" s="4" t="str">
        <f>VLOOKUP(A160,Codes!$G$2:$H$217,2,0)</f>
        <v>BLR</v>
      </c>
      <c r="C160" s="11">
        <v>6526921</v>
      </c>
      <c r="D160" s="16">
        <v>2017</v>
      </c>
      <c r="E160" s="13">
        <v>7861</v>
      </c>
      <c r="F160" s="8">
        <v>1.2043963761779866</v>
      </c>
    </row>
    <row r="161" spans="1:6" x14ac:dyDescent="0.25">
      <c r="A161" s="4" t="s">
        <v>18</v>
      </c>
      <c r="B161" s="4" t="str">
        <f>VLOOKUP(A161,Codes!$G$2:$H$217,2,0)</f>
        <v>BLR</v>
      </c>
      <c r="C161" s="11">
        <v>6476178</v>
      </c>
      <c r="D161" s="16">
        <v>2018</v>
      </c>
      <c r="E161" s="13">
        <v>8700</v>
      </c>
      <c r="F161" s="8">
        <v>1.3433849409327538</v>
      </c>
    </row>
    <row r="162" spans="1:6" x14ac:dyDescent="0.25">
      <c r="A162" s="4" t="s">
        <v>18</v>
      </c>
      <c r="B162" s="4" t="str">
        <f>VLOOKUP(A162,Codes!$G$2:$H$217,2,0)</f>
        <v>BLR</v>
      </c>
      <c r="C162" s="11">
        <v>6381802</v>
      </c>
      <c r="D162" s="16">
        <v>2019</v>
      </c>
      <c r="E162" s="13">
        <v>8697</v>
      </c>
      <c r="F162" s="8">
        <v>1.3627812332629563</v>
      </c>
    </row>
    <row r="163" spans="1:6" x14ac:dyDescent="0.25">
      <c r="A163" s="4" t="s">
        <v>18</v>
      </c>
      <c r="B163" s="4" t="str">
        <f>VLOOKUP(A163,Codes!$G$2:$H$217,2,0)</f>
        <v>BLR</v>
      </c>
      <c r="C163" s="11">
        <v>6314103</v>
      </c>
      <c r="D163" s="16">
        <v>2020</v>
      </c>
      <c r="E163" s="13">
        <v>7204</v>
      </c>
      <c r="F163" s="8">
        <v>1.1409379923007272</v>
      </c>
    </row>
    <row r="164" spans="1:6" x14ac:dyDescent="0.25">
      <c r="A164" s="3" t="s">
        <v>19</v>
      </c>
      <c r="B164" s="4" t="str">
        <f>VLOOKUP(A164,Codes!$G$2:$H$217,2,0)</f>
        <v>BEL</v>
      </c>
      <c r="C164" s="11">
        <v>6918110</v>
      </c>
      <c r="D164" s="12">
        <v>2006</v>
      </c>
      <c r="E164" s="13">
        <v>21747</v>
      </c>
      <c r="F164" s="8">
        <v>3.1434886117740248</v>
      </c>
    </row>
    <row r="165" spans="1:6" x14ac:dyDescent="0.25">
      <c r="A165" s="4" t="s">
        <v>19</v>
      </c>
      <c r="B165" s="4" t="str">
        <f>VLOOKUP(A165,Codes!$G$2:$H$217,2,0)</f>
        <v>BEL</v>
      </c>
      <c r="C165" s="11">
        <v>6977859</v>
      </c>
      <c r="D165" s="12">
        <v>2007</v>
      </c>
      <c r="E165" s="13">
        <v>23867</v>
      </c>
      <c r="F165" s="8">
        <v>3.4203901225289881</v>
      </c>
    </row>
    <row r="166" spans="1:6" x14ac:dyDescent="0.25">
      <c r="A166" s="4" t="s">
        <v>19</v>
      </c>
      <c r="B166" s="4" t="str">
        <f>VLOOKUP(A166,Codes!$G$2:$H$217,2,0)</f>
        <v>BEL</v>
      </c>
      <c r="C166" s="11">
        <v>7043441</v>
      </c>
      <c r="D166" s="12">
        <v>2008</v>
      </c>
      <c r="E166" s="13">
        <v>23116</v>
      </c>
      <c r="F166" s="8">
        <v>3.2819185963224511</v>
      </c>
    </row>
    <row r="167" spans="1:6" x14ac:dyDescent="0.25">
      <c r="A167" s="4" t="s">
        <v>19</v>
      </c>
      <c r="B167" s="4" t="str">
        <f>VLOOKUP(A167,Codes!$G$2:$H$217,2,0)</f>
        <v>BEL</v>
      </c>
      <c r="C167" s="11">
        <v>7105641</v>
      </c>
      <c r="D167" s="12">
        <v>2009</v>
      </c>
      <c r="E167" s="13">
        <v>20415</v>
      </c>
      <c r="F167" s="8">
        <v>2.873069438774067</v>
      </c>
    </row>
    <row r="168" spans="1:6" x14ac:dyDescent="0.25">
      <c r="A168" s="4" t="s">
        <v>19</v>
      </c>
      <c r="B168" s="4" t="str">
        <f>VLOOKUP(A168,Codes!$G$2:$H$217,2,0)</f>
        <v>BEL</v>
      </c>
      <c r="C168" s="11">
        <v>7167469</v>
      </c>
      <c r="D168" s="12">
        <v>2010</v>
      </c>
      <c r="E168" s="13">
        <v>23512</v>
      </c>
      <c r="F168" s="8">
        <v>3.2803769364053057</v>
      </c>
    </row>
    <row r="169" spans="1:6" x14ac:dyDescent="0.25">
      <c r="A169" s="4" t="s">
        <v>19</v>
      </c>
      <c r="B169" s="4" t="str">
        <f>VLOOKUP(A169,Codes!$G$2:$H$217,2,0)</f>
        <v>BEL</v>
      </c>
      <c r="C169" s="11">
        <v>7246345</v>
      </c>
      <c r="D169" s="12">
        <v>2011</v>
      </c>
      <c r="E169" s="13">
        <v>24451</v>
      </c>
      <c r="F169" s="8">
        <v>3.374252812969849</v>
      </c>
    </row>
    <row r="170" spans="1:6" x14ac:dyDescent="0.25">
      <c r="A170" s="4" t="s">
        <v>19</v>
      </c>
      <c r="B170" s="4" t="str">
        <f>VLOOKUP(A170,Codes!$G$2:$H$217,2,0)</f>
        <v>BEL</v>
      </c>
      <c r="C170" s="11">
        <v>7271587</v>
      </c>
      <c r="D170" s="12">
        <v>2012</v>
      </c>
      <c r="E170" s="13">
        <v>19769</v>
      </c>
      <c r="F170" s="8">
        <v>2.7186637524930939</v>
      </c>
    </row>
    <row r="171" spans="1:6" x14ac:dyDescent="0.25">
      <c r="A171" s="4" t="s">
        <v>19</v>
      </c>
      <c r="B171" s="4" t="str">
        <f>VLOOKUP(A171,Codes!$G$2:$H$217,2,0)</f>
        <v>BEL</v>
      </c>
      <c r="C171" s="11">
        <v>7282454</v>
      </c>
      <c r="D171" s="12">
        <v>2013</v>
      </c>
      <c r="E171" s="13">
        <v>19054</v>
      </c>
      <c r="F171" s="8">
        <v>2.6164257268223046</v>
      </c>
    </row>
    <row r="172" spans="1:6" x14ac:dyDescent="0.25">
      <c r="A172" s="4" t="s">
        <v>19</v>
      </c>
      <c r="B172" s="4" t="str">
        <f>VLOOKUP(A172,Codes!$G$2:$H$217,2,0)</f>
        <v>BEL</v>
      </c>
      <c r="C172" s="11">
        <v>7291041</v>
      </c>
      <c r="D172" s="16">
        <v>2014</v>
      </c>
      <c r="E172" s="13">
        <v>19825</v>
      </c>
      <c r="F172" s="8">
        <v>2.7190904563559579</v>
      </c>
    </row>
    <row r="173" spans="1:6" x14ac:dyDescent="0.25">
      <c r="A173" s="4" t="s">
        <v>19</v>
      </c>
      <c r="B173" s="4" t="str">
        <f>VLOOKUP(A173,Codes!$G$2:$H$217,2,0)</f>
        <v>BEL</v>
      </c>
      <c r="C173" s="11">
        <v>7311715</v>
      </c>
      <c r="D173" s="16">
        <v>2015</v>
      </c>
      <c r="E173" s="13">
        <v>20634</v>
      </c>
      <c r="F173" s="8">
        <v>2.8220465376454085</v>
      </c>
    </row>
    <row r="174" spans="1:6" x14ac:dyDescent="0.25">
      <c r="A174" s="4" t="s">
        <v>19</v>
      </c>
      <c r="B174" s="4" t="str">
        <f>VLOOKUP(A174,Codes!$G$2:$H$217,2,0)</f>
        <v>BEL</v>
      </c>
      <c r="C174" s="11">
        <v>7321395</v>
      </c>
      <c r="D174" s="16">
        <v>2016</v>
      </c>
      <c r="E174" s="13">
        <v>22705</v>
      </c>
      <c r="F174" s="8">
        <v>3.1011849517749011</v>
      </c>
    </row>
    <row r="175" spans="1:6" x14ac:dyDescent="0.25">
      <c r="A175" s="4" t="s">
        <v>19</v>
      </c>
      <c r="B175" s="4" t="str">
        <f>VLOOKUP(A175,Codes!$G$2:$H$217,2,0)</f>
        <v>BEL</v>
      </c>
      <c r="C175" s="11">
        <v>7323263</v>
      </c>
      <c r="D175" s="16">
        <v>2017</v>
      </c>
      <c r="E175" s="13">
        <v>22944</v>
      </c>
      <c r="F175" s="8">
        <v>3.1330296344675865</v>
      </c>
    </row>
    <row r="176" spans="1:6" x14ac:dyDescent="0.25">
      <c r="A176" s="4" t="s">
        <v>19</v>
      </c>
      <c r="B176" s="4" t="str">
        <f>VLOOKUP(A176,Codes!$G$2:$H$217,2,0)</f>
        <v>BEL</v>
      </c>
      <c r="C176" s="11">
        <v>7331122</v>
      </c>
      <c r="D176" s="16">
        <v>2018</v>
      </c>
      <c r="E176" s="13">
        <v>27204</v>
      </c>
      <c r="F176" s="8">
        <v>3.7107553250375589</v>
      </c>
    </row>
    <row r="177" spans="1:6" x14ac:dyDescent="0.25">
      <c r="A177" s="4" t="s">
        <v>19</v>
      </c>
      <c r="B177" s="4" t="str">
        <f>VLOOKUP(A177,Codes!$G$2:$H$217,2,0)</f>
        <v>BEL</v>
      </c>
      <c r="C177" s="11">
        <v>7345506</v>
      </c>
      <c r="D177" s="16">
        <v>2019</v>
      </c>
      <c r="E177" s="13">
        <v>31094</v>
      </c>
      <c r="F177" s="8">
        <v>4.2330644069993273</v>
      </c>
    </row>
    <row r="178" spans="1:6" x14ac:dyDescent="0.25">
      <c r="A178" s="4" t="s">
        <v>19</v>
      </c>
      <c r="B178" s="4" t="str">
        <f>VLOOKUP(A178,Codes!$G$2:$H$217,2,0)</f>
        <v>BEL</v>
      </c>
      <c r="C178" s="11">
        <v>7362533</v>
      </c>
      <c r="D178" s="16">
        <v>2020</v>
      </c>
      <c r="E178" s="13">
        <v>34366</v>
      </c>
      <c r="F178" s="8">
        <v>4.6676870582447645</v>
      </c>
    </row>
    <row r="179" spans="1:6" x14ac:dyDescent="0.25">
      <c r="A179" s="3" t="s">
        <v>20</v>
      </c>
      <c r="B179" s="4" t="str">
        <f>VLOOKUP(A179,Codes!$G$2:$H$217,2,0)</f>
        <v>BLZ</v>
      </c>
      <c r="C179" s="11">
        <v>175608</v>
      </c>
      <c r="D179" s="12">
        <v>2007</v>
      </c>
      <c r="E179" s="13">
        <v>923</v>
      </c>
      <c r="F179" s="8">
        <v>5.256024782470047</v>
      </c>
    </row>
    <row r="180" spans="1:6" x14ac:dyDescent="0.25">
      <c r="A180" s="4" t="s">
        <v>20</v>
      </c>
      <c r="B180" s="4" t="str">
        <f>VLOOKUP(A180,Codes!$G$2:$H$217,2,0)</f>
        <v>BLZ</v>
      </c>
      <c r="C180" s="11">
        <v>181866</v>
      </c>
      <c r="D180" s="12">
        <v>2008</v>
      </c>
      <c r="E180" s="13">
        <v>801</v>
      </c>
      <c r="F180" s="8">
        <v>4.4043416581439079</v>
      </c>
    </row>
    <row r="181" spans="1:6" x14ac:dyDescent="0.25">
      <c r="A181" s="4" t="s">
        <v>20</v>
      </c>
      <c r="B181" s="4" t="str">
        <f>VLOOKUP(A181,Codes!$G$2:$H$217,2,0)</f>
        <v>BLZ</v>
      </c>
      <c r="C181" s="11">
        <v>188177</v>
      </c>
      <c r="D181" s="12">
        <v>2009</v>
      </c>
      <c r="E181" s="13">
        <v>583</v>
      </c>
      <c r="F181" s="8">
        <v>3.0981469573858655</v>
      </c>
    </row>
    <row r="182" spans="1:6" x14ac:dyDescent="0.25">
      <c r="A182" s="4" t="s">
        <v>20</v>
      </c>
      <c r="B182" s="4" t="str">
        <f>VLOOKUP(A182,Codes!$G$2:$H$217,2,0)</f>
        <v>BLZ</v>
      </c>
      <c r="C182" s="11">
        <v>194474</v>
      </c>
      <c r="D182" s="12">
        <v>2010</v>
      </c>
      <c r="E182" s="13">
        <v>604</v>
      </c>
      <c r="F182" s="8">
        <v>3.1058136306138611</v>
      </c>
    </row>
    <row r="183" spans="1:6" x14ac:dyDescent="0.25">
      <c r="A183" s="4" t="s">
        <v>20</v>
      </c>
      <c r="B183" s="4" t="str">
        <f>VLOOKUP(A183,Codes!$G$2:$H$217,2,0)</f>
        <v>BLZ</v>
      </c>
      <c r="C183" s="11">
        <v>201422</v>
      </c>
      <c r="D183" s="12">
        <v>2011</v>
      </c>
      <c r="E183" s="13">
        <v>1000</v>
      </c>
      <c r="F183" s="8">
        <v>4.9647009760602119</v>
      </c>
    </row>
    <row r="184" spans="1:6" x14ac:dyDescent="0.25">
      <c r="A184" s="4" t="s">
        <v>20</v>
      </c>
      <c r="B184" s="4" t="str">
        <f>VLOOKUP(A184,Codes!$G$2:$H$217,2,0)</f>
        <v>BLZ</v>
      </c>
      <c r="C184" s="11">
        <v>208299</v>
      </c>
      <c r="D184" s="12">
        <v>2012</v>
      </c>
      <c r="E184" s="13">
        <v>863</v>
      </c>
      <c r="F184" s="8">
        <v>4.1430827800421506</v>
      </c>
    </row>
    <row r="185" spans="1:6" x14ac:dyDescent="0.25">
      <c r="A185" s="4" t="s">
        <v>20</v>
      </c>
      <c r="B185" s="4" t="str">
        <f>VLOOKUP(A185,Codes!$G$2:$H$217,2,0)</f>
        <v>BLZ</v>
      </c>
      <c r="C185" s="11">
        <v>215167</v>
      </c>
      <c r="D185" s="12">
        <v>2013</v>
      </c>
      <c r="E185" s="13">
        <v>801</v>
      </c>
      <c r="F185" s="8">
        <v>3.7226898176765024</v>
      </c>
    </row>
    <row r="186" spans="1:6" x14ac:dyDescent="0.25">
      <c r="A186" s="4" t="s">
        <v>20</v>
      </c>
      <c r="B186" s="4" t="str">
        <f>VLOOKUP(A186,Codes!$G$2:$H$217,2,0)</f>
        <v>BLZ</v>
      </c>
      <c r="C186" s="11">
        <v>222115</v>
      </c>
      <c r="D186" s="16">
        <v>2014</v>
      </c>
      <c r="E186" s="17">
        <v>655</v>
      </c>
      <c r="F186" s="8">
        <v>2.9489228552776718</v>
      </c>
    </row>
    <row r="187" spans="1:6" x14ac:dyDescent="0.25">
      <c r="A187" s="4" t="s">
        <v>20</v>
      </c>
      <c r="B187" s="4" t="str">
        <f>VLOOKUP(A187,Codes!$G$2:$H$217,2,0)</f>
        <v>BLZ</v>
      </c>
      <c r="C187" s="11">
        <v>229118</v>
      </c>
      <c r="D187" s="16">
        <v>2015</v>
      </c>
      <c r="E187" s="17">
        <v>675</v>
      </c>
      <c r="F187" s="8">
        <v>2.9460801857558114</v>
      </c>
    </row>
    <row r="188" spans="1:6" x14ac:dyDescent="0.25">
      <c r="A188" s="4" t="s">
        <v>20</v>
      </c>
      <c r="B188" s="4" t="str">
        <f>VLOOKUP(A188,Codes!$G$2:$H$217,2,0)</f>
        <v>BLZ</v>
      </c>
      <c r="C188" s="11">
        <v>235649</v>
      </c>
      <c r="D188" s="16">
        <v>2016</v>
      </c>
      <c r="E188" s="17">
        <v>701</v>
      </c>
      <c r="F188" s="8">
        <v>2.9747633132328164</v>
      </c>
    </row>
    <row r="189" spans="1:6" x14ac:dyDescent="0.25">
      <c r="A189" s="4" t="s">
        <v>20</v>
      </c>
      <c r="B189" s="4" t="str">
        <f>VLOOKUP(A189,Codes!$G$2:$H$217,2,0)</f>
        <v>BLZ</v>
      </c>
      <c r="C189" s="11">
        <v>242302</v>
      </c>
      <c r="D189" s="16">
        <v>2017</v>
      </c>
      <c r="E189" s="17">
        <v>777</v>
      </c>
      <c r="F189" s="8">
        <v>3.2067419996533255</v>
      </c>
    </row>
    <row r="190" spans="1:6" x14ac:dyDescent="0.25">
      <c r="A190" s="4" t="s">
        <v>20</v>
      </c>
      <c r="B190" s="4" t="str">
        <f>VLOOKUP(A190,Codes!$G$2:$H$217,2,0)</f>
        <v>BLZ</v>
      </c>
      <c r="C190" s="11">
        <v>248934</v>
      </c>
      <c r="D190" s="16">
        <v>2018</v>
      </c>
      <c r="E190" s="17">
        <v>763</v>
      </c>
      <c r="F190" s="8">
        <v>3.065069456161071</v>
      </c>
    </row>
    <row r="191" spans="1:6" x14ac:dyDescent="0.25">
      <c r="A191" s="4" t="s">
        <v>20</v>
      </c>
      <c r="B191" s="4" t="str">
        <f>VLOOKUP(A191,Codes!$G$2:$H$217,2,0)</f>
        <v>BLZ</v>
      </c>
      <c r="C191" s="11">
        <v>255400</v>
      </c>
      <c r="D191" s="16">
        <v>2019</v>
      </c>
      <c r="E191" s="17">
        <v>769</v>
      </c>
      <c r="F191" s="8">
        <v>3.0109631949882534</v>
      </c>
    </row>
    <row r="192" spans="1:6" x14ac:dyDescent="0.25">
      <c r="A192" s="4" t="s">
        <v>20</v>
      </c>
      <c r="B192" s="4" t="str">
        <f>VLOOKUP(A192,Codes!$G$2:$H$217,2,0)</f>
        <v>BLZ</v>
      </c>
      <c r="C192" s="11">
        <v>261603</v>
      </c>
      <c r="D192" s="16">
        <v>2020</v>
      </c>
      <c r="E192" s="17">
        <v>671</v>
      </c>
      <c r="F192" s="8">
        <v>2.5649552948551815</v>
      </c>
    </row>
    <row r="193" spans="1:6" x14ac:dyDescent="0.25">
      <c r="A193" s="3" t="s">
        <v>21</v>
      </c>
      <c r="B193" s="4" t="str">
        <f>VLOOKUP(A193,Codes!$G$2:$H$217,2,0)</f>
        <v>BEN</v>
      </c>
      <c r="C193" s="11">
        <v>5336025</v>
      </c>
      <c r="D193" s="12">
        <v>2013</v>
      </c>
      <c r="E193" s="13">
        <v>906</v>
      </c>
      <c r="F193" s="8">
        <v>0.16978930945788298</v>
      </c>
    </row>
    <row r="194" spans="1:6" x14ac:dyDescent="0.25">
      <c r="A194" s="4" t="s">
        <v>21</v>
      </c>
      <c r="B194" s="4" t="str">
        <f>VLOOKUP(A194,Codes!$G$2:$H$217,2,0)</f>
        <v>BEN</v>
      </c>
      <c r="C194" s="11">
        <v>5506536</v>
      </c>
      <c r="D194" s="16">
        <v>2014</v>
      </c>
      <c r="E194" s="13">
        <v>1382</v>
      </c>
      <c r="F194" s="8">
        <v>0.25097447832902575</v>
      </c>
    </row>
    <row r="195" spans="1:6" x14ac:dyDescent="0.25">
      <c r="A195" s="4" t="s">
        <v>21</v>
      </c>
      <c r="B195" s="4" t="str">
        <f>VLOOKUP(A195,Codes!$G$2:$H$217,2,0)</f>
        <v>BEN</v>
      </c>
      <c r="C195" s="11">
        <v>5683013</v>
      </c>
      <c r="D195" s="16">
        <v>2015</v>
      </c>
      <c r="E195" s="13">
        <v>2834</v>
      </c>
      <c r="F195" s="8">
        <v>0.49867913376231937</v>
      </c>
    </row>
    <row r="196" spans="1:6" x14ac:dyDescent="0.25">
      <c r="A196" s="4" t="s">
        <v>21</v>
      </c>
      <c r="B196" s="4" t="str">
        <f>VLOOKUP(A196,Codes!$G$2:$H$217,2,0)</f>
        <v>BEN</v>
      </c>
      <c r="C196" s="11">
        <v>5859863</v>
      </c>
      <c r="D196" s="16">
        <v>2016</v>
      </c>
      <c r="E196" s="13">
        <v>3060</v>
      </c>
      <c r="F196" s="8">
        <v>0.52219650868970824</v>
      </c>
    </row>
    <row r="197" spans="1:6" x14ac:dyDescent="0.25">
      <c r="A197" s="4" t="s">
        <v>21</v>
      </c>
      <c r="B197" s="4" t="str">
        <f>VLOOKUP(A197,Codes!$G$2:$H$217,2,0)</f>
        <v>BEN</v>
      </c>
      <c r="C197" s="11">
        <v>6044379</v>
      </c>
      <c r="D197" s="16">
        <v>2017</v>
      </c>
      <c r="E197" s="13">
        <v>3115</v>
      </c>
      <c r="F197" s="8">
        <v>0.51535484455888692</v>
      </c>
    </row>
    <row r="198" spans="1:6" x14ac:dyDescent="0.25">
      <c r="A198" s="4" t="s">
        <v>21</v>
      </c>
      <c r="B198" s="4" t="str">
        <f>VLOOKUP(A198,Codes!$G$2:$H$217,2,0)</f>
        <v>BEN</v>
      </c>
      <c r="C198" s="11">
        <v>6236226</v>
      </c>
      <c r="D198" s="16">
        <v>2018</v>
      </c>
      <c r="E198" s="13">
        <v>3033</v>
      </c>
      <c r="F198" s="8">
        <v>0.4863518416426858</v>
      </c>
    </row>
    <row r="199" spans="1:6" x14ac:dyDescent="0.25">
      <c r="A199" s="4" t="s">
        <v>21</v>
      </c>
      <c r="B199" s="4" t="str">
        <f>VLOOKUP(A199,Codes!$G$2:$H$217,2,0)</f>
        <v>BEN</v>
      </c>
      <c r="C199" s="11">
        <v>6435120</v>
      </c>
      <c r="D199" s="16">
        <v>2019</v>
      </c>
      <c r="E199" s="13">
        <v>3437</v>
      </c>
      <c r="F199" s="8">
        <v>0.53410037419659617</v>
      </c>
    </row>
    <row r="200" spans="1:6" x14ac:dyDescent="0.25">
      <c r="A200" s="4" t="s">
        <v>21</v>
      </c>
      <c r="B200" s="4" t="str">
        <f>VLOOKUP(A200,Codes!$G$2:$H$217,2,0)</f>
        <v>BEN</v>
      </c>
      <c r="C200" s="11">
        <v>6640719</v>
      </c>
      <c r="D200" s="16">
        <v>2020</v>
      </c>
      <c r="E200" s="13">
        <v>4034</v>
      </c>
      <c r="F200" s="8">
        <v>0.60746434234003877</v>
      </c>
    </row>
    <row r="201" spans="1:6" x14ac:dyDescent="0.25">
      <c r="A201" s="3" t="s">
        <v>22</v>
      </c>
      <c r="B201" s="4" t="str">
        <f>VLOOKUP(A201,Codes!$G$2:$H$217,2,0)</f>
        <v>BTN</v>
      </c>
      <c r="C201" s="11">
        <v>401992</v>
      </c>
      <c r="D201" s="12">
        <v>2006</v>
      </c>
      <c r="E201" s="13">
        <v>10</v>
      </c>
      <c r="F201" s="8">
        <v>2.4876116937650503E-2</v>
      </c>
    </row>
    <row r="202" spans="1:6" x14ac:dyDescent="0.25">
      <c r="A202" s="4" t="s">
        <v>22</v>
      </c>
      <c r="B202" s="4" t="str">
        <f>VLOOKUP(A202,Codes!$G$2:$H$217,2,0)</f>
        <v>BTN</v>
      </c>
      <c r="C202" s="11">
        <v>410782</v>
      </c>
      <c r="D202" s="12">
        <v>2007</v>
      </c>
      <c r="E202" s="13">
        <v>11</v>
      </c>
      <c r="F202" s="8">
        <v>2.6778193786485289E-2</v>
      </c>
    </row>
    <row r="203" spans="1:6" x14ac:dyDescent="0.25">
      <c r="A203" s="4" t="s">
        <v>22</v>
      </c>
      <c r="B203" s="4" t="str">
        <f>VLOOKUP(A203,Codes!$G$2:$H$217,2,0)</f>
        <v>BTN</v>
      </c>
      <c r="C203" s="11">
        <v>419206</v>
      </c>
      <c r="D203" s="12">
        <v>2008</v>
      </c>
      <c r="E203" s="13">
        <v>21</v>
      </c>
      <c r="F203" s="8">
        <v>5.0094702842993666E-2</v>
      </c>
    </row>
    <row r="204" spans="1:6" x14ac:dyDescent="0.25">
      <c r="A204" s="4" t="s">
        <v>22</v>
      </c>
      <c r="B204" s="4" t="str">
        <f>VLOOKUP(A204,Codes!$G$2:$H$217,2,0)</f>
        <v>BTN</v>
      </c>
      <c r="C204" s="11">
        <v>427709</v>
      </c>
      <c r="D204" s="12">
        <v>2009</v>
      </c>
      <c r="E204" s="13">
        <v>13</v>
      </c>
      <c r="F204" s="8">
        <v>3.0394497193185085E-2</v>
      </c>
    </row>
    <row r="205" spans="1:6" x14ac:dyDescent="0.25">
      <c r="A205" s="4" t="s">
        <v>22</v>
      </c>
      <c r="B205" s="4" t="str">
        <f>VLOOKUP(A205,Codes!$G$2:$H$217,2,0)</f>
        <v>BTN</v>
      </c>
      <c r="C205" s="11">
        <v>436573</v>
      </c>
      <c r="D205" s="12">
        <v>2010</v>
      </c>
      <c r="E205" s="13">
        <v>18</v>
      </c>
      <c r="F205" s="8">
        <v>4.1230218084947992E-2</v>
      </c>
    </row>
    <row r="206" spans="1:6" x14ac:dyDescent="0.25">
      <c r="A206" s="4" t="s">
        <v>22</v>
      </c>
      <c r="B206" s="4" t="str">
        <f>VLOOKUP(A206,Codes!$G$2:$H$217,2,0)</f>
        <v>BTN</v>
      </c>
      <c r="C206" s="11">
        <v>446293</v>
      </c>
      <c r="D206" s="12">
        <v>2011</v>
      </c>
      <c r="E206" s="13">
        <v>23</v>
      </c>
      <c r="F206" s="8">
        <v>5.153565034629716E-2</v>
      </c>
    </row>
    <row r="207" spans="1:6" x14ac:dyDescent="0.25">
      <c r="A207" s="4" t="s">
        <v>22</v>
      </c>
      <c r="B207" s="4" t="str">
        <f>VLOOKUP(A207,Codes!$G$2:$H$217,2,0)</f>
        <v>BTN</v>
      </c>
      <c r="C207" s="11">
        <v>456420</v>
      </c>
      <c r="D207" s="12">
        <v>2012</v>
      </c>
      <c r="E207" s="13">
        <v>82</v>
      </c>
      <c r="F207" s="8">
        <v>0.17965908592962621</v>
      </c>
    </row>
    <row r="208" spans="1:6" x14ac:dyDescent="0.25">
      <c r="A208" s="4" t="s">
        <v>22</v>
      </c>
      <c r="B208" s="4" t="str">
        <f>VLOOKUP(A208,Codes!$G$2:$H$217,2,0)</f>
        <v>BTN</v>
      </c>
      <c r="C208" s="11">
        <v>466741</v>
      </c>
      <c r="D208" s="12">
        <v>2013</v>
      </c>
      <c r="E208" s="13">
        <v>23</v>
      </c>
      <c r="F208" s="8">
        <v>4.9277865025785177E-2</v>
      </c>
    </row>
    <row r="209" spans="1:6" x14ac:dyDescent="0.25">
      <c r="A209" s="4" t="s">
        <v>22</v>
      </c>
      <c r="B209" s="4" t="str">
        <f>VLOOKUP(A209,Codes!$G$2:$H$217,2,0)</f>
        <v>BTN</v>
      </c>
      <c r="C209" s="11">
        <v>476945</v>
      </c>
      <c r="D209" s="16">
        <v>2014</v>
      </c>
      <c r="E209" s="13">
        <v>29</v>
      </c>
      <c r="F209" s="8">
        <v>6.080365660610762E-2</v>
      </c>
    </row>
    <row r="210" spans="1:6" x14ac:dyDescent="0.25">
      <c r="A210" s="4" t="s">
        <v>22</v>
      </c>
      <c r="B210" s="4" t="str">
        <f>VLOOKUP(A210,Codes!$G$2:$H$217,2,0)</f>
        <v>BTN</v>
      </c>
      <c r="C210" s="11">
        <v>486795</v>
      </c>
      <c r="D210" s="16">
        <v>2015</v>
      </c>
      <c r="E210" s="13">
        <v>44</v>
      </c>
      <c r="F210" s="8">
        <v>9.0387123943343708E-2</v>
      </c>
    </row>
    <row r="211" spans="1:6" x14ac:dyDescent="0.25">
      <c r="A211" s="4" t="s">
        <v>22</v>
      </c>
      <c r="B211" s="4" t="str">
        <f>VLOOKUP(A211,Codes!$G$2:$H$217,2,0)</f>
        <v>BTN</v>
      </c>
      <c r="C211" s="11">
        <v>496649</v>
      </c>
      <c r="D211" s="16">
        <v>2016</v>
      </c>
      <c r="E211" s="13">
        <v>50</v>
      </c>
      <c r="F211" s="8">
        <v>0.10067472198675523</v>
      </c>
    </row>
    <row r="212" spans="1:6" x14ac:dyDescent="0.25">
      <c r="A212" s="4" t="s">
        <v>22</v>
      </c>
      <c r="B212" s="4" t="str">
        <f>VLOOKUP(A212,Codes!$G$2:$H$217,2,0)</f>
        <v>BTN</v>
      </c>
      <c r="C212" s="11">
        <v>505907</v>
      </c>
      <c r="D212" s="16">
        <v>2017</v>
      </c>
      <c r="E212" s="13">
        <v>72</v>
      </c>
      <c r="F212" s="8">
        <v>0.14231864749845327</v>
      </c>
    </row>
    <row r="213" spans="1:6" x14ac:dyDescent="0.25">
      <c r="A213" s="4" t="s">
        <v>22</v>
      </c>
      <c r="B213" s="4" t="str">
        <f>VLOOKUP(A213,Codes!$G$2:$H$217,2,0)</f>
        <v>BTN</v>
      </c>
      <c r="C213" s="11">
        <v>514691</v>
      </c>
      <c r="D213" s="16">
        <v>2018</v>
      </c>
      <c r="E213" s="13">
        <v>47</v>
      </c>
      <c r="F213" s="8">
        <v>9.1316926077976882E-2</v>
      </c>
    </row>
    <row r="214" spans="1:6" x14ac:dyDescent="0.25">
      <c r="A214" s="3" t="s">
        <v>23</v>
      </c>
      <c r="B214" s="4" t="str">
        <f>VLOOKUP(A214,Codes!$G$2:$H$217,2,0)</f>
        <v>BOL</v>
      </c>
      <c r="C214" s="11">
        <v>7008805</v>
      </c>
      <c r="D214" s="16">
        <v>2018</v>
      </c>
      <c r="E214" s="13">
        <v>3593</v>
      </c>
      <c r="F214" s="8">
        <v>0.51264088528643614</v>
      </c>
    </row>
    <row r="215" spans="1:6" x14ac:dyDescent="0.25">
      <c r="A215" s="3" t="s">
        <v>24</v>
      </c>
      <c r="B215" s="4" t="str">
        <f>VLOOKUP(A215,Codes!$G$2:$H$217,2,0)</f>
        <v>BIH</v>
      </c>
      <c r="C215" s="11">
        <v>2370397</v>
      </c>
      <c r="D215" s="12">
        <v>2016</v>
      </c>
      <c r="E215" s="13">
        <v>2814</v>
      </c>
      <c r="F215" s="8">
        <v>1.1871429131913347</v>
      </c>
    </row>
    <row r="216" spans="1:6" x14ac:dyDescent="0.25">
      <c r="A216" s="4" t="s">
        <v>24</v>
      </c>
      <c r="B216" s="4" t="str">
        <f>VLOOKUP(A216,Codes!$G$2:$H$217,2,0)</f>
        <v>BIH</v>
      </c>
      <c r="C216" s="11">
        <v>2327792</v>
      </c>
      <c r="D216" s="12">
        <v>2017</v>
      </c>
      <c r="E216" s="13">
        <v>2433</v>
      </c>
      <c r="F216" s="8">
        <v>1.0451964780358383</v>
      </c>
    </row>
    <row r="217" spans="1:6" x14ac:dyDescent="0.25">
      <c r="A217" s="4" t="s">
        <v>24</v>
      </c>
      <c r="B217" s="4" t="str">
        <f>VLOOKUP(A217,Codes!$G$2:$H$217,2,0)</f>
        <v>BIH</v>
      </c>
      <c r="C217" s="11">
        <v>2285649</v>
      </c>
      <c r="D217" s="12">
        <v>2018</v>
      </c>
      <c r="E217" s="13">
        <v>2493</v>
      </c>
      <c r="F217" s="8">
        <v>1.0907186536515447</v>
      </c>
    </row>
    <row r="218" spans="1:6" x14ac:dyDescent="0.25">
      <c r="A218" s="4" t="s">
        <v>24</v>
      </c>
      <c r="B218" s="4" t="str">
        <f>VLOOKUP(A218,Codes!$G$2:$H$217,2,0)</f>
        <v>BIH</v>
      </c>
      <c r="C218" s="11">
        <v>2248148</v>
      </c>
      <c r="D218" s="12">
        <v>2019</v>
      </c>
      <c r="E218" s="13">
        <v>2547</v>
      </c>
      <c r="F218" s="8">
        <v>1.1329325293530499</v>
      </c>
    </row>
    <row r="219" spans="1:6" x14ac:dyDescent="0.25">
      <c r="A219" s="4" t="s">
        <v>24</v>
      </c>
      <c r="B219" s="4" t="str">
        <f>VLOOKUP(A219,Codes!$G$2:$H$217,2,0)</f>
        <v>BIH</v>
      </c>
      <c r="C219" s="11">
        <v>2216576</v>
      </c>
      <c r="D219" s="12">
        <v>2020</v>
      </c>
      <c r="E219" s="13">
        <v>2229</v>
      </c>
      <c r="F219" s="8">
        <v>1.0056050412889068</v>
      </c>
    </row>
    <row r="220" spans="1:6" x14ac:dyDescent="0.25">
      <c r="A220" s="3" t="s">
        <v>25</v>
      </c>
      <c r="B220" s="4" t="str">
        <f>VLOOKUP(A220,Codes!$G$2:$H$217,2,0)</f>
        <v>BWA</v>
      </c>
      <c r="C220" s="11">
        <v>1112867</v>
      </c>
      <c r="D220" s="12">
        <v>2006</v>
      </c>
      <c r="E220" s="13">
        <v>6627</v>
      </c>
      <c r="F220" s="8">
        <v>5.9548894881418892</v>
      </c>
    </row>
    <row r="221" spans="1:6" x14ac:dyDescent="0.25">
      <c r="A221" s="4" t="s">
        <v>25</v>
      </c>
      <c r="B221" s="4" t="str">
        <f>VLOOKUP(A221,Codes!$G$2:$H$217,2,0)</f>
        <v>BWA</v>
      </c>
      <c r="C221" s="11">
        <v>1142617</v>
      </c>
      <c r="D221" s="12">
        <v>2007</v>
      </c>
      <c r="E221" s="13">
        <v>6963</v>
      </c>
      <c r="F221" s="8">
        <v>6.0939054818893821</v>
      </c>
    </row>
    <row r="222" spans="1:6" x14ac:dyDescent="0.25">
      <c r="A222" s="4" t="s">
        <v>25</v>
      </c>
      <c r="B222" s="4" t="str">
        <f>VLOOKUP(A222,Codes!$G$2:$H$217,2,0)</f>
        <v>BWA</v>
      </c>
      <c r="C222" s="11">
        <v>1172970</v>
      </c>
      <c r="D222" s="12">
        <v>2008</v>
      </c>
      <c r="E222" s="13">
        <v>8225</v>
      </c>
      <c r="F222" s="8">
        <v>7.0121145468341046</v>
      </c>
    </row>
    <row r="223" spans="1:6" x14ac:dyDescent="0.25">
      <c r="A223" s="4" t="s">
        <v>25</v>
      </c>
      <c r="B223" s="4" t="str">
        <f>VLOOKUP(A223,Codes!$G$2:$H$217,2,0)</f>
        <v>BWA</v>
      </c>
      <c r="C223" s="11">
        <v>1201370</v>
      </c>
      <c r="D223" s="12">
        <v>2009</v>
      </c>
      <c r="E223" s="13">
        <v>10955</v>
      </c>
      <c r="F223" s="8">
        <v>9.1187560868009019</v>
      </c>
    </row>
    <row r="224" spans="1:6" x14ac:dyDescent="0.25">
      <c r="A224" s="4" t="s">
        <v>25</v>
      </c>
      <c r="B224" s="4" t="str">
        <f>VLOOKUP(A224,Codes!$G$2:$H$217,2,0)</f>
        <v>BWA</v>
      </c>
      <c r="C224" s="11">
        <v>1226338</v>
      </c>
      <c r="D224" s="12">
        <v>2010</v>
      </c>
      <c r="E224" s="13">
        <v>11693</v>
      </c>
      <c r="F224" s="8">
        <v>9.5348916856527328</v>
      </c>
    </row>
    <row r="225" spans="1:6" x14ac:dyDescent="0.25">
      <c r="A225" s="4" t="s">
        <v>25</v>
      </c>
      <c r="B225" s="4" t="str">
        <f>VLOOKUP(A225,Codes!$G$2:$H$217,2,0)</f>
        <v>BWA</v>
      </c>
      <c r="C225" s="11">
        <v>1243364</v>
      </c>
      <c r="D225" s="12">
        <v>2011</v>
      </c>
      <c r="E225" s="13">
        <v>12353</v>
      </c>
      <c r="F225" s="8">
        <v>9.935143690825857</v>
      </c>
    </row>
    <row r="226" spans="1:6" x14ac:dyDescent="0.25">
      <c r="A226" s="4" t="s">
        <v>25</v>
      </c>
      <c r="B226" s="4" t="str">
        <f>VLOOKUP(A226,Codes!$G$2:$H$217,2,0)</f>
        <v>BWA</v>
      </c>
      <c r="C226" s="11">
        <v>1256436</v>
      </c>
      <c r="D226" s="12">
        <v>2012</v>
      </c>
      <c r="E226" s="13">
        <v>16194</v>
      </c>
      <c r="F226" s="8">
        <v>12.888837951157083</v>
      </c>
    </row>
    <row r="227" spans="1:6" x14ac:dyDescent="0.25">
      <c r="A227" s="4" t="s">
        <v>25</v>
      </c>
      <c r="B227" s="4" t="str">
        <f>VLOOKUP(A227,Codes!$G$2:$H$217,2,0)</f>
        <v>BWA</v>
      </c>
      <c r="C227" s="11">
        <v>1267950</v>
      </c>
      <c r="D227" s="12">
        <v>2013</v>
      </c>
      <c r="E227" s="13">
        <v>15092</v>
      </c>
      <c r="F227" s="8">
        <v>11.902677550376591</v>
      </c>
    </row>
    <row r="228" spans="1:6" x14ac:dyDescent="0.25">
      <c r="A228" s="4" t="s">
        <v>25</v>
      </c>
      <c r="B228" s="4" t="str">
        <f>VLOOKUP(A228,Codes!$G$2:$H$217,2,0)</f>
        <v>BWA</v>
      </c>
      <c r="C228" s="11">
        <v>1281343</v>
      </c>
      <c r="D228" s="16">
        <v>2014</v>
      </c>
      <c r="E228" s="13">
        <v>18621</v>
      </c>
      <c r="F228" s="8">
        <v>14.532408574441037</v>
      </c>
    </row>
    <row r="229" spans="1:6" x14ac:dyDescent="0.25">
      <c r="A229" s="4" t="s">
        <v>25</v>
      </c>
      <c r="B229" s="4" t="str">
        <f>VLOOKUP(A229,Codes!$G$2:$H$217,2,0)</f>
        <v>BWA</v>
      </c>
      <c r="C229" s="11">
        <v>1298871</v>
      </c>
      <c r="D229" s="16">
        <v>2015</v>
      </c>
      <c r="E229" s="13">
        <v>23512</v>
      </c>
      <c r="F229" s="8">
        <v>18.101874628042356</v>
      </c>
    </row>
    <row r="230" spans="1:6" x14ac:dyDescent="0.25">
      <c r="A230" s="4" t="s">
        <v>25</v>
      </c>
      <c r="B230" s="4" t="str">
        <f>VLOOKUP(A230,Codes!$G$2:$H$217,2,0)</f>
        <v>BWA</v>
      </c>
      <c r="C230" s="11">
        <v>1324650</v>
      </c>
      <c r="D230" s="16">
        <v>2016</v>
      </c>
      <c r="E230" s="13">
        <v>26613</v>
      </c>
      <c r="F230" s="8">
        <v>20.09058996716114</v>
      </c>
    </row>
    <row r="231" spans="1:6" x14ac:dyDescent="0.25">
      <c r="A231" s="4" t="s">
        <v>25</v>
      </c>
      <c r="B231" s="4" t="str">
        <f>VLOOKUP(A231,Codes!$G$2:$H$217,2,0)</f>
        <v>BWA</v>
      </c>
      <c r="C231" s="11">
        <v>1355556</v>
      </c>
      <c r="D231" s="16">
        <v>2017</v>
      </c>
      <c r="E231" s="13">
        <v>20614</v>
      </c>
      <c r="F231" s="8">
        <v>15.20704419441174</v>
      </c>
    </row>
    <row r="232" spans="1:6" x14ac:dyDescent="0.25">
      <c r="A232" s="4" t="s">
        <v>25</v>
      </c>
      <c r="B232" s="4" t="str">
        <f>VLOOKUP(A232,Codes!$G$2:$H$217,2,0)</f>
        <v>BWA</v>
      </c>
      <c r="C232" s="11">
        <v>1389929</v>
      </c>
      <c r="D232" s="16">
        <v>2018</v>
      </c>
      <c r="E232" s="13">
        <v>20993</v>
      </c>
      <c r="F232" s="8">
        <v>15.103649179202678</v>
      </c>
    </row>
    <row r="233" spans="1:6" x14ac:dyDescent="0.25">
      <c r="A233" s="4" t="s">
        <v>25</v>
      </c>
      <c r="B233" s="4" t="str">
        <f>VLOOKUP(A233,Codes!$G$2:$H$217,2,0)</f>
        <v>BWA</v>
      </c>
      <c r="C233" s="11">
        <v>1425281</v>
      </c>
      <c r="D233" s="16">
        <v>2019</v>
      </c>
      <c r="E233" s="13">
        <v>17377</v>
      </c>
      <c r="F233" s="8">
        <v>12.191981791660734</v>
      </c>
    </row>
    <row r="234" spans="1:6" x14ac:dyDescent="0.25">
      <c r="A234" s="4" t="s">
        <v>25</v>
      </c>
      <c r="B234" s="4" t="str">
        <f>VLOOKUP(A234,Codes!$G$2:$H$217,2,0)</f>
        <v>BWA</v>
      </c>
      <c r="C234" s="11">
        <v>1459985</v>
      </c>
      <c r="D234" s="16">
        <v>2020</v>
      </c>
      <c r="E234" s="13">
        <v>26256</v>
      </c>
      <c r="F234" s="8">
        <v>17.983746408353507</v>
      </c>
    </row>
    <row r="235" spans="1:6" x14ac:dyDescent="0.25">
      <c r="A235" s="3" t="s">
        <v>26</v>
      </c>
      <c r="B235" s="4" t="str">
        <f>VLOOKUP(A235,Codes!$G$2:$H$217,2,0)</f>
        <v>BRA</v>
      </c>
      <c r="C235" s="11">
        <v>131902950</v>
      </c>
      <c r="D235" s="12">
        <v>2009</v>
      </c>
      <c r="E235" s="13">
        <v>337021</v>
      </c>
      <c r="F235" s="8">
        <v>2.555067949579596</v>
      </c>
    </row>
    <row r="236" spans="1:6" x14ac:dyDescent="0.25">
      <c r="A236" s="4" t="s">
        <v>26</v>
      </c>
      <c r="B236" s="4" t="str">
        <f>VLOOKUP(A236,Codes!$G$2:$H$217,2,0)</f>
        <v>BRA</v>
      </c>
      <c r="C236" s="11">
        <v>133781681</v>
      </c>
      <c r="D236" s="12">
        <v>2010</v>
      </c>
      <c r="E236" s="13">
        <v>345614</v>
      </c>
      <c r="F236" s="8">
        <v>2.5834179793270802</v>
      </c>
    </row>
    <row r="237" spans="1:6" x14ac:dyDescent="0.25">
      <c r="A237" s="4" t="s">
        <v>26</v>
      </c>
      <c r="B237" s="4" t="str">
        <f>VLOOKUP(A237,Codes!$G$2:$H$217,2,0)</f>
        <v>BRA</v>
      </c>
      <c r="C237" s="11">
        <v>135602166</v>
      </c>
      <c r="D237" s="12">
        <v>2011</v>
      </c>
      <c r="E237" s="13">
        <v>355326</v>
      </c>
      <c r="F237" s="8">
        <v>2.6203563739534959</v>
      </c>
    </row>
    <row r="238" spans="1:6" x14ac:dyDescent="0.25">
      <c r="A238" s="4" t="s">
        <v>26</v>
      </c>
      <c r="B238" s="4" t="str">
        <f>VLOOKUP(A238,Codes!$G$2:$H$217,2,0)</f>
        <v>BRA</v>
      </c>
      <c r="C238" s="11">
        <v>137364151</v>
      </c>
      <c r="D238" s="12">
        <v>2012</v>
      </c>
      <c r="E238" s="13">
        <v>311644</v>
      </c>
      <c r="F238" s="8">
        <v>2.2687433200821077</v>
      </c>
    </row>
    <row r="239" spans="1:6" x14ac:dyDescent="0.25">
      <c r="A239" s="4" t="s">
        <v>26</v>
      </c>
      <c r="B239" s="4" t="str">
        <f>VLOOKUP(A239,Codes!$G$2:$H$217,2,0)</f>
        <v>BRA</v>
      </c>
      <c r="C239" s="11">
        <v>139067238</v>
      </c>
      <c r="D239" s="12">
        <v>2013</v>
      </c>
      <c r="E239" s="13">
        <v>304549</v>
      </c>
      <c r="F239" s="8">
        <v>2.1899406674057911</v>
      </c>
    </row>
    <row r="240" spans="1:6" x14ac:dyDescent="0.25">
      <c r="A240" s="4" t="s">
        <v>26</v>
      </c>
      <c r="B240" s="4" t="str">
        <f>VLOOKUP(A240,Codes!$G$2:$H$217,2,0)</f>
        <v>BRA</v>
      </c>
      <c r="C240" s="11">
        <v>140699018</v>
      </c>
      <c r="D240" s="16">
        <v>2014</v>
      </c>
      <c r="E240" s="13">
        <v>267225</v>
      </c>
      <c r="F240" s="8">
        <v>1.8992669870659651</v>
      </c>
    </row>
    <row r="241" spans="1:6" x14ac:dyDescent="0.25">
      <c r="A241" s="4" t="s">
        <v>26</v>
      </c>
      <c r="B241" s="4" t="str">
        <f>VLOOKUP(A241,Codes!$G$2:$H$217,2,0)</f>
        <v>BRA</v>
      </c>
      <c r="C241" s="11">
        <v>142243098</v>
      </c>
      <c r="D241" s="16">
        <v>2015</v>
      </c>
      <c r="E241" s="13">
        <v>245830</v>
      </c>
      <c r="F241" s="8">
        <v>1.7282385117905685</v>
      </c>
    </row>
    <row r="242" spans="1:6" x14ac:dyDescent="0.25">
      <c r="A242" s="4" t="s">
        <v>26</v>
      </c>
      <c r="B242" s="4" t="str">
        <f>VLOOKUP(A242,Codes!$G$2:$H$217,2,0)</f>
        <v>BRA</v>
      </c>
      <c r="C242" s="11">
        <v>143590073</v>
      </c>
      <c r="D242" s="16">
        <v>2016</v>
      </c>
      <c r="E242" s="13">
        <v>226570</v>
      </c>
      <c r="F242" s="8">
        <v>1.5778945944264544</v>
      </c>
    </row>
    <row r="243" spans="1:6" x14ac:dyDescent="0.25">
      <c r="A243" s="4" t="s">
        <v>26</v>
      </c>
      <c r="B243" s="4" t="str">
        <f>VLOOKUP(A243,Codes!$G$2:$H$217,2,0)</f>
        <v>BRA</v>
      </c>
      <c r="C243" s="11">
        <v>144882354</v>
      </c>
      <c r="D243" s="16">
        <v>2017</v>
      </c>
      <c r="E243" s="13">
        <v>235300</v>
      </c>
      <c r="F243" s="8">
        <v>1.624076317810242</v>
      </c>
    </row>
    <row r="244" spans="1:6" x14ac:dyDescent="0.25">
      <c r="A244" s="4" t="s">
        <v>26</v>
      </c>
      <c r="B244" s="4" t="str">
        <f>VLOOKUP(A244,Codes!$G$2:$H$217,2,0)</f>
        <v>BRA</v>
      </c>
      <c r="C244" s="11">
        <v>146090377</v>
      </c>
      <c r="D244" s="16">
        <v>2018</v>
      </c>
      <c r="E244" s="13">
        <v>253902</v>
      </c>
      <c r="F244" s="8">
        <v>1.7379789498387017</v>
      </c>
    </row>
    <row r="245" spans="1:6" x14ac:dyDescent="0.25">
      <c r="A245" s="4" t="s">
        <v>26</v>
      </c>
      <c r="B245" s="4" t="str">
        <f>VLOOKUP(A245,Codes!$G$2:$H$217,2,0)</f>
        <v>BRA</v>
      </c>
      <c r="C245" s="11">
        <v>147184242</v>
      </c>
      <c r="D245" s="16">
        <v>2019</v>
      </c>
      <c r="E245" s="13">
        <v>291392</v>
      </c>
      <c r="F245" s="8">
        <v>1.9797771557637265</v>
      </c>
    </row>
    <row r="246" spans="1:6" x14ac:dyDescent="0.25">
      <c r="A246" s="4" t="s">
        <v>26</v>
      </c>
      <c r="B246" s="4" t="str">
        <f>VLOOKUP(A246,Codes!$G$2:$H$217,2,0)</f>
        <v>BRA</v>
      </c>
      <c r="C246" s="11">
        <v>148150775</v>
      </c>
      <c r="D246" s="16">
        <v>2020</v>
      </c>
      <c r="E246" s="13">
        <v>405049</v>
      </c>
      <c r="F246" s="8">
        <v>2.7340322721902739</v>
      </c>
    </row>
    <row r="247" spans="1:6" x14ac:dyDescent="0.25">
      <c r="A247" s="3" t="s">
        <v>28</v>
      </c>
      <c r="B247" s="4" t="str">
        <f>VLOOKUP(A247,Codes!$G$2:$H$217,2,0)</f>
        <v>BRN</v>
      </c>
      <c r="C247" s="11">
        <v>284506</v>
      </c>
      <c r="D247" s="12">
        <v>2012</v>
      </c>
      <c r="E247" s="18">
        <v>480</v>
      </c>
      <c r="F247" s="8">
        <v>1.6871348934644612</v>
      </c>
    </row>
    <row r="248" spans="1:6" x14ac:dyDescent="0.25">
      <c r="A248" s="3" t="s">
        <v>28</v>
      </c>
      <c r="B248" s="4" t="str">
        <f>VLOOKUP(A248,Codes!$G$2:$H$217,2,0)</f>
        <v>BRN</v>
      </c>
      <c r="C248" s="11">
        <v>289077</v>
      </c>
      <c r="D248" s="12">
        <v>2013</v>
      </c>
      <c r="E248" s="18">
        <v>475</v>
      </c>
      <c r="F248" s="8">
        <v>1.6431608187437949</v>
      </c>
    </row>
    <row r="249" spans="1:6" x14ac:dyDescent="0.25">
      <c r="A249" s="3" t="s">
        <v>28</v>
      </c>
      <c r="B249" s="4" t="str">
        <f>VLOOKUP(A249,Codes!$G$2:$H$217,2,0)</f>
        <v>BRN</v>
      </c>
      <c r="C249" s="11">
        <v>293594</v>
      </c>
      <c r="D249" s="16">
        <v>2014</v>
      </c>
      <c r="E249" s="17">
        <v>457</v>
      </c>
      <c r="F249" s="8">
        <v>1.9516747617458123</v>
      </c>
    </row>
    <row r="250" spans="1:6" x14ac:dyDescent="0.25">
      <c r="A250" s="3" t="s">
        <v>28</v>
      </c>
      <c r="B250" s="4" t="str">
        <f>VLOOKUP(A250,Codes!$G$2:$H$217,2,0)</f>
        <v>BRN</v>
      </c>
      <c r="C250" s="11">
        <v>298063</v>
      </c>
      <c r="D250" s="16">
        <v>2015</v>
      </c>
      <c r="E250" s="13">
        <v>573</v>
      </c>
      <c r="F250" s="8">
        <v>2.5497965195277508</v>
      </c>
    </row>
    <row r="251" spans="1:6" x14ac:dyDescent="0.25">
      <c r="A251" s="3" t="s">
        <v>28</v>
      </c>
      <c r="B251" s="4" t="str">
        <f>VLOOKUP(A251,Codes!$G$2:$H$217,2,0)</f>
        <v>BRN</v>
      </c>
      <c r="C251" s="11">
        <v>301477</v>
      </c>
      <c r="D251" s="16">
        <v>2016</v>
      </c>
      <c r="E251" s="13">
        <v>760</v>
      </c>
      <c r="F251" s="8">
        <v>2.6469680937517621</v>
      </c>
    </row>
    <row r="252" spans="1:6" x14ac:dyDescent="0.25">
      <c r="A252" s="3" t="s">
        <v>28</v>
      </c>
      <c r="B252" s="4" t="str">
        <f>VLOOKUP(A252,Codes!$G$2:$H$217,2,0)</f>
        <v>BRN</v>
      </c>
      <c r="C252" s="11">
        <v>305356</v>
      </c>
      <c r="D252" s="16">
        <v>2017</v>
      </c>
      <c r="E252" s="13">
        <v>798</v>
      </c>
      <c r="F252" s="8">
        <v>2.3939270883820853</v>
      </c>
    </row>
    <row r="253" spans="1:6" x14ac:dyDescent="0.25">
      <c r="A253" s="3" t="s">
        <v>28</v>
      </c>
      <c r="B253" s="4" t="str">
        <f>VLOOKUP(A253,Codes!$G$2:$H$217,2,0)</f>
        <v>BRN</v>
      </c>
      <c r="C253" s="11">
        <v>309282</v>
      </c>
      <c r="D253" s="16">
        <v>2018</v>
      </c>
      <c r="E253" s="13">
        <v>731</v>
      </c>
      <c r="F253" s="8">
        <v>2.408804909435402</v>
      </c>
    </row>
    <row r="254" spans="1:6" x14ac:dyDescent="0.25">
      <c r="A254" s="3" t="s">
        <v>28</v>
      </c>
      <c r="B254" s="4" t="str">
        <f>VLOOKUP(A254,Codes!$G$2:$H$217,2,0)</f>
        <v>BRN</v>
      </c>
      <c r="C254" s="11">
        <v>312730</v>
      </c>
      <c r="D254" s="16">
        <v>2019</v>
      </c>
      <c r="E254" s="13">
        <v>745</v>
      </c>
      <c r="F254" s="8">
        <v>2.38224666645349</v>
      </c>
    </row>
    <row r="255" spans="1:6" x14ac:dyDescent="0.25">
      <c r="A255" s="3" t="s">
        <v>28</v>
      </c>
      <c r="B255" s="4" t="str">
        <f>VLOOKUP(A255,Codes!$G$2:$H$217,2,0)</f>
        <v>BRN</v>
      </c>
      <c r="C255" s="11">
        <v>315451</v>
      </c>
      <c r="D255" s="16">
        <v>2020</v>
      </c>
      <c r="E255" s="13">
        <v>316</v>
      </c>
      <c r="F255" s="8">
        <v>1.0017403653816284</v>
      </c>
    </row>
    <row r="256" spans="1:6" x14ac:dyDescent="0.25">
      <c r="A256" s="3" t="s">
        <v>29</v>
      </c>
      <c r="B256" s="4" t="str">
        <f>VLOOKUP(A256,Codes!$G$2:$H$217,2,0)</f>
        <v>BGR</v>
      </c>
      <c r="C256" s="11">
        <v>5161618</v>
      </c>
      <c r="D256" s="12">
        <v>2008</v>
      </c>
      <c r="E256" s="13">
        <v>10930</v>
      </c>
      <c r="F256" s="8">
        <v>2.117553061849986</v>
      </c>
    </row>
    <row r="257" spans="1:6" x14ac:dyDescent="0.25">
      <c r="A257" s="4" t="s">
        <v>29</v>
      </c>
      <c r="B257" s="4" t="str">
        <f>VLOOKUP(A257,Codes!$G$2:$H$217,2,0)</f>
        <v>BGR</v>
      </c>
      <c r="C257" s="11">
        <v>5115270</v>
      </c>
      <c r="D257" s="12">
        <v>2009</v>
      </c>
      <c r="E257" s="13">
        <v>8199</v>
      </c>
      <c r="F257" s="8">
        <v>1.6028479435103131</v>
      </c>
    </row>
    <row r="258" spans="1:6" x14ac:dyDescent="0.25">
      <c r="A258" s="4" t="s">
        <v>29</v>
      </c>
      <c r="B258" s="4" t="str">
        <f>VLOOKUP(A258,Codes!$G$2:$H$217,2,0)</f>
        <v>BGR</v>
      </c>
      <c r="C258" s="11">
        <v>5060439</v>
      </c>
      <c r="D258" s="12">
        <v>2010</v>
      </c>
      <c r="E258" s="13">
        <v>6903</v>
      </c>
      <c r="F258" s="8">
        <v>1.3641109002598391</v>
      </c>
    </row>
    <row r="259" spans="1:6" x14ac:dyDescent="0.25">
      <c r="A259" s="4" t="s">
        <v>29</v>
      </c>
      <c r="B259" s="4" t="str">
        <f>VLOOKUP(A259,Codes!$G$2:$H$217,2,0)</f>
        <v>BGR</v>
      </c>
      <c r="C259" s="11">
        <v>4991351</v>
      </c>
      <c r="D259" s="12">
        <v>2011</v>
      </c>
      <c r="E259" s="13">
        <v>8267</v>
      </c>
      <c r="F259" s="8">
        <v>1.6562650072094709</v>
      </c>
    </row>
    <row r="260" spans="1:6" x14ac:dyDescent="0.25">
      <c r="A260" s="4" t="s">
        <v>29</v>
      </c>
      <c r="B260" s="4" t="str">
        <f>VLOOKUP(A260,Codes!$G$2:$H$217,2,0)</f>
        <v>BGR</v>
      </c>
      <c r="C260" s="11">
        <v>4923015</v>
      </c>
      <c r="D260" s="12">
        <v>2012</v>
      </c>
      <c r="E260" s="13">
        <v>8558</v>
      </c>
      <c r="F260" s="8">
        <v>1.738365615380006</v>
      </c>
    </row>
    <row r="261" spans="1:6" x14ac:dyDescent="0.25">
      <c r="A261" s="4" t="s">
        <v>29</v>
      </c>
      <c r="B261" s="4" t="str">
        <f>VLOOKUP(A261,Codes!$G$2:$H$217,2,0)</f>
        <v>BGR</v>
      </c>
      <c r="C261" s="11">
        <v>4854077</v>
      </c>
      <c r="D261" s="12">
        <v>2013</v>
      </c>
      <c r="E261" s="13">
        <v>8168</v>
      </c>
      <c r="F261" s="8">
        <v>1.6827091947655548</v>
      </c>
    </row>
    <row r="262" spans="1:6" x14ac:dyDescent="0.25">
      <c r="A262" s="4" t="s">
        <v>29</v>
      </c>
      <c r="B262" s="4" t="str">
        <f>VLOOKUP(A262,Codes!$G$2:$H$217,2,0)</f>
        <v>BGR</v>
      </c>
      <c r="C262" s="11">
        <v>4785446</v>
      </c>
      <c r="D262" s="16">
        <v>2014</v>
      </c>
      <c r="E262" s="13">
        <v>7751</v>
      </c>
      <c r="F262" s="8">
        <v>1.6197027403506381</v>
      </c>
    </row>
    <row r="263" spans="1:6" x14ac:dyDescent="0.25">
      <c r="A263" s="4" t="s">
        <v>29</v>
      </c>
      <c r="B263" s="4" t="str">
        <f>VLOOKUP(A263,Codes!$G$2:$H$217,2,0)</f>
        <v>BGR</v>
      </c>
      <c r="C263" s="11">
        <v>4716474</v>
      </c>
      <c r="D263" s="16">
        <v>2015</v>
      </c>
      <c r="E263" s="13">
        <v>8720</v>
      </c>
      <c r="F263" s="8">
        <v>1.8488387723540933</v>
      </c>
    </row>
    <row r="264" spans="1:6" x14ac:dyDescent="0.25">
      <c r="A264" s="4" t="s">
        <v>29</v>
      </c>
      <c r="B264" s="4" t="str">
        <f>VLOOKUP(A264,Codes!$G$2:$H$217,2,0)</f>
        <v>BGR</v>
      </c>
      <c r="C264" s="11">
        <v>4651208</v>
      </c>
      <c r="D264" s="16">
        <v>2016</v>
      </c>
      <c r="E264" s="13">
        <v>9423</v>
      </c>
      <c r="F264" s="8">
        <v>2.025925308006006</v>
      </c>
    </row>
    <row r="265" spans="1:6" x14ac:dyDescent="0.25">
      <c r="A265" s="4" t="s">
        <v>29</v>
      </c>
      <c r="B265" s="4" t="str">
        <f>VLOOKUP(A265,Codes!$G$2:$H$217,2,0)</f>
        <v>BGR</v>
      </c>
      <c r="C265" s="11">
        <v>4585049</v>
      </c>
      <c r="D265" s="16">
        <v>2017</v>
      </c>
      <c r="E265" s="13">
        <v>9022</v>
      </c>
      <c r="F265" s="8">
        <v>1.9676997999367074</v>
      </c>
    </row>
    <row r="266" spans="1:6" x14ac:dyDescent="0.25">
      <c r="A266" s="4" t="s">
        <v>29</v>
      </c>
      <c r="B266" s="4" t="str">
        <f>VLOOKUP(A266,Codes!$G$2:$H$217,2,0)</f>
        <v>BGR</v>
      </c>
      <c r="C266" s="11">
        <v>4522903</v>
      </c>
      <c r="D266" s="16">
        <v>2018</v>
      </c>
      <c r="E266" s="13">
        <v>8855</v>
      </c>
      <c r="F266" s="8">
        <v>1.9578133778239328</v>
      </c>
    </row>
    <row r="267" spans="1:6" x14ac:dyDescent="0.25">
      <c r="A267" s="4" t="s">
        <v>29</v>
      </c>
      <c r="B267" s="4" t="str">
        <f>VLOOKUP(A267,Codes!$G$2:$H$217,2,0)</f>
        <v>BGR</v>
      </c>
      <c r="C267" s="11">
        <v>4468788</v>
      </c>
      <c r="D267" s="16">
        <v>2019</v>
      </c>
      <c r="E267" s="13">
        <v>7872</v>
      </c>
      <c r="F267" s="8">
        <v>1.7615514542198019</v>
      </c>
    </row>
    <row r="268" spans="1:6" x14ac:dyDescent="0.25">
      <c r="A268" s="4" t="s">
        <v>29</v>
      </c>
      <c r="B268" s="4" t="str">
        <f>VLOOKUP(A268,Codes!$G$2:$H$217,2,0)</f>
        <v>BGR</v>
      </c>
      <c r="C268" s="11">
        <v>4423254</v>
      </c>
      <c r="D268" s="16">
        <v>2020</v>
      </c>
      <c r="E268" s="13">
        <v>6220</v>
      </c>
      <c r="F268" s="8">
        <v>1.4062045724708552</v>
      </c>
    </row>
    <row r="269" spans="1:6" x14ac:dyDescent="0.25">
      <c r="A269" s="3" t="s">
        <v>30</v>
      </c>
      <c r="B269" s="4" t="str">
        <f>VLOOKUP(A269,Codes!$G$2:$H$217,2,0)</f>
        <v>BFA</v>
      </c>
      <c r="C269" s="11">
        <v>10059144</v>
      </c>
      <c r="D269" s="16">
        <v>2017</v>
      </c>
      <c r="E269" s="13">
        <v>2940</v>
      </c>
      <c r="F269" s="8">
        <v>0.29227139009044906</v>
      </c>
    </row>
    <row r="270" spans="1:6" x14ac:dyDescent="0.25">
      <c r="A270" s="4" t="s">
        <v>30</v>
      </c>
      <c r="B270" s="4" t="str">
        <f>VLOOKUP(A270,Codes!$G$2:$H$217,2,0)</f>
        <v>BFA</v>
      </c>
      <c r="C270" s="11">
        <v>10398147</v>
      </c>
      <c r="D270" s="16">
        <v>2018</v>
      </c>
      <c r="E270" s="13">
        <v>3416</v>
      </c>
      <c r="F270" s="8">
        <v>0.32852007189357874</v>
      </c>
    </row>
    <row r="271" spans="1:6" x14ac:dyDescent="0.25">
      <c r="A271" s="3" t="s">
        <v>31</v>
      </c>
      <c r="B271" s="4" t="str">
        <f>VLOOKUP(A271,Codes!$G$2:$H$217,2,0)</f>
        <v>CPV</v>
      </c>
      <c r="C271" s="11">
        <v>289580</v>
      </c>
      <c r="D271" s="12">
        <v>2008</v>
      </c>
      <c r="E271" s="18">
        <v>462</v>
      </c>
      <c r="F271" s="8">
        <v>1.5954140479314869</v>
      </c>
    </row>
    <row r="272" spans="1:6" x14ac:dyDescent="0.25">
      <c r="A272" s="4" t="s">
        <v>31</v>
      </c>
      <c r="B272" s="4" t="str">
        <f>VLOOKUP(A272,Codes!$G$2:$H$217,2,0)</f>
        <v>CPV</v>
      </c>
      <c r="C272" s="11">
        <v>298645</v>
      </c>
      <c r="D272" s="12">
        <v>2009</v>
      </c>
      <c r="E272" s="18">
        <v>782</v>
      </c>
      <c r="F272" s="8">
        <v>2.6184935291064644</v>
      </c>
    </row>
    <row r="273" spans="1:6" x14ac:dyDescent="0.25">
      <c r="A273" s="4" t="s">
        <v>31</v>
      </c>
      <c r="B273" s="4" t="str">
        <f>VLOOKUP(A273,Codes!$G$2:$H$217,2,0)</f>
        <v>CPV</v>
      </c>
      <c r="C273" s="11">
        <v>307218</v>
      </c>
      <c r="D273" s="12">
        <v>2010</v>
      </c>
      <c r="E273" s="18">
        <v>916</v>
      </c>
      <c r="F273" s="8">
        <v>2.9815961304350656</v>
      </c>
    </row>
    <row r="274" spans="1:6" x14ac:dyDescent="0.25">
      <c r="A274" s="4" t="s">
        <v>31</v>
      </c>
      <c r="B274" s="4" t="str">
        <f>VLOOKUP(A274,Codes!$G$2:$H$217,2,0)</f>
        <v>CPV</v>
      </c>
      <c r="C274" s="11">
        <v>315673</v>
      </c>
      <c r="D274" s="12">
        <v>2011</v>
      </c>
      <c r="E274" s="18">
        <v>1197</v>
      </c>
      <c r="F274" s="8">
        <v>3.791898578592404</v>
      </c>
    </row>
    <row r="275" spans="1:6" x14ac:dyDescent="0.25">
      <c r="A275" s="4" t="s">
        <v>31</v>
      </c>
      <c r="B275" s="4" t="str">
        <f>VLOOKUP(A275,Codes!$G$2:$H$217,2,0)</f>
        <v>CPV</v>
      </c>
      <c r="C275" s="11">
        <v>323484</v>
      </c>
      <c r="D275" s="12">
        <v>2012</v>
      </c>
      <c r="E275" s="18">
        <v>949</v>
      </c>
      <c r="F275" s="8">
        <v>2.9336845098984803</v>
      </c>
    </row>
    <row r="276" spans="1:6" x14ac:dyDescent="0.25">
      <c r="A276" s="4" t="s">
        <v>31</v>
      </c>
      <c r="B276" s="4" t="str">
        <f>VLOOKUP(A276,Codes!$G$2:$H$217,2,0)</f>
        <v>CPV</v>
      </c>
      <c r="C276" s="11">
        <v>330683</v>
      </c>
      <c r="D276" s="12">
        <v>2013</v>
      </c>
      <c r="E276" s="18">
        <v>1011</v>
      </c>
      <c r="F276" s="8">
        <v>3.0573086611649223</v>
      </c>
    </row>
    <row r="277" spans="1:6" x14ac:dyDescent="0.25">
      <c r="A277" s="4" t="s">
        <v>31</v>
      </c>
      <c r="B277" s="4" t="str">
        <f>VLOOKUP(A277,Codes!$G$2:$H$217,2,0)</f>
        <v>CPV</v>
      </c>
      <c r="C277" s="11">
        <v>337474</v>
      </c>
      <c r="D277" s="16">
        <v>2014</v>
      </c>
      <c r="E277" s="18">
        <v>1022</v>
      </c>
      <c r="F277" s="8">
        <v>3.0283814456817413</v>
      </c>
    </row>
    <row r="278" spans="1:6" x14ac:dyDescent="0.25">
      <c r="A278" s="4" t="s">
        <v>31</v>
      </c>
      <c r="B278" s="4" t="str">
        <f>VLOOKUP(A278,Codes!$G$2:$H$217,2,0)</f>
        <v>CPV</v>
      </c>
      <c r="C278" s="11">
        <v>343961</v>
      </c>
      <c r="D278" s="16">
        <v>2015</v>
      </c>
      <c r="E278" s="18">
        <v>1281</v>
      </c>
      <c r="F278" s="8">
        <v>3.7242594363895907</v>
      </c>
    </row>
    <row r="279" spans="1:6" x14ac:dyDescent="0.25">
      <c r="A279" s="4" t="s">
        <v>31</v>
      </c>
      <c r="B279" s="4" t="str">
        <f>VLOOKUP(A279,Codes!$G$2:$H$217,2,0)</f>
        <v>CPV</v>
      </c>
      <c r="C279" s="11">
        <v>350175</v>
      </c>
      <c r="D279" s="16">
        <v>2016</v>
      </c>
      <c r="E279" s="18">
        <v>3206</v>
      </c>
      <c r="F279" s="8">
        <v>9.1554222888555739</v>
      </c>
    </row>
    <row r="280" spans="1:6" x14ac:dyDescent="0.25">
      <c r="A280" s="4" t="s">
        <v>31</v>
      </c>
      <c r="B280" s="4" t="str">
        <f>VLOOKUP(A280,Codes!$G$2:$H$217,2,0)</f>
        <v>CPV</v>
      </c>
      <c r="C280" s="11">
        <v>356278</v>
      </c>
      <c r="D280" s="16">
        <v>2017</v>
      </c>
      <c r="E280" s="18">
        <v>4349</v>
      </c>
      <c r="F280" s="8">
        <v>12.206759889749017</v>
      </c>
    </row>
    <row r="281" spans="1:6" x14ac:dyDescent="0.25">
      <c r="A281" s="4" t="s">
        <v>31</v>
      </c>
      <c r="B281" s="4" t="str">
        <f>VLOOKUP(A281,Codes!$G$2:$H$217,2,0)</f>
        <v>CPV</v>
      </c>
      <c r="C281" s="11">
        <v>362217</v>
      </c>
      <c r="D281" s="16">
        <v>2018</v>
      </c>
      <c r="E281" s="18">
        <v>5868</v>
      </c>
      <c r="F281" s="8">
        <v>16.200233561649508</v>
      </c>
    </row>
    <row r="282" spans="1:6" x14ac:dyDescent="0.25">
      <c r="A282" s="4" t="s">
        <v>31</v>
      </c>
      <c r="B282" s="4" t="str">
        <f>VLOOKUP(A282,Codes!$G$2:$H$217,2,0)</f>
        <v>CPV</v>
      </c>
      <c r="C282" s="11">
        <v>367881</v>
      </c>
      <c r="D282" s="16">
        <v>2019</v>
      </c>
      <c r="E282" s="18">
        <v>6023</v>
      </c>
      <c r="F282" s="8">
        <v>16.372142078552578</v>
      </c>
    </row>
    <row r="283" spans="1:6" x14ac:dyDescent="0.25">
      <c r="A283" s="4" t="s">
        <v>31</v>
      </c>
      <c r="B283" s="4" t="str">
        <f>VLOOKUP(A283,Codes!$G$2:$H$217,2,0)</f>
        <v>CPV</v>
      </c>
      <c r="C283" s="11">
        <v>373250</v>
      </c>
      <c r="D283" s="16">
        <v>2020</v>
      </c>
      <c r="E283" s="18">
        <v>4869</v>
      </c>
      <c r="F283" s="8">
        <v>13.044876088412591</v>
      </c>
    </row>
    <row r="284" spans="1:6" x14ac:dyDescent="0.25">
      <c r="A284" s="3" t="s">
        <v>32</v>
      </c>
      <c r="B284" s="4" t="str">
        <f>VLOOKUP(A284,Codes!$G$2:$H$217,2,0)</f>
        <v>KHM</v>
      </c>
      <c r="C284" s="11">
        <v>8126987</v>
      </c>
      <c r="D284" s="12">
        <v>2006</v>
      </c>
      <c r="E284" s="18">
        <v>1670</v>
      </c>
      <c r="F284" s="8">
        <v>0.2054882086067075</v>
      </c>
    </row>
    <row r="285" spans="1:6" x14ac:dyDescent="0.25">
      <c r="A285" s="4" t="s">
        <v>32</v>
      </c>
      <c r="B285" s="4" t="str">
        <f>VLOOKUP(A285,Codes!$G$2:$H$217,2,0)</f>
        <v>KHM</v>
      </c>
      <c r="C285" s="11">
        <v>8350588</v>
      </c>
      <c r="D285" s="12">
        <v>2007</v>
      </c>
      <c r="E285" s="18">
        <v>2826</v>
      </c>
      <c r="F285" s="8">
        <v>0.33841928257028125</v>
      </c>
    </row>
    <row r="286" spans="1:6" x14ac:dyDescent="0.25">
      <c r="A286" s="4" t="s">
        <v>32</v>
      </c>
      <c r="B286" s="4" t="str">
        <f>VLOOKUP(A286,Codes!$G$2:$H$217,2,0)</f>
        <v>KHM</v>
      </c>
      <c r="C286" s="11">
        <v>8576109</v>
      </c>
      <c r="D286" s="12">
        <v>2008</v>
      </c>
      <c r="E286" s="18">
        <v>2744</v>
      </c>
      <c r="F286" s="8">
        <v>0.31995861992892116</v>
      </c>
    </row>
    <row r="287" spans="1:6" x14ac:dyDescent="0.25">
      <c r="A287" s="4" t="s">
        <v>32</v>
      </c>
      <c r="B287" s="4" t="str">
        <f>VLOOKUP(A287,Codes!$G$2:$H$217,2,0)</f>
        <v>KHM</v>
      </c>
      <c r="C287" s="11">
        <v>8797142</v>
      </c>
      <c r="D287" s="12">
        <v>2009</v>
      </c>
      <c r="E287" s="18">
        <v>2003</v>
      </c>
      <c r="F287" s="8">
        <v>0.22768758308095971</v>
      </c>
    </row>
    <row r="288" spans="1:6" x14ac:dyDescent="0.25">
      <c r="A288" s="4" t="s">
        <v>32</v>
      </c>
      <c r="B288" s="4" t="str">
        <f>VLOOKUP(A288,Codes!$G$2:$H$217,2,0)</f>
        <v>KHM</v>
      </c>
      <c r="C288" s="11">
        <v>9008108</v>
      </c>
      <c r="D288" s="12">
        <v>2010</v>
      </c>
      <c r="E288" s="18">
        <v>2572</v>
      </c>
      <c r="F288" s="8">
        <v>0.28552055548179484</v>
      </c>
    </row>
    <row r="289" spans="1:6" x14ac:dyDescent="0.25">
      <c r="A289" s="4" t="s">
        <v>32</v>
      </c>
      <c r="B289" s="4" t="str">
        <f>VLOOKUP(A289,Codes!$G$2:$H$217,2,0)</f>
        <v>KHM</v>
      </c>
      <c r="C289" s="11">
        <v>9202172</v>
      </c>
      <c r="D289" s="12">
        <v>2011</v>
      </c>
      <c r="E289" s="18">
        <v>3104</v>
      </c>
      <c r="F289" s="8">
        <v>0.33731166946238345</v>
      </c>
    </row>
    <row r="290" spans="1:6" x14ac:dyDescent="0.25">
      <c r="A290" s="4" t="s">
        <v>32</v>
      </c>
      <c r="B290" s="4" t="str">
        <f>VLOOKUP(A290,Codes!$G$2:$H$217,2,0)</f>
        <v>KHM</v>
      </c>
      <c r="C290" s="11">
        <v>9406756</v>
      </c>
      <c r="D290" s="12">
        <v>2012</v>
      </c>
      <c r="E290" s="18">
        <v>3385</v>
      </c>
      <c r="F290" s="8">
        <v>0.35984775197740854</v>
      </c>
    </row>
    <row r="291" spans="1:6" x14ac:dyDescent="0.25">
      <c r="A291" s="4" t="s">
        <v>32</v>
      </c>
      <c r="B291" s="4" t="str">
        <f>VLOOKUP(A291,Codes!$G$2:$H$217,2,0)</f>
        <v>KHM</v>
      </c>
      <c r="C291" s="11">
        <v>9610514</v>
      </c>
      <c r="D291" s="12">
        <v>2013</v>
      </c>
      <c r="E291" s="18">
        <v>2986</v>
      </c>
      <c r="F291" s="8">
        <v>0.31070138392181729</v>
      </c>
    </row>
    <row r="292" spans="1:6" x14ac:dyDescent="0.25">
      <c r="A292" s="4" t="s">
        <v>32</v>
      </c>
      <c r="B292" s="4" t="str">
        <f>VLOOKUP(A292,Codes!$G$2:$H$217,2,0)</f>
        <v>KHM</v>
      </c>
      <c r="C292" s="11">
        <v>9802044</v>
      </c>
      <c r="D292" s="16">
        <v>2014</v>
      </c>
      <c r="E292" s="13">
        <v>3850</v>
      </c>
      <c r="F292" s="8">
        <v>0.39277522116815639</v>
      </c>
    </row>
    <row r="293" spans="1:6" x14ac:dyDescent="0.25">
      <c r="A293" s="4" t="s">
        <v>32</v>
      </c>
      <c r="B293" s="4" t="str">
        <f>VLOOKUP(A293,Codes!$G$2:$H$217,2,0)</f>
        <v>KHM</v>
      </c>
      <c r="C293" s="11">
        <v>9976967</v>
      </c>
      <c r="D293" s="16">
        <v>2015</v>
      </c>
      <c r="E293" s="13">
        <v>4417</v>
      </c>
      <c r="F293" s="8">
        <v>0.44271971632260582</v>
      </c>
    </row>
    <row r="294" spans="1:6" x14ac:dyDescent="0.25">
      <c r="A294" s="4" t="s">
        <v>32</v>
      </c>
      <c r="B294" s="4" t="str">
        <f>VLOOKUP(A294,Codes!$G$2:$H$217,2,0)</f>
        <v>KHM</v>
      </c>
      <c r="C294" s="11">
        <v>10146087</v>
      </c>
      <c r="D294" s="16">
        <v>2016</v>
      </c>
      <c r="E294" s="13">
        <v>4238</v>
      </c>
      <c r="F294" s="8">
        <v>0.41769797558408478</v>
      </c>
    </row>
    <row r="295" spans="1:6" x14ac:dyDescent="0.25">
      <c r="A295" s="4" t="s">
        <v>32</v>
      </c>
      <c r="B295" s="4" t="str">
        <f>VLOOKUP(A295,Codes!$G$2:$H$217,2,0)</f>
        <v>KHM</v>
      </c>
      <c r="C295" s="11">
        <v>10296732</v>
      </c>
      <c r="D295" s="16">
        <v>2017</v>
      </c>
      <c r="E295" s="13">
        <v>5432</v>
      </c>
      <c r="F295" s="8">
        <v>0.52754602139785711</v>
      </c>
    </row>
    <row r="296" spans="1:6" x14ac:dyDescent="0.25">
      <c r="A296" s="4" t="s">
        <v>32</v>
      </c>
      <c r="B296" s="4" t="str">
        <f>VLOOKUP(A296,Codes!$G$2:$H$217,2,0)</f>
        <v>KHM</v>
      </c>
      <c r="C296" s="11">
        <v>10437228</v>
      </c>
      <c r="D296" s="16">
        <v>2018</v>
      </c>
      <c r="E296" s="13">
        <v>7007</v>
      </c>
      <c r="F296" s="8">
        <v>0.67134683653552452</v>
      </c>
    </row>
    <row r="297" spans="1:6" x14ac:dyDescent="0.25">
      <c r="A297" s="4" t="s">
        <v>32</v>
      </c>
      <c r="B297" s="4" t="str">
        <f>VLOOKUP(A297,Codes!$G$2:$H$217,2,0)</f>
        <v>KHM</v>
      </c>
      <c r="C297" s="11">
        <v>10581563</v>
      </c>
      <c r="D297" s="16">
        <v>2019</v>
      </c>
      <c r="E297" s="13">
        <v>9605</v>
      </c>
      <c r="F297" s="8">
        <v>0.90771089299378549</v>
      </c>
    </row>
    <row r="298" spans="1:6" x14ac:dyDescent="0.25">
      <c r="A298" s="4" t="s">
        <v>32</v>
      </c>
      <c r="B298" s="4" t="str">
        <f>VLOOKUP(A298,Codes!$G$2:$H$217,2,0)</f>
        <v>KHM</v>
      </c>
      <c r="C298" s="11">
        <v>10737291</v>
      </c>
      <c r="D298" s="16">
        <v>2020</v>
      </c>
      <c r="E298" s="13">
        <v>5824</v>
      </c>
      <c r="F298" s="8">
        <v>0.54240869507960621</v>
      </c>
    </row>
    <row r="299" spans="1:6" x14ac:dyDescent="0.25">
      <c r="A299" s="3" t="s">
        <v>33</v>
      </c>
      <c r="B299" s="4" t="str">
        <f>VLOOKUP(A299,Codes!$G$2:$H$217,2,0)</f>
        <v>CAN</v>
      </c>
      <c r="C299" s="19">
        <v>14948503</v>
      </c>
      <c r="D299" s="16">
        <v>2017</v>
      </c>
      <c r="E299" s="13">
        <v>3052</v>
      </c>
      <c r="F299" s="8">
        <v>0.20416760126415334</v>
      </c>
    </row>
    <row r="300" spans="1:6" x14ac:dyDescent="0.25">
      <c r="A300" s="4" t="s">
        <v>33</v>
      </c>
      <c r="B300" s="4" t="str">
        <f>VLOOKUP(A300,Codes!$G$2:$H$217,2,0)</f>
        <v>CAN</v>
      </c>
      <c r="C300" s="19">
        <v>15118981</v>
      </c>
      <c r="D300" s="16">
        <v>2018</v>
      </c>
      <c r="E300" s="13">
        <v>3262</v>
      </c>
      <c r="F300" s="8">
        <v>0.2157552813909879</v>
      </c>
    </row>
    <row r="301" spans="1:6" x14ac:dyDescent="0.25">
      <c r="A301" s="3" t="s">
        <v>34</v>
      </c>
      <c r="B301" s="4" t="str">
        <f>VLOOKUP(A301,Codes!$G$2:$H$217,2,0)</f>
        <v>CAF</v>
      </c>
      <c r="C301" s="11">
        <v>2291330</v>
      </c>
      <c r="D301" s="12">
        <v>2009</v>
      </c>
      <c r="E301" s="13">
        <v>95</v>
      </c>
      <c r="F301" s="8">
        <v>4.1460636398947336E-2</v>
      </c>
    </row>
    <row r="302" spans="1:6" x14ac:dyDescent="0.25">
      <c r="A302" s="4" t="s">
        <v>34</v>
      </c>
      <c r="B302" s="4" t="str">
        <f>VLOOKUP(A302,Codes!$G$2:$H$217,2,0)</f>
        <v>CAF</v>
      </c>
      <c r="C302" s="11">
        <v>2321452</v>
      </c>
      <c r="D302" s="12">
        <v>2010</v>
      </c>
      <c r="E302" s="13">
        <v>109</v>
      </c>
      <c r="F302" s="8">
        <v>4.6953372285965848E-2</v>
      </c>
    </row>
    <row r="303" spans="1:6" x14ac:dyDescent="0.25">
      <c r="A303" s="4" t="s">
        <v>34</v>
      </c>
      <c r="B303" s="4" t="str">
        <f>VLOOKUP(A303,Codes!$G$2:$H$217,2,0)</f>
        <v>CAF</v>
      </c>
      <c r="C303" s="11">
        <v>2322800</v>
      </c>
      <c r="D303" s="12">
        <v>2011</v>
      </c>
      <c r="E303" s="13">
        <v>125</v>
      </c>
      <c r="F303" s="8">
        <v>5.3814361976924401E-2</v>
      </c>
    </row>
    <row r="304" spans="1:6" x14ac:dyDescent="0.25">
      <c r="A304" s="4" t="s">
        <v>34</v>
      </c>
      <c r="B304" s="4" t="str">
        <f>VLOOKUP(A304,Codes!$G$2:$H$217,2,0)</f>
        <v>CAF</v>
      </c>
      <c r="C304" s="11">
        <v>2320216</v>
      </c>
      <c r="D304" s="12">
        <v>2012</v>
      </c>
      <c r="E304" s="13">
        <v>169</v>
      </c>
      <c r="F304" s="8">
        <v>7.2838046112948099E-2</v>
      </c>
    </row>
    <row r="305" spans="1:6" x14ac:dyDescent="0.25">
      <c r="A305" s="4" t="s">
        <v>34</v>
      </c>
      <c r="B305" s="4" t="str">
        <f>VLOOKUP(A305,Codes!$G$2:$H$217,2,0)</f>
        <v>CAF</v>
      </c>
      <c r="C305" s="11">
        <v>2318195</v>
      </c>
      <c r="D305" s="12">
        <v>2013</v>
      </c>
      <c r="E305" s="13">
        <v>87</v>
      </c>
      <c r="F305" s="8">
        <v>3.7529198363381859E-2</v>
      </c>
    </row>
    <row r="306" spans="1:6" x14ac:dyDescent="0.25">
      <c r="A306" s="4" t="s">
        <v>34</v>
      </c>
      <c r="B306" s="4" t="str">
        <f>VLOOKUP(A306,Codes!$G$2:$H$217,2,0)</f>
        <v>CAF</v>
      </c>
      <c r="C306" s="11">
        <v>2321884</v>
      </c>
      <c r="D306" s="16">
        <v>2014</v>
      </c>
      <c r="E306" s="13">
        <v>87</v>
      </c>
      <c r="F306" s="8">
        <v>3.7469572123327438E-2</v>
      </c>
    </row>
    <row r="307" spans="1:6" x14ac:dyDescent="0.25">
      <c r="A307" s="4" t="s">
        <v>34</v>
      </c>
      <c r="B307" s="4" t="str">
        <f>VLOOKUP(A307,Codes!$G$2:$H$217,2,0)</f>
        <v>CAF</v>
      </c>
      <c r="C307" s="11">
        <v>2334840</v>
      </c>
      <c r="D307" s="16">
        <v>2015</v>
      </c>
      <c r="E307" s="13">
        <v>138</v>
      </c>
      <c r="F307" s="8">
        <v>5.9104692398622601E-2</v>
      </c>
    </row>
    <row r="308" spans="1:6" x14ac:dyDescent="0.25">
      <c r="A308" s="4" t="s">
        <v>34</v>
      </c>
      <c r="B308" s="4" t="str">
        <f>VLOOKUP(A308,Codes!$G$2:$H$217,2,0)</f>
        <v>CAF</v>
      </c>
      <c r="C308" s="11">
        <v>2369232</v>
      </c>
      <c r="D308" s="16">
        <v>2016</v>
      </c>
      <c r="E308" s="13">
        <v>250</v>
      </c>
      <c r="F308" s="8">
        <v>0.10551942570419444</v>
      </c>
    </row>
    <row r="309" spans="1:6" x14ac:dyDescent="0.25">
      <c r="A309" s="4" t="s">
        <v>34</v>
      </c>
      <c r="B309" s="4" t="str">
        <f>VLOOKUP(A309,Codes!$G$2:$H$217,2,0)</f>
        <v>CAF</v>
      </c>
      <c r="C309" s="11">
        <v>2413931</v>
      </c>
      <c r="D309" s="16">
        <v>2017</v>
      </c>
      <c r="E309" s="13">
        <v>265</v>
      </c>
      <c r="F309" s="8">
        <v>0.10977944274297816</v>
      </c>
    </row>
    <row r="310" spans="1:6" x14ac:dyDescent="0.25">
      <c r="A310" s="4" t="s">
        <v>34</v>
      </c>
      <c r="B310" s="4" t="str">
        <f>VLOOKUP(A310,Codes!$G$2:$H$217,2,0)</f>
        <v>CAF</v>
      </c>
      <c r="C310" s="11">
        <v>2467575</v>
      </c>
      <c r="D310" s="16">
        <v>2018</v>
      </c>
      <c r="E310" s="13">
        <v>340</v>
      </c>
      <c r="F310" s="8">
        <v>0.13778709866974662</v>
      </c>
    </row>
    <row r="311" spans="1:6" x14ac:dyDescent="0.25">
      <c r="A311" s="4" t="s">
        <v>34</v>
      </c>
      <c r="B311" s="4" t="str">
        <f>VLOOKUP(A311,Codes!$G$2:$H$217,2,0)</f>
        <v>CAF</v>
      </c>
      <c r="C311" s="11">
        <v>2527529</v>
      </c>
      <c r="D311" s="16">
        <v>2019</v>
      </c>
      <c r="E311" s="13">
        <v>319</v>
      </c>
      <c r="F311" s="8">
        <v>0.12621022350287575</v>
      </c>
    </row>
    <row r="312" spans="1:6" x14ac:dyDescent="0.25">
      <c r="A312" s="4" t="s">
        <v>34</v>
      </c>
      <c r="B312" s="4" t="str">
        <f>VLOOKUP(A312,Codes!$G$2:$H$217,2,0)</f>
        <v>CAF</v>
      </c>
      <c r="C312" s="11">
        <v>2591658</v>
      </c>
      <c r="D312" s="16">
        <v>2020</v>
      </c>
      <c r="E312" s="13">
        <v>335</v>
      </c>
      <c r="F312" s="8">
        <v>0.12926088241581257</v>
      </c>
    </row>
    <row r="313" spans="1:6" x14ac:dyDescent="0.25">
      <c r="A313" s="3" t="s">
        <v>35</v>
      </c>
      <c r="B313" s="4" t="str">
        <f>VLOOKUP(A313,Codes!$G$2:$H$217,2,0)</f>
        <v>TCD</v>
      </c>
      <c r="C313" s="11">
        <v>6260843</v>
      </c>
      <c r="D313" s="12">
        <v>2012</v>
      </c>
      <c r="E313" s="18">
        <v>805</v>
      </c>
      <c r="F313" s="8">
        <v>0.12857693444796492</v>
      </c>
    </row>
    <row r="314" spans="1:6" x14ac:dyDescent="0.25">
      <c r="A314" s="4" t="s">
        <v>35</v>
      </c>
      <c r="B314" s="4" t="str">
        <f>VLOOKUP(A314,Codes!$G$2:$H$217,2,0)</f>
        <v>TCD</v>
      </c>
      <c r="C314" s="11">
        <v>6503160</v>
      </c>
      <c r="D314" s="12">
        <v>2013</v>
      </c>
      <c r="E314" s="18">
        <v>904</v>
      </c>
      <c r="F314" s="8">
        <v>0.13900934315009933</v>
      </c>
    </row>
    <row r="315" spans="1:6" x14ac:dyDescent="0.25">
      <c r="A315" s="4" t="s">
        <v>35</v>
      </c>
      <c r="B315" s="4" t="str">
        <f>VLOOKUP(A315,Codes!$G$2:$H$217,2,0)</f>
        <v>TCD</v>
      </c>
      <c r="C315" s="11">
        <v>6755405</v>
      </c>
      <c r="D315" s="16">
        <v>2014</v>
      </c>
      <c r="E315" s="13">
        <v>927</v>
      </c>
      <c r="F315" s="8">
        <v>0.13722345292399196</v>
      </c>
    </row>
    <row r="316" spans="1:6" x14ac:dyDescent="0.25">
      <c r="A316" s="4" t="s">
        <v>35</v>
      </c>
      <c r="B316" s="4" t="str">
        <f>VLOOKUP(A316,Codes!$G$2:$H$217,2,0)</f>
        <v>TCD</v>
      </c>
      <c r="C316" s="11">
        <v>7015781</v>
      </c>
      <c r="D316" s="16">
        <v>2015</v>
      </c>
      <c r="E316" s="13">
        <v>768</v>
      </c>
      <c r="F316" s="8">
        <v>0.10946749905676929</v>
      </c>
    </row>
    <row r="317" spans="1:6" x14ac:dyDescent="0.25">
      <c r="A317" s="4" t="s">
        <v>35</v>
      </c>
      <c r="B317" s="4" t="str">
        <f>VLOOKUP(A317,Codes!$G$2:$H$217,2,0)</f>
        <v>TCD</v>
      </c>
      <c r="C317" s="11">
        <v>7267359</v>
      </c>
      <c r="D317" s="16">
        <v>2016</v>
      </c>
      <c r="E317" s="13">
        <v>702</v>
      </c>
      <c r="F317" s="8">
        <v>9.6596301352389502E-2</v>
      </c>
    </row>
    <row r="318" spans="1:6" x14ac:dyDescent="0.25">
      <c r="A318" s="4" t="s">
        <v>35</v>
      </c>
      <c r="B318" s="4" t="str">
        <f>VLOOKUP(A318,Codes!$G$2:$H$217,2,0)</f>
        <v>TCD</v>
      </c>
      <c r="C318" s="11">
        <v>7528309</v>
      </c>
      <c r="D318" s="16">
        <v>2017</v>
      </c>
      <c r="E318" s="13">
        <v>780</v>
      </c>
      <c r="F318" s="8">
        <v>0.10360892466023912</v>
      </c>
    </row>
    <row r="319" spans="1:6" x14ac:dyDescent="0.25">
      <c r="A319" s="4" t="s">
        <v>35</v>
      </c>
      <c r="B319" s="4" t="str">
        <f>VLOOKUP(A319,Codes!$G$2:$H$217,2,0)</f>
        <v>TCD</v>
      </c>
      <c r="C319" s="11">
        <v>7799719</v>
      </c>
      <c r="D319" s="16">
        <v>2018</v>
      </c>
      <c r="E319" s="13">
        <v>878</v>
      </c>
      <c r="F319" s="8">
        <v>0.11256815790415013</v>
      </c>
    </row>
    <row r="320" spans="1:6" x14ac:dyDescent="0.25">
      <c r="A320" s="3" t="s">
        <v>36</v>
      </c>
      <c r="B320" s="4" t="str">
        <f>VLOOKUP(A320,Codes!$G$2:$H$217,2,0)</f>
        <v>CHL</v>
      </c>
      <c r="C320" s="11">
        <v>12103916</v>
      </c>
      <c r="D320" s="12">
        <v>2013</v>
      </c>
      <c r="E320" s="20">
        <v>85418</v>
      </c>
      <c r="F320" s="8">
        <v>7.0570549233818216</v>
      </c>
    </row>
    <row r="321" spans="1:6" x14ac:dyDescent="0.25">
      <c r="A321" s="4" t="s">
        <v>36</v>
      </c>
      <c r="B321" s="4" t="str">
        <f>VLOOKUP(A321,Codes!$G$2:$H$217,2,0)</f>
        <v>CHL</v>
      </c>
      <c r="C321" s="11">
        <v>12234050</v>
      </c>
      <c r="D321" s="16">
        <v>2014</v>
      </c>
      <c r="E321" s="13">
        <v>98433</v>
      </c>
      <c r="F321" s="8">
        <v>8.0458229286295211</v>
      </c>
    </row>
    <row r="322" spans="1:6" x14ac:dyDescent="0.25">
      <c r="A322" s="4" t="s">
        <v>36</v>
      </c>
      <c r="B322" s="4" t="str">
        <f>VLOOKUP(A322,Codes!$G$2:$H$217,2,0)</f>
        <v>CHL</v>
      </c>
      <c r="C322" s="11">
        <v>12369487</v>
      </c>
      <c r="D322" s="16">
        <v>2015</v>
      </c>
      <c r="E322" s="13">
        <v>102914</v>
      </c>
      <c r="F322" s="8">
        <v>8.3199893415143258</v>
      </c>
    </row>
    <row r="323" spans="1:6" x14ac:dyDescent="0.25">
      <c r="A323" s="4" t="s">
        <v>36</v>
      </c>
      <c r="B323" s="4" t="str">
        <f>VLOOKUP(A323,Codes!$G$2:$H$217,2,0)</f>
        <v>CHL</v>
      </c>
      <c r="C323" s="11">
        <v>12531893</v>
      </c>
      <c r="D323" s="16">
        <v>2016</v>
      </c>
      <c r="E323" s="13">
        <v>109880</v>
      </c>
      <c r="F323" s="8">
        <v>8.7680289003425091</v>
      </c>
    </row>
    <row r="324" spans="1:6" x14ac:dyDescent="0.25">
      <c r="A324" s="4" t="s">
        <v>36</v>
      </c>
      <c r="B324" s="4" t="str">
        <f>VLOOKUP(A324,Codes!$G$2:$H$217,2,0)</f>
        <v>CHL</v>
      </c>
      <c r="C324" s="11">
        <v>12704687</v>
      </c>
      <c r="D324" s="16">
        <v>2017</v>
      </c>
      <c r="E324" s="13">
        <v>118724</v>
      </c>
      <c r="F324" s="8">
        <v>9.3448976743779681</v>
      </c>
    </row>
    <row r="325" spans="1:6" x14ac:dyDescent="0.25">
      <c r="A325" s="4" t="s">
        <v>36</v>
      </c>
      <c r="B325" s="4" t="str">
        <f>VLOOKUP(A325,Codes!$G$2:$H$217,2,0)</f>
        <v>CHL</v>
      </c>
      <c r="C325" s="11">
        <v>12869989</v>
      </c>
      <c r="D325" s="16">
        <v>2018</v>
      </c>
      <c r="E325" s="13">
        <v>132740</v>
      </c>
      <c r="F325" s="8">
        <v>10.3139171292221</v>
      </c>
    </row>
    <row r="326" spans="1:6" x14ac:dyDescent="0.25">
      <c r="A326" s="4" t="s">
        <v>36</v>
      </c>
      <c r="B326" s="4" t="str">
        <f>VLOOKUP(A326,Codes!$G$2:$H$217,2,0)</f>
        <v>CHL</v>
      </c>
      <c r="C326" s="11">
        <v>13005680</v>
      </c>
      <c r="D326" s="16">
        <v>2019</v>
      </c>
      <c r="E326" s="13">
        <v>138587</v>
      </c>
      <c r="F326" s="8">
        <v>10.655882660499106</v>
      </c>
    </row>
    <row r="327" spans="1:6" x14ac:dyDescent="0.25">
      <c r="A327" s="4" t="s">
        <v>36</v>
      </c>
      <c r="B327" s="4" t="str">
        <f>VLOOKUP(A327,Codes!$G$2:$H$217,2,0)</f>
        <v>CHL</v>
      </c>
      <c r="C327" s="11">
        <v>13098161</v>
      </c>
      <c r="D327" s="16">
        <v>2020</v>
      </c>
      <c r="E327" s="13">
        <v>158583</v>
      </c>
      <c r="F327" s="8">
        <v>12.107272158282372</v>
      </c>
    </row>
    <row r="328" spans="1:6" x14ac:dyDescent="0.25">
      <c r="A328" s="3" t="s">
        <v>37</v>
      </c>
      <c r="B328" s="4" t="str">
        <f>VLOOKUP(A328,Codes!$G$2:$H$217,2,0)</f>
        <v>CHN</v>
      </c>
      <c r="C328" s="11">
        <v>26612900</v>
      </c>
      <c r="D328" s="12">
        <v>2010</v>
      </c>
      <c r="E328" s="13">
        <v>95252</v>
      </c>
      <c r="F328" s="8">
        <v>3.5791664944444239</v>
      </c>
    </row>
    <row r="329" spans="1:6" x14ac:dyDescent="0.25">
      <c r="A329" s="4" t="s">
        <v>37</v>
      </c>
      <c r="B329" s="4" t="str">
        <f>VLOOKUP(A329,Codes!$G$2:$H$217,2,0)</f>
        <v>CHN</v>
      </c>
      <c r="C329" s="11">
        <v>26900700</v>
      </c>
      <c r="D329" s="12">
        <v>2011</v>
      </c>
      <c r="E329" s="13">
        <v>102893</v>
      </c>
      <c r="F329" s="8">
        <v>3.8249190541510076</v>
      </c>
    </row>
    <row r="330" spans="1:6" x14ac:dyDescent="0.25">
      <c r="A330" s="4" t="s">
        <v>37</v>
      </c>
      <c r="B330" s="4" t="str">
        <f>VLOOKUP(A330,Codes!$G$2:$H$217,2,0)</f>
        <v>CHN</v>
      </c>
      <c r="C330" s="11">
        <v>27153400</v>
      </c>
      <c r="D330" s="12">
        <v>2012</v>
      </c>
      <c r="E330" s="13">
        <v>103532</v>
      </c>
      <c r="F330" s="8">
        <v>3.8128558486230086</v>
      </c>
    </row>
    <row r="331" spans="1:6" x14ac:dyDescent="0.25">
      <c r="A331" s="4" t="s">
        <v>37</v>
      </c>
      <c r="B331" s="4" t="str">
        <f>VLOOKUP(A331,Codes!$G$2:$H$217,2,0)</f>
        <v>CHN</v>
      </c>
      <c r="C331" s="11">
        <v>27424043</v>
      </c>
      <c r="D331" s="12">
        <v>2013</v>
      </c>
      <c r="E331" s="13">
        <v>117997</v>
      </c>
      <c r="F331" s="8">
        <v>4.3026843270337638</v>
      </c>
    </row>
    <row r="332" spans="1:6" x14ac:dyDescent="0.25">
      <c r="A332" s="4" t="s">
        <v>37</v>
      </c>
      <c r="B332" s="4" t="str">
        <f>VLOOKUP(A332,Codes!$G$2:$H$217,2,0)</f>
        <v>CHN</v>
      </c>
      <c r="C332" s="11">
        <v>27364500</v>
      </c>
      <c r="D332" s="16">
        <v>2014</v>
      </c>
      <c r="E332" s="13">
        <v>188558</v>
      </c>
      <c r="F332" s="8">
        <v>6.8906064426538034</v>
      </c>
    </row>
    <row r="333" spans="1:6" x14ac:dyDescent="0.25">
      <c r="A333" s="4" t="s">
        <v>37</v>
      </c>
      <c r="B333" s="4" t="str">
        <f>VLOOKUP(A333,Codes!$G$2:$H$217,2,0)</f>
        <v>CHN</v>
      </c>
      <c r="C333" s="11">
        <v>27261400</v>
      </c>
      <c r="D333" s="16">
        <v>2015</v>
      </c>
      <c r="E333" s="13">
        <v>210086</v>
      </c>
      <c r="F333" s="8">
        <v>7.706354039044216</v>
      </c>
    </row>
    <row r="334" spans="1:6" x14ac:dyDescent="0.25">
      <c r="A334" s="4" t="s">
        <v>37</v>
      </c>
      <c r="B334" s="4" t="str">
        <f>VLOOKUP(A334,Codes!$G$2:$H$217,2,0)</f>
        <v>CHN</v>
      </c>
      <c r="C334" s="11">
        <v>27013000</v>
      </c>
      <c r="D334" s="16">
        <v>2016</v>
      </c>
      <c r="E334" s="13">
        <v>245321</v>
      </c>
      <c r="F334" s="8">
        <v>9.081590345389257</v>
      </c>
    </row>
    <row r="335" spans="1:6" x14ac:dyDescent="0.25">
      <c r="A335" s="4" t="s">
        <v>37</v>
      </c>
      <c r="B335" s="4" t="str">
        <f>VLOOKUP(A335,Codes!$G$2:$H$217,2,0)</f>
        <v>CHN</v>
      </c>
      <c r="C335" s="11">
        <v>26731000</v>
      </c>
      <c r="D335" s="16">
        <v>2017</v>
      </c>
      <c r="E335" s="13">
        <v>229299</v>
      </c>
      <c r="F335" s="8">
        <v>8.578018031499008</v>
      </c>
    </row>
    <row r="336" spans="1:6" x14ac:dyDescent="0.25">
      <c r="A336" s="4" t="s">
        <v>37</v>
      </c>
      <c r="B336" s="4" t="str">
        <f>VLOOKUP(A336,Codes!$G$2:$H$217,2,0)</f>
        <v>CHN</v>
      </c>
      <c r="C336" s="11">
        <v>26364300</v>
      </c>
      <c r="D336" s="16">
        <v>2018</v>
      </c>
      <c r="E336" s="13">
        <v>228559</v>
      </c>
      <c r="F336" s="8">
        <v>8.6692610841175366</v>
      </c>
    </row>
    <row r="337" spans="1:6" x14ac:dyDescent="0.25">
      <c r="A337" s="4" t="s">
        <v>37</v>
      </c>
      <c r="B337" s="4" t="str">
        <f>VLOOKUP(A337,Codes!$G$2:$H$217,2,0)</f>
        <v>CHN</v>
      </c>
      <c r="C337" s="11">
        <v>25996976</v>
      </c>
      <c r="D337" s="16">
        <v>2019</v>
      </c>
      <c r="E337" s="13">
        <v>211960</v>
      </c>
      <c r="F337" s="8">
        <v>8.153255978695368</v>
      </c>
    </row>
    <row r="338" spans="1:6" x14ac:dyDescent="0.25">
      <c r="A338" s="4" t="s">
        <v>37</v>
      </c>
      <c r="B338" s="4" t="str">
        <f>VLOOKUP(A338,Codes!$G$2:$H$217,2,0)</f>
        <v>CHN</v>
      </c>
      <c r="C338" s="11">
        <v>27035300</v>
      </c>
      <c r="D338" s="16">
        <v>2020</v>
      </c>
      <c r="E338" s="13">
        <v>232064</v>
      </c>
      <c r="F338" s="8">
        <v>8.5837405170277385</v>
      </c>
    </row>
    <row r="339" spans="1:6" x14ac:dyDescent="0.25">
      <c r="A339" s="3" t="s">
        <v>38</v>
      </c>
      <c r="B339" s="4" t="str">
        <f>VLOOKUP(A339,Codes!$G$2:$H$217,2,0)</f>
        <v>COL</v>
      </c>
      <c r="C339" s="11">
        <v>31271416</v>
      </c>
      <c r="D339" s="12">
        <v>2013</v>
      </c>
      <c r="E339" s="13">
        <v>61559</v>
      </c>
      <c r="F339" s="8">
        <v>1.9685389366442505</v>
      </c>
    </row>
    <row r="340" spans="1:6" x14ac:dyDescent="0.25">
      <c r="A340" s="4" t="s">
        <v>38</v>
      </c>
      <c r="B340" s="4" t="str">
        <f>VLOOKUP(A340,Codes!$G$2:$H$217,2,0)</f>
        <v>COL</v>
      </c>
      <c r="C340" s="11">
        <v>31717551</v>
      </c>
      <c r="D340" s="16">
        <v>2014</v>
      </c>
      <c r="E340" s="13">
        <v>69841</v>
      </c>
      <c r="F340" s="8">
        <v>2.2019669803636481</v>
      </c>
    </row>
    <row r="341" spans="1:6" x14ac:dyDescent="0.25">
      <c r="A341" s="4" t="s">
        <v>38</v>
      </c>
      <c r="B341" s="4" t="str">
        <f>VLOOKUP(A341,Codes!$G$2:$H$217,2,0)</f>
        <v>COL</v>
      </c>
      <c r="C341" s="11">
        <v>32207435</v>
      </c>
      <c r="D341" s="16">
        <v>2015</v>
      </c>
      <c r="E341" s="13">
        <v>61033</v>
      </c>
      <c r="F341" s="8">
        <v>1.8949972265720632</v>
      </c>
    </row>
    <row r="342" spans="1:6" x14ac:dyDescent="0.25">
      <c r="A342" s="4" t="s">
        <v>38</v>
      </c>
      <c r="B342" s="4" t="str">
        <f>VLOOKUP(A342,Codes!$G$2:$H$217,2,0)</f>
        <v>COL</v>
      </c>
      <c r="C342" s="11">
        <v>32767678</v>
      </c>
      <c r="D342" s="16">
        <v>2016</v>
      </c>
      <c r="E342" s="13">
        <v>68460</v>
      </c>
      <c r="F342" s="8">
        <v>2.0892539288258387</v>
      </c>
    </row>
    <row r="343" spans="1:6" x14ac:dyDescent="0.25">
      <c r="A343" s="4" t="s">
        <v>38</v>
      </c>
      <c r="B343" s="4" t="str">
        <f>VLOOKUP(A343,Codes!$G$2:$H$217,2,0)</f>
        <v>COL</v>
      </c>
      <c r="C343" s="11">
        <v>33378033</v>
      </c>
      <c r="D343" s="16">
        <v>2017</v>
      </c>
      <c r="E343" s="13">
        <v>66780</v>
      </c>
      <c r="F343" s="8">
        <v>2.0007170584318135</v>
      </c>
    </row>
    <row r="344" spans="1:6" x14ac:dyDescent="0.25">
      <c r="A344" s="4" t="s">
        <v>38</v>
      </c>
      <c r="B344" s="4" t="str">
        <f>VLOOKUP(A344,Codes!$G$2:$H$217,2,0)</f>
        <v>COL</v>
      </c>
      <c r="C344" s="11">
        <v>33990041</v>
      </c>
      <c r="D344" s="16">
        <v>2018</v>
      </c>
      <c r="E344" s="13">
        <v>67983</v>
      </c>
      <c r="F344" s="8">
        <v>2.0000858486754987</v>
      </c>
    </row>
    <row r="345" spans="1:6" x14ac:dyDescent="0.25">
      <c r="A345" s="4" t="s">
        <v>38</v>
      </c>
      <c r="B345" s="4" t="str">
        <f>VLOOKUP(A345,Codes!$G$2:$H$217,2,0)</f>
        <v>COL</v>
      </c>
      <c r="C345" s="11">
        <v>34539596</v>
      </c>
      <c r="D345" s="16">
        <v>2019</v>
      </c>
      <c r="E345" s="13">
        <v>74706</v>
      </c>
      <c r="F345" s="8">
        <v>2.1629089118471447</v>
      </c>
    </row>
    <row r="346" spans="1:6" x14ac:dyDescent="0.25">
      <c r="A346" s="4" t="s">
        <v>38</v>
      </c>
      <c r="B346" s="4" t="str">
        <f>VLOOKUP(A346,Codes!$G$2:$H$217,2,0)</f>
        <v>COL</v>
      </c>
      <c r="C346" s="11">
        <v>34984968</v>
      </c>
      <c r="D346" s="16">
        <v>2020</v>
      </c>
      <c r="E346" s="13">
        <v>68749</v>
      </c>
      <c r="F346" s="8">
        <v>1.9651011257177655</v>
      </c>
    </row>
    <row r="347" spans="1:6" x14ac:dyDescent="0.25">
      <c r="A347" s="3" t="s">
        <v>39</v>
      </c>
      <c r="B347" s="4" t="str">
        <f>VLOOKUP(A347,Codes!$G$2:$H$217,2,0)</f>
        <v>COM</v>
      </c>
      <c r="C347" s="11">
        <v>478207</v>
      </c>
      <c r="D347" s="16">
        <v>2018</v>
      </c>
      <c r="E347" s="13">
        <v>78</v>
      </c>
      <c r="F347" s="8">
        <v>0.1631092811272106</v>
      </c>
    </row>
    <row r="348" spans="1:6" x14ac:dyDescent="0.25">
      <c r="A348" s="3" t="s">
        <v>40</v>
      </c>
      <c r="B348" s="4" t="str">
        <f>VLOOKUP(A348,Codes!$G$2:$H$217,2,0)</f>
        <v>COD</v>
      </c>
      <c r="C348" s="11">
        <v>38608872</v>
      </c>
      <c r="D348" s="16">
        <v>2015</v>
      </c>
      <c r="E348" s="13">
        <v>1701</v>
      </c>
      <c r="F348" s="8">
        <v>4.4057231198052091E-2</v>
      </c>
    </row>
    <row r="349" spans="1:6" x14ac:dyDescent="0.25">
      <c r="A349" s="4" t="s">
        <v>40</v>
      </c>
      <c r="B349" s="4" t="str">
        <f>VLOOKUP(A349,Codes!$G$2:$H$217,2,0)</f>
        <v>COD</v>
      </c>
      <c r="C349" s="11">
        <v>39893705</v>
      </c>
      <c r="D349" s="16">
        <v>2016</v>
      </c>
      <c r="E349" s="13">
        <v>1565</v>
      </c>
      <c r="F349" s="8">
        <v>3.922924681976768E-2</v>
      </c>
    </row>
    <row r="350" spans="1:6" x14ac:dyDescent="0.25">
      <c r="A350" s="4" t="s">
        <v>40</v>
      </c>
      <c r="B350" s="4" t="str">
        <f>VLOOKUP(A350,Codes!$G$2:$H$217,2,0)</f>
        <v>COD</v>
      </c>
      <c r="C350" s="11">
        <v>41266544</v>
      </c>
      <c r="D350" s="16">
        <v>2017</v>
      </c>
      <c r="E350" s="13">
        <v>1464</v>
      </c>
      <c r="F350" s="8">
        <v>3.5476680576885716E-2</v>
      </c>
    </row>
    <row r="351" spans="1:6" x14ac:dyDescent="0.25">
      <c r="A351" s="4" t="s">
        <v>40</v>
      </c>
      <c r="B351" s="4" t="str">
        <f>VLOOKUP(A351,Codes!$G$2:$H$217,2,0)</f>
        <v>COD</v>
      </c>
      <c r="C351" s="11">
        <v>42720477</v>
      </c>
      <c r="D351" s="16">
        <v>2018</v>
      </c>
      <c r="E351" s="13">
        <v>2102</v>
      </c>
      <c r="F351" s="8">
        <v>4.9203570456387929E-2</v>
      </c>
    </row>
    <row r="352" spans="1:6" x14ac:dyDescent="0.25">
      <c r="A352" s="4" t="s">
        <v>40</v>
      </c>
      <c r="B352" s="4" t="str">
        <f>VLOOKUP(A352,Codes!$G$2:$H$217,2,0)</f>
        <v>COD</v>
      </c>
      <c r="C352" s="11">
        <v>44247274</v>
      </c>
      <c r="D352" s="16">
        <v>2019</v>
      </c>
      <c r="E352" s="13">
        <v>1480</v>
      </c>
      <c r="F352" s="8">
        <v>3.3448388255511517E-2</v>
      </c>
    </row>
    <row r="353" spans="1:6" x14ac:dyDescent="0.25">
      <c r="A353" s="4" t="s">
        <v>40</v>
      </c>
      <c r="B353" s="4" t="str">
        <f>VLOOKUP(A353,Codes!$G$2:$H$217,2,0)</f>
        <v>COD</v>
      </c>
      <c r="C353" s="11">
        <v>45843026</v>
      </c>
      <c r="D353" s="16">
        <v>2020</v>
      </c>
      <c r="E353" s="13">
        <v>1795</v>
      </c>
      <c r="F353" s="8">
        <v>3.9155355931347113E-2</v>
      </c>
    </row>
    <row r="354" spans="1:6" x14ac:dyDescent="0.25">
      <c r="A354" s="3" t="s">
        <v>245</v>
      </c>
      <c r="B354" s="4" t="e">
        <f>VLOOKUP(A354,Codes!$G$2:$H$217,2,0)</f>
        <v>#N/A</v>
      </c>
      <c r="C354" s="19">
        <v>8027</v>
      </c>
      <c r="D354" s="12">
        <v>2006</v>
      </c>
      <c r="E354" s="18">
        <v>117</v>
      </c>
      <c r="F354" s="8">
        <v>14.575806652547652</v>
      </c>
    </row>
    <row r="355" spans="1:6" x14ac:dyDescent="0.25">
      <c r="A355" s="4" t="s">
        <v>245</v>
      </c>
      <c r="B355" s="4" t="e">
        <f>VLOOKUP(A355,Codes!$G$2:$H$217,2,0)</f>
        <v>#N/A</v>
      </c>
      <c r="C355" s="19">
        <v>7875</v>
      </c>
      <c r="D355" s="12">
        <v>2007</v>
      </c>
      <c r="E355" s="18">
        <v>103</v>
      </c>
      <c r="F355" s="8">
        <v>13.079365079365079</v>
      </c>
    </row>
    <row r="356" spans="1:6" x14ac:dyDescent="0.25">
      <c r="A356" s="4" t="s">
        <v>245</v>
      </c>
      <c r="B356" s="4" t="e">
        <f>VLOOKUP(A356,Codes!$G$2:$H$217,2,0)</f>
        <v>#N/A</v>
      </c>
      <c r="C356" s="19">
        <v>7720</v>
      </c>
      <c r="D356" s="12">
        <v>2008</v>
      </c>
      <c r="E356" s="18">
        <v>118</v>
      </c>
      <c r="F356" s="8">
        <v>15.284974093264248</v>
      </c>
    </row>
    <row r="357" spans="1:6" x14ac:dyDescent="0.25">
      <c r="A357" s="4" t="s">
        <v>245</v>
      </c>
      <c r="B357" s="4" t="e">
        <f>VLOOKUP(A357,Codes!$G$2:$H$217,2,0)</f>
        <v>#N/A</v>
      </c>
      <c r="C357" s="19">
        <v>7562</v>
      </c>
      <c r="D357" s="12">
        <v>2009</v>
      </c>
      <c r="E357" s="18">
        <v>81</v>
      </c>
      <c r="F357" s="8">
        <v>10.711451996826236</v>
      </c>
    </row>
    <row r="358" spans="1:6" x14ac:dyDescent="0.25">
      <c r="A358" s="4" t="s">
        <v>245</v>
      </c>
      <c r="B358" s="4" t="e">
        <f>VLOOKUP(A358,Codes!$G$2:$H$217,2,0)</f>
        <v>#N/A</v>
      </c>
      <c r="C358" s="19">
        <v>7562</v>
      </c>
      <c r="D358" s="12">
        <v>2010</v>
      </c>
      <c r="E358" s="18">
        <v>89</v>
      </c>
      <c r="F358" s="8">
        <v>11.769373181697963</v>
      </c>
    </row>
    <row r="359" spans="1:6" x14ac:dyDescent="0.25">
      <c r="A359" s="4" t="s">
        <v>245</v>
      </c>
      <c r="B359" s="4" t="e">
        <f>VLOOKUP(A359,Codes!$G$2:$H$217,2,0)</f>
        <v>#N/A</v>
      </c>
      <c r="C359" s="19">
        <v>7562</v>
      </c>
      <c r="D359" s="12">
        <v>2011</v>
      </c>
      <c r="E359" s="18">
        <v>90</v>
      </c>
      <c r="F359" s="8">
        <v>11.90161332980693</v>
      </c>
    </row>
    <row r="360" spans="1:6" x14ac:dyDescent="0.25">
      <c r="A360" s="4" t="s">
        <v>245</v>
      </c>
      <c r="B360" s="4" t="e">
        <f>VLOOKUP(A360,Codes!$G$2:$H$217,2,0)</f>
        <v>#N/A</v>
      </c>
      <c r="C360" s="19">
        <v>7562</v>
      </c>
      <c r="D360" s="12">
        <v>2012</v>
      </c>
      <c r="E360" s="18">
        <v>77</v>
      </c>
      <c r="F360" s="8">
        <v>10.182491404390374</v>
      </c>
    </row>
    <row r="361" spans="1:6" x14ac:dyDescent="0.25">
      <c r="A361" s="4" t="s">
        <v>245</v>
      </c>
      <c r="B361" s="4" t="e">
        <f>VLOOKUP(A361,Codes!$G$2:$H$217,2,0)</f>
        <v>#N/A</v>
      </c>
      <c r="C361" s="19">
        <v>7562</v>
      </c>
      <c r="D361" s="12">
        <v>2013</v>
      </c>
      <c r="E361" s="18">
        <v>71</v>
      </c>
      <c r="F361" s="8">
        <v>9.389050515736578</v>
      </c>
    </row>
    <row r="362" spans="1:6" x14ac:dyDescent="0.25">
      <c r="A362" s="4" t="s">
        <v>245</v>
      </c>
      <c r="B362" s="4" t="e">
        <f>VLOOKUP(A362,Codes!$G$2:$H$217,2,0)</f>
        <v>#N/A</v>
      </c>
      <c r="C362" s="19">
        <v>7562</v>
      </c>
      <c r="D362" s="16">
        <v>2014</v>
      </c>
      <c r="E362" s="13">
        <v>88</v>
      </c>
      <c r="F362" s="8">
        <v>11.637133033588997</v>
      </c>
    </row>
    <row r="363" spans="1:6" x14ac:dyDescent="0.25">
      <c r="A363" s="4" t="s">
        <v>245</v>
      </c>
      <c r="B363" s="4" t="e">
        <f>VLOOKUP(A363,Codes!$G$2:$H$217,2,0)</f>
        <v>#N/A</v>
      </c>
      <c r="C363" s="19">
        <v>6367</v>
      </c>
      <c r="D363" s="16">
        <v>2015</v>
      </c>
      <c r="E363" s="13">
        <v>98</v>
      </c>
      <c r="F363" s="8">
        <v>15.391864300298414</v>
      </c>
    </row>
    <row r="364" spans="1:6" x14ac:dyDescent="0.25">
      <c r="A364" s="4" t="s">
        <v>245</v>
      </c>
      <c r="B364" s="4" t="e">
        <f>VLOOKUP(A364,Codes!$G$2:$H$217,2,0)</f>
        <v>#N/A</v>
      </c>
      <c r="C364" s="19">
        <v>6367</v>
      </c>
      <c r="D364" s="16">
        <v>2016</v>
      </c>
      <c r="E364" s="13">
        <v>92</v>
      </c>
      <c r="F364" s="8">
        <v>14.449505261504633</v>
      </c>
    </row>
    <row r="365" spans="1:6" x14ac:dyDescent="0.25">
      <c r="A365" s="3" t="s">
        <v>41</v>
      </c>
      <c r="B365" s="4" t="str">
        <f>VLOOKUP(A365,Codes!$G$2:$H$217,2,0)</f>
        <v>CRI</v>
      </c>
      <c r="C365" s="11">
        <v>3271322</v>
      </c>
      <c r="D365" s="12">
        <v>2013</v>
      </c>
      <c r="E365" s="13">
        <v>10273</v>
      </c>
      <c r="F365" s="8">
        <v>3.1403206410130218</v>
      </c>
    </row>
    <row r="366" spans="1:6" x14ac:dyDescent="0.25">
      <c r="A366" s="4" t="s">
        <v>41</v>
      </c>
      <c r="B366" s="4" t="str">
        <f>VLOOKUP(A366,Codes!$G$2:$H$217,2,0)</f>
        <v>CRI</v>
      </c>
      <c r="C366" s="11">
        <v>3313654</v>
      </c>
      <c r="D366" s="16">
        <v>2014</v>
      </c>
      <c r="E366" s="13">
        <v>10965</v>
      </c>
      <c r="F366" s="8">
        <v>3.3090358860641453</v>
      </c>
    </row>
    <row r="367" spans="1:6" x14ac:dyDescent="0.25">
      <c r="A367" s="4" t="s">
        <v>41</v>
      </c>
      <c r="B367" s="4" t="str">
        <f>VLOOKUP(A367,Codes!$G$2:$H$217,2,0)</f>
        <v>CRI</v>
      </c>
      <c r="C367" s="11">
        <v>3353092</v>
      </c>
      <c r="D367" s="16">
        <v>2015</v>
      </c>
      <c r="E367" s="13">
        <v>13154</v>
      </c>
      <c r="F367" s="8">
        <v>3.9229463432557172</v>
      </c>
    </row>
    <row r="368" spans="1:6" x14ac:dyDescent="0.25">
      <c r="A368" s="4" t="s">
        <v>41</v>
      </c>
      <c r="B368" s="4" t="str">
        <f>VLOOKUP(A368,Codes!$G$2:$H$217,2,0)</f>
        <v>CRI</v>
      </c>
      <c r="C368" s="11">
        <v>3389553</v>
      </c>
      <c r="D368" s="16">
        <v>2016</v>
      </c>
      <c r="E368" s="13">
        <v>20693</v>
      </c>
      <c r="F368" s="8">
        <v>6.104934780485805</v>
      </c>
    </row>
    <row r="369" spans="1:6" x14ac:dyDescent="0.25">
      <c r="A369" s="4" t="s">
        <v>41</v>
      </c>
      <c r="B369" s="4" t="str">
        <f>VLOOKUP(A369,Codes!$G$2:$H$217,2,0)</f>
        <v>CRI</v>
      </c>
      <c r="C369" s="11">
        <v>3423989</v>
      </c>
      <c r="D369" s="16">
        <v>2017</v>
      </c>
      <c r="E369" s="13">
        <v>17573</v>
      </c>
      <c r="F369" s="8">
        <v>5.1323178900399506</v>
      </c>
    </row>
    <row r="370" spans="1:6" x14ac:dyDescent="0.25">
      <c r="A370" s="4" t="s">
        <v>41</v>
      </c>
      <c r="B370" s="4" t="str">
        <f>VLOOKUP(A370,Codes!$G$2:$H$217,2,0)</f>
        <v>CRI</v>
      </c>
      <c r="C370" s="11">
        <v>3455885</v>
      </c>
      <c r="D370" s="16">
        <v>2018</v>
      </c>
      <c r="E370" s="13">
        <v>20758</v>
      </c>
      <c r="F370" s="8">
        <v>6.006565611992297</v>
      </c>
    </row>
    <row r="371" spans="1:6" x14ac:dyDescent="0.25">
      <c r="A371" s="4" t="s">
        <v>41</v>
      </c>
      <c r="B371" s="4" t="str">
        <f>VLOOKUP(A371,Codes!$G$2:$H$217,2,0)</f>
        <v>CRI</v>
      </c>
      <c r="C371" s="11">
        <v>3484883</v>
      </c>
      <c r="D371" s="16">
        <v>2019</v>
      </c>
      <c r="E371" s="13">
        <v>16427</v>
      </c>
      <c r="F371" s="8">
        <v>4.7137880956118181</v>
      </c>
    </row>
    <row r="372" spans="1:6" x14ac:dyDescent="0.25">
      <c r="A372" s="4" t="s">
        <v>41</v>
      </c>
      <c r="B372" s="4" t="str">
        <f>VLOOKUP(A372,Codes!$G$2:$H$217,2,0)</f>
        <v>CRI</v>
      </c>
      <c r="C372" s="11">
        <v>3510806</v>
      </c>
      <c r="D372" s="16">
        <v>2020</v>
      </c>
      <c r="E372" s="13">
        <v>12686</v>
      </c>
      <c r="F372" s="8">
        <v>3.6134152670355468</v>
      </c>
    </row>
    <row r="373" spans="1:6" x14ac:dyDescent="0.25">
      <c r="A373" t="s">
        <v>565</v>
      </c>
      <c r="B373" s="4" t="str">
        <f>VLOOKUP(A373,Codes!$G$2:$H$217,2,0)</f>
        <v>CIV</v>
      </c>
      <c r="C373" s="11">
        <v>11959618</v>
      </c>
      <c r="D373" s="12">
        <v>2013</v>
      </c>
      <c r="E373" s="13">
        <v>1342</v>
      </c>
      <c r="F373" s="8">
        <v>0.11221094185449736</v>
      </c>
    </row>
    <row r="374" spans="1:6" x14ac:dyDescent="0.25">
      <c r="A374" t="s">
        <v>565</v>
      </c>
      <c r="B374" s="4" t="str">
        <f>VLOOKUP(A374,Codes!$G$2:$H$217,2,0)</f>
        <v>CIV</v>
      </c>
      <c r="C374" s="11">
        <v>12317078</v>
      </c>
      <c r="D374" s="16">
        <v>2014</v>
      </c>
      <c r="E374" s="13">
        <v>3664</v>
      </c>
      <c r="F374" s="8">
        <v>0.29747315069369534</v>
      </c>
    </row>
    <row r="375" spans="1:6" x14ac:dyDescent="0.25">
      <c r="A375" t="s">
        <v>565</v>
      </c>
      <c r="B375" s="4" t="str">
        <f>VLOOKUP(A375,Codes!$G$2:$H$217,2,0)</f>
        <v>CIV</v>
      </c>
      <c r="C375" s="11">
        <v>12690450</v>
      </c>
      <c r="D375" s="16">
        <v>2015</v>
      </c>
      <c r="E375" s="13">
        <v>5758</v>
      </c>
      <c r="F375" s="8">
        <v>0.45372701519646663</v>
      </c>
    </row>
    <row r="376" spans="1:6" x14ac:dyDescent="0.25">
      <c r="A376" t="s">
        <v>565</v>
      </c>
      <c r="B376" s="4" t="str">
        <f>VLOOKUP(A376,Codes!$G$2:$H$217,2,0)</f>
        <v>CIV</v>
      </c>
      <c r="C376" s="11">
        <v>13054498</v>
      </c>
      <c r="D376" s="16">
        <v>2016</v>
      </c>
      <c r="E376" s="13">
        <v>7881</v>
      </c>
      <c r="F376" s="8">
        <v>0.60369996609597709</v>
      </c>
    </row>
    <row r="377" spans="1:6" x14ac:dyDescent="0.25">
      <c r="A377" t="s">
        <v>565</v>
      </c>
      <c r="B377" s="4" t="str">
        <f>VLOOKUP(A377,Codes!$G$2:$H$217,2,0)</f>
        <v>CIV</v>
      </c>
      <c r="C377" s="11">
        <v>13438829</v>
      </c>
      <c r="D377" s="16">
        <v>2017</v>
      </c>
      <c r="E377" s="13">
        <v>8043</v>
      </c>
      <c r="F377" s="8">
        <v>0.59848964519155656</v>
      </c>
    </row>
    <row r="378" spans="1:6" x14ac:dyDescent="0.25">
      <c r="A378" t="s">
        <v>565</v>
      </c>
      <c r="B378" s="4" t="str">
        <f>VLOOKUP(A378,Codes!$G$2:$H$217,2,0)</f>
        <v>CIV</v>
      </c>
      <c r="C378" s="11">
        <v>13839237</v>
      </c>
      <c r="D378" s="16">
        <v>2018</v>
      </c>
      <c r="E378" s="13">
        <v>10233</v>
      </c>
      <c r="F378" s="8">
        <v>0.73941937694975524</v>
      </c>
    </row>
    <row r="379" spans="1:6" x14ac:dyDescent="0.25">
      <c r="A379" t="s">
        <v>565</v>
      </c>
      <c r="B379" s="4" t="str">
        <f>VLOOKUP(A379,Codes!$G$2:$H$217,2,0)</f>
        <v>CIV</v>
      </c>
      <c r="C379" s="11">
        <v>14250103</v>
      </c>
      <c r="D379" s="16">
        <v>2019</v>
      </c>
      <c r="E379" s="13">
        <v>11210</v>
      </c>
      <c r="F379" s="8">
        <v>0.7866609806258944</v>
      </c>
    </row>
    <row r="380" spans="1:6" x14ac:dyDescent="0.25">
      <c r="A380" t="s">
        <v>565</v>
      </c>
      <c r="B380" s="4" t="str">
        <f>VLOOKUP(A380,Codes!$G$2:$H$217,2,0)</f>
        <v>CIV</v>
      </c>
      <c r="C380" s="11">
        <v>14668684</v>
      </c>
      <c r="D380" s="16">
        <v>2020</v>
      </c>
      <c r="E380" s="13">
        <v>11451</v>
      </c>
      <c r="F380" s="8">
        <v>0.7806426261551479</v>
      </c>
    </row>
    <row r="381" spans="1:6" x14ac:dyDescent="0.25">
      <c r="A381" s="3" t="s">
        <v>42</v>
      </c>
      <c r="B381" s="4" t="str">
        <f>VLOOKUP(A381,Codes!$G$2:$H$217,2,0)</f>
        <v>HRV</v>
      </c>
      <c r="C381" s="11">
        <v>2894527</v>
      </c>
      <c r="D381" s="12">
        <v>2006</v>
      </c>
      <c r="E381" s="13">
        <v>9913</v>
      </c>
      <c r="F381" s="8">
        <v>3.4247391715468538</v>
      </c>
    </row>
    <row r="382" spans="1:6" x14ac:dyDescent="0.25">
      <c r="A382" s="4" t="s">
        <v>42</v>
      </c>
      <c r="B382" s="4" t="str">
        <f>VLOOKUP(A382,Codes!$G$2:$H$217,2,0)</f>
        <v>HRV</v>
      </c>
      <c r="C382" s="11">
        <v>2894882</v>
      </c>
      <c r="D382" s="12">
        <v>2007</v>
      </c>
      <c r="E382" s="13">
        <v>10603</v>
      </c>
      <c r="F382" s="8">
        <v>3.6626708791584597</v>
      </c>
    </row>
    <row r="383" spans="1:6" x14ac:dyDescent="0.25">
      <c r="A383" s="4" t="s">
        <v>42</v>
      </c>
      <c r="B383" s="4" t="str">
        <f>VLOOKUP(A383,Codes!$G$2:$H$217,2,0)</f>
        <v>HRV</v>
      </c>
      <c r="C383" s="11">
        <v>2892514</v>
      </c>
      <c r="D383" s="12">
        <v>2008</v>
      </c>
      <c r="E383" s="13">
        <v>10156</v>
      </c>
      <c r="F383" s="8">
        <v>3.5111325303870613</v>
      </c>
    </row>
    <row r="384" spans="1:6" x14ac:dyDescent="0.25">
      <c r="A384" s="4" t="s">
        <v>42</v>
      </c>
      <c r="B384" s="4" t="str">
        <f>VLOOKUP(A384,Codes!$G$2:$H$217,2,0)</f>
        <v>HRV</v>
      </c>
      <c r="C384" s="11">
        <v>2886823</v>
      </c>
      <c r="D384" s="12">
        <v>2009</v>
      </c>
      <c r="E384" s="13">
        <v>7806</v>
      </c>
      <c r="F384" s="8">
        <v>2.7040106026590478</v>
      </c>
    </row>
    <row r="385" spans="1:6" x14ac:dyDescent="0.25">
      <c r="A385" s="4" t="s">
        <v>42</v>
      </c>
      <c r="B385" s="4" t="str">
        <f>VLOOKUP(A385,Codes!$G$2:$H$217,2,0)</f>
        <v>HRV</v>
      </c>
      <c r="C385" s="11">
        <v>2877813</v>
      </c>
      <c r="D385" s="12">
        <v>2010</v>
      </c>
      <c r="E385" s="13">
        <v>7139</v>
      </c>
      <c r="F385" s="8">
        <v>2.4807032284585553</v>
      </c>
    </row>
    <row r="386" spans="1:6" x14ac:dyDescent="0.25">
      <c r="A386" s="4" t="s">
        <v>42</v>
      </c>
      <c r="B386" s="4" t="str">
        <f>VLOOKUP(A386,Codes!$G$2:$H$217,2,0)</f>
        <v>HRV</v>
      </c>
      <c r="C386" s="11">
        <v>2856126</v>
      </c>
      <c r="D386" s="12">
        <v>2011</v>
      </c>
      <c r="E386" s="13">
        <v>7116</v>
      </c>
      <c r="F386" s="8">
        <v>2.4914867201236923</v>
      </c>
    </row>
    <row r="387" spans="1:6" x14ac:dyDescent="0.25">
      <c r="A387" s="4" t="s">
        <v>42</v>
      </c>
      <c r="B387" s="4" t="str">
        <f>VLOOKUP(A387,Codes!$G$2:$H$217,2,0)</f>
        <v>HRV</v>
      </c>
      <c r="C387" s="11">
        <v>2840765</v>
      </c>
      <c r="D387" s="12">
        <v>2012</v>
      </c>
      <c r="E387" s="13">
        <v>7949</v>
      </c>
      <c r="F387" s="8">
        <v>2.7981899241929553</v>
      </c>
    </row>
    <row r="388" spans="1:6" x14ac:dyDescent="0.25">
      <c r="A388" s="4" t="s">
        <v>42</v>
      </c>
      <c r="B388" s="4" t="str">
        <f>VLOOKUP(A388,Codes!$G$2:$H$217,2,0)</f>
        <v>HRV</v>
      </c>
      <c r="C388" s="11">
        <v>2829802</v>
      </c>
      <c r="D388" s="12">
        <v>2013</v>
      </c>
      <c r="E388" s="13">
        <v>14186</v>
      </c>
      <c r="F388" s="8">
        <v>5.0130715859272126</v>
      </c>
    </row>
    <row r="389" spans="1:6" x14ac:dyDescent="0.25">
      <c r="A389" s="4" t="s">
        <v>42</v>
      </c>
      <c r="B389" s="4" t="str">
        <f>VLOOKUP(A389,Codes!$G$2:$H$217,2,0)</f>
        <v>HRV</v>
      </c>
      <c r="C389" s="11">
        <v>2814384</v>
      </c>
      <c r="D389" s="16">
        <v>2014</v>
      </c>
      <c r="E389" s="13">
        <v>12964</v>
      </c>
      <c r="F389" s="8">
        <v>4.6063365908845419</v>
      </c>
    </row>
    <row r="390" spans="1:6" x14ac:dyDescent="0.25">
      <c r="A390" s="4" t="s">
        <v>42</v>
      </c>
      <c r="B390" s="4" t="str">
        <f>VLOOKUP(A390,Codes!$G$2:$H$217,2,0)</f>
        <v>HRV</v>
      </c>
      <c r="C390" s="11">
        <v>2783338</v>
      </c>
      <c r="D390" s="16">
        <v>2015</v>
      </c>
      <c r="E390" s="13">
        <v>12558</v>
      </c>
      <c r="F390" s="8">
        <v>4.5118487226488488</v>
      </c>
    </row>
    <row r="391" spans="1:6" x14ac:dyDescent="0.25">
      <c r="A391" s="4" t="s">
        <v>42</v>
      </c>
      <c r="B391" s="4" t="str">
        <f>VLOOKUP(A391,Codes!$G$2:$H$217,2,0)</f>
        <v>HRV</v>
      </c>
      <c r="C391" s="11">
        <v>2753101</v>
      </c>
      <c r="D391" s="16">
        <v>2016</v>
      </c>
      <c r="E391" s="13">
        <v>13502</v>
      </c>
      <c r="F391" s="8">
        <v>4.9042879284123613</v>
      </c>
    </row>
    <row r="392" spans="1:6" x14ac:dyDescent="0.25">
      <c r="A392" s="4" t="s">
        <v>42</v>
      </c>
      <c r="B392" s="4" t="str">
        <f>VLOOKUP(A392,Codes!$G$2:$H$217,2,0)</f>
        <v>HRV</v>
      </c>
      <c r="C392" s="11">
        <v>2703200</v>
      </c>
      <c r="D392" s="16">
        <v>2017</v>
      </c>
      <c r="E392" s="13">
        <v>14918</v>
      </c>
      <c r="F392" s="8">
        <v>5.5186445693992301</v>
      </c>
    </row>
    <row r="393" spans="1:6" x14ac:dyDescent="0.25">
      <c r="A393" s="4" t="s">
        <v>42</v>
      </c>
      <c r="B393" s="4" t="str">
        <f>VLOOKUP(A393,Codes!$G$2:$H$217,2,0)</f>
        <v>HRV</v>
      </c>
      <c r="C393" s="11">
        <v>2658840</v>
      </c>
      <c r="D393" s="16">
        <v>2018</v>
      </c>
      <c r="E393" s="13">
        <v>15585</v>
      </c>
      <c r="F393" s="8">
        <v>5.861578733583066</v>
      </c>
    </row>
    <row r="394" spans="1:6" x14ac:dyDescent="0.25">
      <c r="A394" s="4" t="s">
        <v>42</v>
      </c>
      <c r="B394" s="4" t="str">
        <f>VLOOKUP(A394,Codes!$G$2:$H$217,2,0)</f>
        <v>HRV</v>
      </c>
      <c r="C394" s="11">
        <v>2625245</v>
      </c>
      <c r="D394" s="16">
        <v>2019</v>
      </c>
      <c r="E394" s="13">
        <v>14633</v>
      </c>
      <c r="F394" s="8">
        <v>5.5739559545870954</v>
      </c>
    </row>
    <row r="395" spans="1:6" x14ac:dyDescent="0.25">
      <c r="A395" s="4" t="s">
        <v>42</v>
      </c>
      <c r="B395" s="4" t="str">
        <f>VLOOKUP(A395,Codes!$G$2:$H$217,2,0)</f>
        <v>HRV</v>
      </c>
      <c r="C395" s="11">
        <v>2598553</v>
      </c>
      <c r="D395" s="16">
        <v>2020</v>
      </c>
      <c r="E395" s="13">
        <v>11539</v>
      </c>
      <c r="F395" s="8">
        <v>4.4405482589733589</v>
      </c>
    </row>
    <row r="396" spans="1:6" x14ac:dyDescent="0.25">
      <c r="A396" s="3" t="s">
        <v>43</v>
      </c>
      <c r="B396" s="4" t="str">
        <f>VLOOKUP(A396,Codes!$G$2:$H$217,2,0)</f>
        <v>CYP</v>
      </c>
      <c r="C396" s="11">
        <v>727065</v>
      </c>
      <c r="D396" s="12">
        <v>2006</v>
      </c>
      <c r="E396" s="13">
        <v>20280</v>
      </c>
      <c r="F396" s="8">
        <v>27.892966928679005</v>
      </c>
    </row>
    <row r="397" spans="1:6" x14ac:dyDescent="0.25">
      <c r="A397" s="4" t="s">
        <v>43</v>
      </c>
      <c r="B397" s="4" t="str">
        <f>VLOOKUP(A397,Codes!$G$2:$H$217,2,0)</f>
        <v>CYP</v>
      </c>
      <c r="C397" s="11">
        <v>743237</v>
      </c>
      <c r="D397" s="12">
        <v>2007</v>
      </c>
      <c r="E397" s="13">
        <v>29016</v>
      </c>
      <c r="F397" s="8">
        <v>39.040037027220123</v>
      </c>
    </row>
    <row r="398" spans="1:6" x14ac:dyDescent="0.25">
      <c r="A398" s="4" t="s">
        <v>43</v>
      </c>
      <c r="B398" s="4" t="str">
        <f>VLOOKUP(A398,Codes!$G$2:$H$217,2,0)</f>
        <v>CYP</v>
      </c>
      <c r="C398" s="11">
        <v>759205</v>
      </c>
      <c r="D398" s="12">
        <v>2008</v>
      </c>
      <c r="E398" s="13">
        <v>24453</v>
      </c>
      <c r="F398" s="8">
        <v>32.208691987012735</v>
      </c>
    </row>
    <row r="399" spans="1:6" x14ac:dyDescent="0.25">
      <c r="A399" s="4" t="s">
        <v>43</v>
      </c>
      <c r="B399" s="4" t="str">
        <f>VLOOKUP(A399,Codes!$G$2:$H$217,2,0)</f>
        <v>CYP</v>
      </c>
      <c r="C399" s="11">
        <v>774041</v>
      </c>
      <c r="D399" s="12">
        <v>2009</v>
      </c>
      <c r="E399" s="13">
        <v>16101</v>
      </c>
      <c r="F399" s="8">
        <v>20.80122370778809</v>
      </c>
    </row>
    <row r="400" spans="1:6" x14ac:dyDescent="0.25">
      <c r="A400" s="4" t="s">
        <v>43</v>
      </c>
      <c r="B400" s="4" t="str">
        <f>VLOOKUP(A400,Codes!$G$2:$H$217,2,0)</f>
        <v>CYP</v>
      </c>
      <c r="C400" s="11">
        <v>787131</v>
      </c>
      <c r="D400" s="12">
        <v>2010</v>
      </c>
      <c r="E400" s="13">
        <v>19278</v>
      </c>
      <c r="F400" s="8">
        <v>24.491476005899909</v>
      </c>
    </row>
    <row r="401" spans="1:6" x14ac:dyDescent="0.25">
      <c r="A401" s="4" t="s">
        <v>43</v>
      </c>
      <c r="B401" s="4" t="str">
        <f>VLOOKUP(A401,Codes!$G$2:$H$217,2,0)</f>
        <v>CYP</v>
      </c>
      <c r="C401" s="11">
        <v>795452</v>
      </c>
      <c r="D401" s="12">
        <v>2011</v>
      </c>
      <c r="E401" s="13">
        <v>19538</v>
      </c>
      <c r="F401" s="8">
        <v>24.562135741691517</v>
      </c>
    </row>
    <row r="402" spans="1:6" x14ac:dyDescent="0.25">
      <c r="A402" s="4" t="s">
        <v>43</v>
      </c>
      <c r="B402" s="4" t="str">
        <f>VLOOKUP(A402,Codes!$G$2:$H$217,2,0)</f>
        <v>CYP</v>
      </c>
      <c r="C402" s="11">
        <v>802068</v>
      </c>
      <c r="D402" s="12">
        <v>2012</v>
      </c>
      <c r="E402" s="13">
        <v>17999</v>
      </c>
      <c r="F402" s="8">
        <v>22.440740685328425</v>
      </c>
    </row>
    <row r="403" spans="1:6" x14ac:dyDescent="0.25">
      <c r="A403" s="4" t="s">
        <v>43</v>
      </c>
      <c r="B403" s="4" t="str">
        <f>VLOOKUP(A403,Codes!$G$2:$H$217,2,0)</f>
        <v>CYP</v>
      </c>
      <c r="C403" s="11">
        <v>807171</v>
      </c>
      <c r="D403" s="12">
        <v>2013</v>
      </c>
      <c r="E403" s="13">
        <v>10847</v>
      </c>
      <c r="F403" s="8">
        <v>13.438292505553347</v>
      </c>
    </row>
    <row r="404" spans="1:6" x14ac:dyDescent="0.25">
      <c r="A404" s="4" t="s">
        <v>43</v>
      </c>
      <c r="B404" s="4" t="str">
        <f>VLOOKUP(A404,Codes!$G$2:$H$217,2,0)</f>
        <v>CYP</v>
      </c>
      <c r="C404" s="11">
        <v>811525</v>
      </c>
      <c r="D404" s="16">
        <v>2014</v>
      </c>
      <c r="E404" s="13">
        <v>11169</v>
      </c>
      <c r="F404" s="8">
        <v>13.762977110994731</v>
      </c>
    </row>
    <row r="405" spans="1:6" x14ac:dyDescent="0.25">
      <c r="A405" s="4" t="s">
        <v>43</v>
      </c>
      <c r="B405" s="4" t="str">
        <f>VLOOKUP(A405,Codes!$G$2:$H$217,2,0)</f>
        <v>CYP</v>
      </c>
      <c r="C405" s="11">
        <v>815842</v>
      </c>
      <c r="D405" s="16">
        <v>2015</v>
      </c>
      <c r="E405" s="13">
        <v>11270</v>
      </c>
      <c r="F405" s="8">
        <v>13.813949269588965</v>
      </c>
    </row>
    <row r="406" spans="1:6" x14ac:dyDescent="0.25">
      <c r="A406" s="4" t="s">
        <v>43</v>
      </c>
      <c r="B406" s="4" t="str">
        <f>VLOOKUP(A406,Codes!$G$2:$H$217,2,0)</f>
        <v>CYP</v>
      </c>
      <c r="C406" s="11">
        <v>819172</v>
      </c>
      <c r="D406" s="16">
        <v>2016</v>
      </c>
      <c r="E406" s="13">
        <v>13645</v>
      </c>
      <c r="F406" s="8">
        <v>16.657063473849202</v>
      </c>
    </row>
    <row r="407" spans="1:6" x14ac:dyDescent="0.25">
      <c r="A407" s="4" t="s">
        <v>43</v>
      </c>
      <c r="B407" s="4" t="str">
        <f>VLOOKUP(A407,Codes!$G$2:$H$217,2,0)</f>
        <v>CYP</v>
      </c>
      <c r="C407" s="11">
        <v>822807</v>
      </c>
      <c r="D407" s="16">
        <v>2017</v>
      </c>
      <c r="E407" s="13">
        <v>13677</v>
      </c>
      <c r="F407" s="8">
        <v>16.622367092161344</v>
      </c>
    </row>
    <row r="408" spans="1:6" x14ac:dyDescent="0.25">
      <c r="A408" s="4" t="s">
        <v>43</v>
      </c>
      <c r="B408" s="4" t="str">
        <f>VLOOKUP(A408,Codes!$G$2:$H$217,2,0)</f>
        <v>CYP</v>
      </c>
      <c r="C408" s="11">
        <v>826455</v>
      </c>
      <c r="D408" s="16">
        <v>2018</v>
      </c>
      <c r="E408" s="13">
        <v>14526</v>
      </c>
      <c r="F408" s="8">
        <v>17.576274570303283</v>
      </c>
    </row>
    <row r="409" spans="1:6" x14ac:dyDescent="0.25">
      <c r="A409" s="4" t="s">
        <v>43</v>
      </c>
      <c r="B409" s="4" t="str">
        <f>VLOOKUP(A409,Codes!$G$2:$H$217,2,0)</f>
        <v>CYP</v>
      </c>
      <c r="C409" s="11">
        <v>829948</v>
      </c>
      <c r="D409" s="16">
        <v>2019</v>
      </c>
      <c r="E409" s="13">
        <v>12781</v>
      </c>
      <c r="F409" s="8">
        <v>15.399759984962914</v>
      </c>
    </row>
    <row r="410" spans="1:6" x14ac:dyDescent="0.25">
      <c r="A410" s="4" t="s">
        <v>43</v>
      </c>
      <c r="B410" s="4" t="str">
        <f>VLOOKUP(A410,Codes!$G$2:$H$217,2,0)</f>
        <v>CYP</v>
      </c>
      <c r="C410" s="11">
        <v>833248</v>
      </c>
      <c r="D410" s="16">
        <v>2020</v>
      </c>
      <c r="E410" s="13">
        <v>11053</v>
      </c>
      <c r="F410" s="8">
        <v>13.264958331733169</v>
      </c>
    </row>
    <row r="411" spans="1:6" x14ac:dyDescent="0.25">
      <c r="A411" t="s">
        <v>569</v>
      </c>
      <c r="B411" s="4" t="str">
        <f>VLOOKUP(A411,Codes!$G$2:$H$217,2,0)</f>
        <v>CZE</v>
      </c>
      <c r="C411" s="11">
        <v>7286247</v>
      </c>
      <c r="D411" s="12">
        <v>2006</v>
      </c>
      <c r="E411" s="13">
        <v>16395</v>
      </c>
      <c r="F411" s="8">
        <v>2.2501295934656076</v>
      </c>
    </row>
    <row r="412" spans="1:6" x14ac:dyDescent="0.25">
      <c r="A412" t="s">
        <v>569</v>
      </c>
      <c r="B412" s="4" t="str">
        <f>VLOOKUP(A412,Codes!$G$2:$H$217,2,0)</f>
        <v>CZE</v>
      </c>
      <c r="C412" s="11">
        <v>7321482</v>
      </c>
      <c r="D412" s="12">
        <v>2007</v>
      </c>
      <c r="E412" s="13">
        <v>20938</v>
      </c>
      <c r="F412" s="8">
        <v>2.8598035206533323</v>
      </c>
    </row>
    <row r="413" spans="1:6" x14ac:dyDescent="0.25">
      <c r="A413" t="s">
        <v>569</v>
      </c>
      <c r="B413" s="4" t="str">
        <f>VLOOKUP(A413,Codes!$G$2:$H$217,2,0)</f>
        <v>CZE</v>
      </c>
      <c r="C413" s="11">
        <v>7368581</v>
      </c>
      <c r="D413" s="12">
        <v>2008</v>
      </c>
      <c r="E413" s="13">
        <v>22633</v>
      </c>
      <c r="F413" s="8">
        <v>3.0715547538935923</v>
      </c>
    </row>
    <row r="414" spans="1:6" x14ac:dyDescent="0.25">
      <c r="A414" t="s">
        <v>569</v>
      </c>
      <c r="B414" s="4" t="str">
        <f>VLOOKUP(A414,Codes!$G$2:$H$217,2,0)</f>
        <v>CZE</v>
      </c>
      <c r="C414" s="11">
        <v>7384196</v>
      </c>
      <c r="D414" s="12">
        <v>2009</v>
      </c>
      <c r="E414" s="13">
        <v>21717</v>
      </c>
      <c r="F414" s="8">
        <v>2.9410107749035914</v>
      </c>
    </row>
    <row r="415" spans="1:6" x14ac:dyDescent="0.25">
      <c r="A415" t="s">
        <v>569</v>
      </c>
      <c r="B415" s="4" t="str">
        <f>VLOOKUP(A415,Codes!$G$2:$H$217,2,0)</f>
        <v>CZE</v>
      </c>
      <c r="C415" s="11">
        <v>7365424</v>
      </c>
      <c r="D415" s="12">
        <v>2010</v>
      </c>
      <c r="E415" s="13">
        <v>22456</v>
      </c>
      <c r="F415" s="8">
        <v>3.0488400939307772</v>
      </c>
    </row>
    <row r="416" spans="1:6" x14ac:dyDescent="0.25">
      <c r="A416" t="s">
        <v>569</v>
      </c>
      <c r="B416" s="4" t="str">
        <f>VLOOKUP(A416,Codes!$G$2:$H$217,2,0)</f>
        <v>CZE</v>
      </c>
      <c r="C416" s="11">
        <v>7317324</v>
      </c>
      <c r="D416" s="12">
        <v>2011</v>
      </c>
      <c r="E416" s="13">
        <v>21173</v>
      </c>
      <c r="F416" s="8">
        <v>2.8935441426401236</v>
      </c>
    </row>
    <row r="417" spans="1:6" x14ac:dyDescent="0.25">
      <c r="A417" t="s">
        <v>569</v>
      </c>
      <c r="B417" s="4" t="str">
        <f>VLOOKUP(A417,Codes!$G$2:$H$217,2,0)</f>
        <v>CZE</v>
      </c>
      <c r="C417" s="11">
        <v>7258124</v>
      </c>
      <c r="D417" s="12">
        <v>2012</v>
      </c>
      <c r="E417" s="13">
        <v>21571</v>
      </c>
      <c r="F417" s="8">
        <v>2.9719800874165281</v>
      </c>
    </row>
    <row r="418" spans="1:6" x14ac:dyDescent="0.25">
      <c r="A418" t="s">
        <v>569</v>
      </c>
      <c r="B418" s="4" t="str">
        <f>VLOOKUP(A418,Codes!$G$2:$H$217,2,0)</f>
        <v>CZE</v>
      </c>
      <c r="C418" s="11">
        <v>7186005</v>
      </c>
      <c r="D418" s="12">
        <v>2013</v>
      </c>
      <c r="E418" s="13">
        <v>22227</v>
      </c>
      <c r="F418" s="8">
        <v>3.0930955377849028</v>
      </c>
    </row>
    <row r="419" spans="1:6" x14ac:dyDescent="0.25">
      <c r="A419" t="s">
        <v>569</v>
      </c>
      <c r="B419" s="4" t="str">
        <f>VLOOKUP(A419,Codes!$G$2:$H$217,2,0)</f>
        <v>CZE</v>
      </c>
      <c r="C419" s="11">
        <v>7116772</v>
      </c>
      <c r="D419" s="16">
        <v>2014</v>
      </c>
      <c r="E419" s="13">
        <v>24366</v>
      </c>
      <c r="F419" s="8">
        <v>3.4237432363998734</v>
      </c>
    </row>
    <row r="420" spans="1:6" x14ac:dyDescent="0.25">
      <c r="A420" t="s">
        <v>569</v>
      </c>
      <c r="B420" s="4" t="str">
        <f>VLOOKUP(A420,Codes!$G$2:$H$217,2,0)</f>
        <v>CZE</v>
      </c>
      <c r="C420" s="11">
        <v>7054347</v>
      </c>
      <c r="D420" s="16">
        <v>2015</v>
      </c>
      <c r="E420" s="13">
        <v>26068</v>
      </c>
      <c r="F420" s="8">
        <v>3.6953101399746853</v>
      </c>
    </row>
    <row r="421" spans="1:6" x14ac:dyDescent="0.25">
      <c r="A421" t="s">
        <v>569</v>
      </c>
      <c r="B421" s="4" t="str">
        <f>VLOOKUP(A421,Codes!$G$2:$H$217,2,0)</f>
        <v>CZE</v>
      </c>
      <c r="C421" s="11">
        <v>7002546</v>
      </c>
      <c r="D421" s="16">
        <v>2016</v>
      </c>
      <c r="E421" s="13">
        <v>27881</v>
      </c>
      <c r="F421" s="8">
        <v>3.9815518527118567</v>
      </c>
    </row>
    <row r="422" spans="1:6" x14ac:dyDescent="0.25">
      <c r="A422" t="s">
        <v>569</v>
      </c>
      <c r="B422" s="4" t="str">
        <f>VLOOKUP(A422,Codes!$G$2:$H$217,2,0)</f>
        <v>CZE</v>
      </c>
      <c r="C422" s="11">
        <v>6951850</v>
      </c>
      <c r="D422" s="16">
        <v>2017</v>
      </c>
      <c r="E422" s="13">
        <v>31195</v>
      </c>
      <c r="F422" s="8">
        <v>4.4872947488797941</v>
      </c>
    </row>
    <row r="423" spans="1:6" x14ac:dyDescent="0.25">
      <c r="A423" t="s">
        <v>569</v>
      </c>
      <c r="B423" s="4" t="str">
        <f>VLOOKUP(A423,Codes!$G$2:$H$217,2,0)</f>
        <v>CZE</v>
      </c>
      <c r="C423" s="11">
        <v>6908658</v>
      </c>
      <c r="D423" s="16">
        <v>2018</v>
      </c>
      <c r="E423" s="13">
        <v>30336</v>
      </c>
      <c r="F423" s="8">
        <v>4.3910119736712971</v>
      </c>
    </row>
    <row r="424" spans="1:6" x14ac:dyDescent="0.25">
      <c r="A424" t="s">
        <v>569</v>
      </c>
      <c r="B424" s="4" t="str">
        <f>VLOOKUP(A424,Codes!$G$2:$H$217,2,0)</f>
        <v>CZE</v>
      </c>
      <c r="C424" s="11">
        <v>6880827</v>
      </c>
      <c r="D424" s="16">
        <v>2019</v>
      </c>
      <c r="E424" s="13">
        <v>28758</v>
      </c>
      <c r="F424" s="8">
        <v>4.1794394772605097</v>
      </c>
    </row>
    <row r="425" spans="1:6" x14ac:dyDescent="0.25">
      <c r="A425" t="s">
        <v>569</v>
      </c>
      <c r="B425" s="4" t="str">
        <f>VLOOKUP(A425,Codes!$G$2:$H$217,2,0)</f>
        <v>CZE</v>
      </c>
      <c r="C425" s="11">
        <v>6858148</v>
      </c>
      <c r="D425" s="16">
        <v>2020</v>
      </c>
      <c r="E425" s="13">
        <v>26024</v>
      </c>
      <c r="F425" s="8">
        <v>3.7946104400196674</v>
      </c>
    </row>
    <row r="426" spans="1:6" x14ac:dyDescent="0.25">
      <c r="A426" s="3" t="s">
        <v>45</v>
      </c>
      <c r="B426" s="4" t="str">
        <f>VLOOKUP(A426,Codes!$G$2:$H$217,2,0)</f>
        <v>DNK</v>
      </c>
      <c r="C426" s="11">
        <v>3587339</v>
      </c>
      <c r="D426" s="12">
        <v>2006</v>
      </c>
      <c r="E426" s="13">
        <v>26508</v>
      </c>
      <c r="F426" s="8">
        <v>7.3893211653540414</v>
      </c>
    </row>
    <row r="427" spans="1:6" x14ac:dyDescent="0.25">
      <c r="A427" s="4" t="s">
        <v>45</v>
      </c>
      <c r="B427" s="4" t="str">
        <f>VLOOKUP(A427,Codes!$G$2:$H$217,2,0)</f>
        <v>DNK</v>
      </c>
      <c r="C427" s="11">
        <v>3595618</v>
      </c>
      <c r="D427" s="12">
        <v>2007</v>
      </c>
      <c r="E427" s="13">
        <v>29233</v>
      </c>
      <c r="F427" s="8">
        <v>8.1301740062487173</v>
      </c>
    </row>
    <row r="428" spans="1:6" x14ac:dyDescent="0.25">
      <c r="A428" s="4" t="s">
        <v>45</v>
      </c>
      <c r="B428" s="4" t="str">
        <f>VLOOKUP(A428,Codes!$G$2:$H$217,2,0)</f>
        <v>DNK</v>
      </c>
      <c r="C428" s="11">
        <v>3608862</v>
      </c>
      <c r="D428" s="12">
        <v>2008</v>
      </c>
      <c r="E428" s="13">
        <v>26228</v>
      </c>
      <c r="F428" s="8">
        <v>7.2676649869127719</v>
      </c>
    </row>
    <row r="429" spans="1:6" x14ac:dyDescent="0.25">
      <c r="A429" s="4" t="s">
        <v>45</v>
      </c>
      <c r="B429" s="4" t="str">
        <f>VLOOKUP(A429,Codes!$G$2:$H$217,2,0)</f>
        <v>DNK</v>
      </c>
      <c r="C429" s="11">
        <v>3619861</v>
      </c>
      <c r="D429" s="12">
        <v>2009</v>
      </c>
      <c r="E429" s="13">
        <v>17576</v>
      </c>
      <c r="F429" s="8">
        <v>4.8554350567604674</v>
      </c>
    </row>
    <row r="430" spans="1:6" x14ac:dyDescent="0.25">
      <c r="A430" s="4" t="s">
        <v>45</v>
      </c>
      <c r="B430" s="4" t="str">
        <f>VLOOKUP(A430,Codes!$G$2:$H$217,2,0)</f>
        <v>DNK</v>
      </c>
      <c r="C430" s="11">
        <v>3627218</v>
      </c>
      <c r="D430" s="12">
        <v>2010</v>
      </c>
      <c r="E430" s="13">
        <v>18814</v>
      </c>
      <c r="F430" s="8">
        <v>5.1868953010268477</v>
      </c>
    </row>
    <row r="431" spans="1:6" x14ac:dyDescent="0.25">
      <c r="A431" s="4" t="s">
        <v>45</v>
      </c>
      <c r="B431" s="4" t="str">
        <f>VLOOKUP(A431,Codes!$G$2:$H$217,2,0)</f>
        <v>DNK</v>
      </c>
      <c r="C431" s="11">
        <v>3629632</v>
      </c>
      <c r="D431" s="12">
        <v>2011</v>
      </c>
      <c r="E431" s="13">
        <v>18386</v>
      </c>
      <c r="F431" s="8">
        <v>5.0655273041454336</v>
      </c>
    </row>
    <row r="432" spans="1:6" x14ac:dyDescent="0.25">
      <c r="A432" s="4" t="s">
        <v>45</v>
      </c>
      <c r="B432" s="4" t="str">
        <f>VLOOKUP(A432,Codes!$G$2:$H$217,2,0)</f>
        <v>DNK</v>
      </c>
      <c r="C432" s="11">
        <v>3631273</v>
      </c>
      <c r="D432" s="12">
        <v>2012</v>
      </c>
      <c r="E432" s="13">
        <v>17218</v>
      </c>
      <c r="F432" s="8">
        <v>4.7415878673952632</v>
      </c>
    </row>
    <row r="433" spans="1:6" x14ac:dyDescent="0.25">
      <c r="A433" s="4" t="s">
        <v>45</v>
      </c>
      <c r="B433" s="4" t="str">
        <f>VLOOKUP(A433,Codes!$G$2:$H$217,2,0)</f>
        <v>DNK</v>
      </c>
      <c r="C433" s="11">
        <v>3632226</v>
      </c>
      <c r="D433" s="12">
        <v>2013</v>
      </c>
      <c r="E433" s="13">
        <v>16992</v>
      </c>
      <c r="F433" s="8">
        <v>4.6781230022581193</v>
      </c>
    </row>
    <row r="434" spans="1:6" x14ac:dyDescent="0.25">
      <c r="A434" s="4" t="s">
        <v>45</v>
      </c>
      <c r="B434" s="4" t="str">
        <f>VLOOKUP(A434,Codes!$G$2:$H$217,2,0)</f>
        <v>DNK</v>
      </c>
      <c r="C434" s="11">
        <v>3634226</v>
      </c>
      <c r="D434" s="16">
        <v>2014</v>
      </c>
      <c r="E434" s="13">
        <v>25933</v>
      </c>
      <c r="F434" s="8">
        <v>7.1357697622547409</v>
      </c>
    </row>
    <row r="435" spans="1:6" x14ac:dyDescent="0.25">
      <c r="A435" s="4" t="s">
        <v>45</v>
      </c>
      <c r="B435" s="4" t="str">
        <f>VLOOKUP(A435,Codes!$G$2:$H$217,2,0)</f>
        <v>DNK</v>
      </c>
      <c r="C435" s="11">
        <v>3643647</v>
      </c>
      <c r="D435" s="16">
        <v>2015</v>
      </c>
      <c r="E435" s="13">
        <v>30282</v>
      </c>
      <c r="F435" s="8">
        <v>8.3109038828404618</v>
      </c>
    </row>
    <row r="436" spans="1:6" x14ac:dyDescent="0.25">
      <c r="A436" s="4" t="s">
        <v>45</v>
      </c>
      <c r="B436" s="4" t="str">
        <f>VLOOKUP(A436,Codes!$G$2:$H$217,2,0)</f>
        <v>DNK</v>
      </c>
      <c r="C436" s="11">
        <v>3664797</v>
      </c>
      <c r="D436" s="16">
        <v>2016</v>
      </c>
      <c r="E436" s="13">
        <v>33645</v>
      </c>
      <c r="F436" s="8">
        <v>9.1805903573922372</v>
      </c>
    </row>
    <row r="437" spans="1:6" x14ac:dyDescent="0.25">
      <c r="A437" s="4" t="s">
        <v>45</v>
      </c>
      <c r="B437" s="4" t="str">
        <f>VLOOKUP(A437,Codes!$G$2:$H$217,2,0)</f>
        <v>DNK</v>
      </c>
      <c r="C437" s="11">
        <v>3680871</v>
      </c>
      <c r="D437" s="16">
        <v>2017</v>
      </c>
      <c r="E437" s="13">
        <v>36341</v>
      </c>
      <c r="F437" s="8">
        <v>9.8729349656643759</v>
      </c>
    </row>
    <row r="438" spans="1:6" x14ac:dyDescent="0.25">
      <c r="A438" s="4" t="s">
        <v>45</v>
      </c>
      <c r="B438" s="4" t="str">
        <f>VLOOKUP(A438,Codes!$G$2:$H$217,2,0)</f>
        <v>DNK</v>
      </c>
      <c r="C438" s="11">
        <v>3692214</v>
      </c>
      <c r="D438" s="16">
        <v>2018</v>
      </c>
      <c r="E438" s="13">
        <v>36982</v>
      </c>
      <c r="F438" s="8">
        <v>10.016212494725387</v>
      </c>
    </row>
    <row r="439" spans="1:6" x14ac:dyDescent="0.25">
      <c r="A439" s="3" t="s">
        <v>46</v>
      </c>
      <c r="B439" s="4" t="str">
        <f>VLOOKUP(A439,Codes!$G$2:$H$217,2,0)</f>
        <v>DJI</v>
      </c>
      <c r="C439" s="11">
        <v>655848</v>
      </c>
      <c r="D439" s="16">
        <v>2020</v>
      </c>
      <c r="E439" s="13">
        <v>1142</v>
      </c>
      <c r="F439" s="8">
        <v>1.7412571205523231</v>
      </c>
    </row>
    <row r="440" spans="1:6" x14ac:dyDescent="0.25">
      <c r="A440" s="4" t="s">
        <v>47</v>
      </c>
      <c r="B440" s="4" t="str">
        <f>VLOOKUP(A440,Codes!$G$2:$H$217,2,0)</f>
        <v>DMA</v>
      </c>
      <c r="C440" s="21">
        <v>47833</v>
      </c>
      <c r="D440" s="12">
        <v>2009</v>
      </c>
      <c r="E440" s="13">
        <v>802</v>
      </c>
      <c r="F440" s="8">
        <v>16.766667363535635</v>
      </c>
    </row>
    <row r="441" spans="1:6" x14ac:dyDescent="0.25">
      <c r="A441" s="4" t="s">
        <v>47</v>
      </c>
      <c r="B441" s="4" t="str">
        <f>VLOOKUP(A441,Codes!$G$2:$H$217,2,0)</f>
        <v>DMA</v>
      </c>
      <c r="C441" s="21">
        <v>47833</v>
      </c>
      <c r="D441" s="12">
        <v>2010</v>
      </c>
      <c r="E441" s="13">
        <v>792</v>
      </c>
      <c r="F441" s="8">
        <v>16.557606673217233</v>
      </c>
    </row>
    <row r="442" spans="1:6" x14ac:dyDescent="0.25">
      <c r="A442" s="4" t="s">
        <v>47</v>
      </c>
      <c r="B442" s="4" t="str">
        <f>VLOOKUP(A442,Codes!$G$2:$H$217,2,0)</f>
        <v>DMA</v>
      </c>
      <c r="C442" s="21">
        <v>47833</v>
      </c>
      <c r="D442" s="12">
        <v>2011</v>
      </c>
      <c r="E442" s="13">
        <v>884</v>
      </c>
      <c r="F442" s="8">
        <v>18.48096502414651</v>
      </c>
    </row>
    <row r="443" spans="1:6" x14ac:dyDescent="0.25">
      <c r="A443" s="4" t="s">
        <v>47</v>
      </c>
      <c r="B443" s="4" t="str">
        <f>VLOOKUP(A443,Codes!$G$2:$H$217,2,0)</f>
        <v>DMA</v>
      </c>
      <c r="C443" s="21">
        <v>46082</v>
      </c>
      <c r="D443" s="12">
        <v>2012</v>
      </c>
      <c r="E443" s="13">
        <v>898</v>
      </c>
      <c r="F443" s="8">
        <v>19.487001432229501</v>
      </c>
    </row>
    <row r="444" spans="1:6" x14ac:dyDescent="0.25">
      <c r="A444" s="4" t="s">
        <v>47</v>
      </c>
      <c r="B444" s="4" t="str">
        <f>VLOOKUP(A444,Codes!$G$2:$H$217,2,0)</f>
        <v>DMA</v>
      </c>
      <c r="C444" s="21">
        <v>46082</v>
      </c>
      <c r="D444" s="12">
        <v>2013</v>
      </c>
      <c r="E444" s="13">
        <v>755</v>
      </c>
      <c r="F444" s="8">
        <v>16.383837507052643</v>
      </c>
    </row>
    <row r="445" spans="1:6" x14ac:dyDescent="0.25">
      <c r="A445" s="4" t="s">
        <v>47</v>
      </c>
      <c r="B445" s="4" t="str">
        <f>VLOOKUP(A445,Codes!$G$2:$H$217,2,0)</f>
        <v>DMA</v>
      </c>
      <c r="C445" s="21">
        <v>46298</v>
      </c>
      <c r="D445" s="16">
        <v>2014</v>
      </c>
      <c r="E445" s="13">
        <v>874</v>
      </c>
      <c r="F445" s="8">
        <v>18.877705300444944</v>
      </c>
    </row>
    <row r="446" spans="1:6" x14ac:dyDescent="0.25">
      <c r="A446" s="4" t="s">
        <v>47</v>
      </c>
      <c r="B446" s="4" t="str">
        <f>VLOOKUP(A446,Codes!$G$2:$H$217,2,0)</f>
        <v>DMA</v>
      </c>
      <c r="C446" s="21">
        <v>49422</v>
      </c>
      <c r="D446" s="16">
        <v>2015</v>
      </c>
      <c r="E446" s="13">
        <v>748</v>
      </c>
      <c r="F446" s="8">
        <v>15.134960139209261</v>
      </c>
    </row>
    <row r="447" spans="1:6" x14ac:dyDescent="0.25">
      <c r="A447" s="4" t="s">
        <v>47</v>
      </c>
      <c r="B447" s="4" t="str">
        <f>VLOOKUP(A447,Codes!$G$2:$H$217,2,0)</f>
        <v>DMA</v>
      </c>
      <c r="C447" s="21">
        <v>49472</v>
      </c>
      <c r="D447" s="16">
        <v>2016</v>
      </c>
      <c r="E447" s="13">
        <v>609</v>
      </c>
      <c r="F447" s="8">
        <v>12.309993531694696</v>
      </c>
    </row>
    <row r="448" spans="1:6" x14ac:dyDescent="0.25">
      <c r="A448" s="4" t="s">
        <v>47</v>
      </c>
      <c r="B448" s="4" t="str">
        <f>VLOOKUP(A448,Codes!$G$2:$H$217,2,0)</f>
        <v>DMA</v>
      </c>
      <c r="C448" s="21">
        <v>49641</v>
      </c>
      <c r="D448" s="16">
        <v>2017</v>
      </c>
      <c r="E448" s="13">
        <v>339</v>
      </c>
      <c r="F448" s="8">
        <v>6.8290324530126307</v>
      </c>
    </row>
    <row r="449" spans="1:6" x14ac:dyDescent="0.25">
      <c r="A449" s="4" t="s">
        <v>47</v>
      </c>
      <c r="B449" s="4" t="str">
        <f>VLOOKUP(A449,Codes!$G$2:$H$217,2,0)</f>
        <v>DMA</v>
      </c>
      <c r="C449" s="21">
        <v>47953</v>
      </c>
      <c r="D449" s="16">
        <v>2018</v>
      </c>
      <c r="E449" s="13">
        <v>371</v>
      </c>
      <c r="F449" s="8">
        <v>7.736742226763706</v>
      </c>
    </row>
    <row r="450" spans="1:6" x14ac:dyDescent="0.25">
      <c r="A450" s="4" t="s">
        <v>47</v>
      </c>
      <c r="B450" s="4" t="str">
        <f>VLOOKUP(A450,Codes!$G$2:$H$217,2,0)</f>
        <v>DMA</v>
      </c>
      <c r="C450" s="21">
        <v>47953</v>
      </c>
      <c r="D450" s="16">
        <v>2019</v>
      </c>
      <c r="E450" s="13">
        <v>319</v>
      </c>
      <c r="F450" s="8">
        <v>6.6523470898588206</v>
      </c>
    </row>
    <row r="451" spans="1:6" x14ac:dyDescent="0.25">
      <c r="A451" s="4" t="s">
        <v>47</v>
      </c>
      <c r="B451" s="4" t="str">
        <f>VLOOKUP(A451,Codes!$G$2:$H$217,2,0)</f>
        <v>DMA</v>
      </c>
      <c r="C451" s="21">
        <v>47953</v>
      </c>
      <c r="D451" s="16">
        <v>2020</v>
      </c>
      <c r="E451" s="13">
        <v>268</v>
      </c>
      <c r="F451" s="8">
        <v>5.5888057055867204</v>
      </c>
    </row>
    <row r="452" spans="1:6" x14ac:dyDescent="0.25">
      <c r="A452" s="3" t="s">
        <v>48</v>
      </c>
      <c r="B452" s="4" t="str">
        <f>VLOOKUP(A452,Codes!$G$2:$H$217,2,0)</f>
        <v>DOM</v>
      </c>
      <c r="C452" s="11">
        <v>6264104</v>
      </c>
      <c r="D452" s="12">
        <v>2011</v>
      </c>
      <c r="E452" s="13">
        <v>3257</v>
      </c>
      <c r="F452" s="8">
        <v>0.51994666755213514</v>
      </c>
    </row>
    <row r="453" spans="1:6" x14ac:dyDescent="0.25">
      <c r="A453" s="4" t="s">
        <v>48</v>
      </c>
      <c r="B453" s="4" t="str">
        <f>VLOOKUP(A453,Codes!$G$2:$H$217,2,0)</f>
        <v>DOM</v>
      </c>
      <c r="C453" s="11">
        <v>6364834</v>
      </c>
      <c r="D453" s="12">
        <v>2012</v>
      </c>
      <c r="E453" s="13">
        <v>7219</v>
      </c>
      <c r="F453" s="8">
        <v>1.1342008291182455</v>
      </c>
    </row>
    <row r="454" spans="1:6" x14ac:dyDescent="0.25">
      <c r="A454" s="4" t="s">
        <v>48</v>
      </c>
      <c r="B454" s="4" t="str">
        <f>VLOOKUP(A454,Codes!$G$2:$H$217,2,0)</f>
        <v>DOM</v>
      </c>
      <c r="C454" s="11">
        <v>6462221</v>
      </c>
      <c r="D454" s="12">
        <v>2013</v>
      </c>
      <c r="E454" s="13">
        <v>8131</v>
      </c>
      <c r="F454" s="8">
        <v>1.2582361389373715</v>
      </c>
    </row>
    <row r="455" spans="1:6" x14ac:dyDescent="0.25">
      <c r="A455" s="4" t="s">
        <v>48</v>
      </c>
      <c r="B455" s="4" t="str">
        <f>VLOOKUP(A455,Codes!$G$2:$H$217,2,0)</f>
        <v>DOM</v>
      </c>
      <c r="C455" s="11">
        <v>6556641</v>
      </c>
      <c r="D455" s="16">
        <v>2014</v>
      </c>
      <c r="E455" s="13">
        <v>8059</v>
      </c>
      <c r="F455" s="8">
        <v>1.2291354673833752</v>
      </c>
    </row>
    <row r="456" spans="1:6" x14ac:dyDescent="0.25">
      <c r="A456" s="4" t="s">
        <v>48</v>
      </c>
      <c r="B456" s="4" t="str">
        <f>VLOOKUP(A456,Codes!$G$2:$H$217,2,0)</f>
        <v>DOM</v>
      </c>
      <c r="C456" s="11">
        <v>6648321</v>
      </c>
      <c r="D456" s="16">
        <v>2015</v>
      </c>
      <c r="E456" s="13">
        <v>8367</v>
      </c>
      <c r="F456" s="8">
        <v>1.2585132396585546</v>
      </c>
    </row>
    <row r="457" spans="1:6" x14ac:dyDescent="0.25">
      <c r="A457" s="4" t="s">
        <v>48</v>
      </c>
      <c r="B457" s="4" t="str">
        <f>VLOOKUP(A457,Codes!$G$2:$H$217,2,0)</f>
        <v>DOM</v>
      </c>
      <c r="C457" s="11">
        <v>6735367</v>
      </c>
      <c r="D457" s="16">
        <v>2016</v>
      </c>
      <c r="E457" s="13">
        <v>9363</v>
      </c>
      <c r="F457" s="8">
        <v>1.39012469550657</v>
      </c>
    </row>
    <row r="458" spans="1:6" x14ac:dyDescent="0.25">
      <c r="A458" s="4" t="s">
        <v>48</v>
      </c>
      <c r="B458" s="4" t="str">
        <f>VLOOKUP(A458,Codes!$G$2:$H$217,2,0)</f>
        <v>DOM</v>
      </c>
      <c r="C458" s="11">
        <v>6819792</v>
      </c>
      <c r="D458" s="16">
        <v>2017</v>
      </c>
      <c r="E458" s="13">
        <v>9597</v>
      </c>
      <c r="F458" s="8">
        <v>1.407227669113662</v>
      </c>
    </row>
    <row r="459" spans="1:6" x14ac:dyDescent="0.25">
      <c r="A459" s="4" t="s">
        <v>48</v>
      </c>
      <c r="B459" s="4" t="str">
        <f>VLOOKUP(A459,Codes!$G$2:$H$217,2,0)</f>
        <v>DOM</v>
      </c>
      <c r="C459" s="11">
        <v>6901275</v>
      </c>
      <c r="D459" s="16">
        <v>2018</v>
      </c>
      <c r="E459" s="13">
        <v>10204</v>
      </c>
      <c r="F459" s="8">
        <v>1.4785673661750907</v>
      </c>
    </row>
    <row r="460" spans="1:6" x14ac:dyDescent="0.25">
      <c r="A460" s="3" t="s">
        <v>49</v>
      </c>
      <c r="B460" s="4" t="str">
        <f>VLOOKUP(A460,Codes!$G$2:$H$217,2,0)</f>
        <v>EGY</v>
      </c>
      <c r="C460" s="11">
        <v>47445205</v>
      </c>
      <c r="D460" s="12">
        <v>2006</v>
      </c>
      <c r="E460" s="13">
        <v>1055</v>
      </c>
      <c r="F460" s="8">
        <v>2.2236177502025757E-2</v>
      </c>
    </row>
    <row r="461" spans="1:6" x14ac:dyDescent="0.25">
      <c r="A461" s="4" t="s">
        <v>49</v>
      </c>
      <c r="B461" s="4" t="str">
        <f>VLOOKUP(A461,Codes!$G$2:$H$217,2,0)</f>
        <v>EGY</v>
      </c>
      <c r="C461" s="11">
        <v>48580885</v>
      </c>
      <c r="D461" s="12">
        <v>2007</v>
      </c>
      <c r="E461" s="13">
        <v>1533</v>
      </c>
      <c r="F461" s="8">
        <v>3.1555621104885183E-2</v>
      </c>
    </row>
    <row r="462" spans="1:6" x14ac:dyDescent="0.25">
      <c r="A462" s="4" t="s">
        <v>49</v>
      </c>
      <c r="B462" s="4" t="str">
        <f>VLOOKUP(A462,Codes!$G$2:$H$217,2,0)</f>
        <v>EGY</v>
      </c>
      <c r="C462" s="11">
        <v>49685560</v>
      </c>
      <c r="D462" s="12">
        <v>2008</v>
      </c>
      <c r="E462" s="13">
        <v>2029</v>
      </c>
      <c r="F462" s="8">
        <v>4.0836814559401163E-2</v>
      </c>
    </row>
    <row r="463" spans="1:6" x14ac:dyDescent="0.25">
      <c r="A463" s="4" t="s">
        <v>49</v>
      </c>
      <c r="B463" s="4" t="str">
        <f>VLOOKUP(A463,Codes!$G$2:$H$217,2,0)</f>
        <v>EGY</v>
      </c>
      <c r="C463" s="11">
        <v>50774503</v>
      </c>
      <c r="D463" s="12">
        <v>2009</v>
      </c>
      <c r="E463" s="13">
        <v>2094</v>
      </c>
      <c r="F463" s="8">
        <v>4.1241171774738988E-2</v>
      </c>
    </row>
    <row r="464" spans="1:6" x14ac:dyDescent="0.25">
      <c r="A464" s="4" t="s">
        <v>49</v>
      </c>
      <c r="B464" s="4" t="str">
        <f>VLOOKUP(A464,Codes!$G$2:$H$217,2,0)</f>
        <v>EGY</v>
      </c>
      <c r="C464" s="11">
        <v>51850640</v>
      </c>
      <c r="D464" s="12">
        <v>2010</v>
      </c>
      <c r="E464" s="13">
        <v>2515</v>
      </c>
      <c r="F464" s="8">
        <v>4.8504705052820951E-2</v>
      </c>
    </row>
    <row r="465" spans="1:6" x14ac:dyDescent="0.25">
      <c r="A465" s="4" t="s">
        <v>49</v>
      </c>
      <c r="B465" s="4" t="str">
        <f>VLOOKUP(A465,Codes!$G$2:$H$217,2,0)</f>
        <v>EGY</v>
      </c>
      <c r="C465" s="11">
        <v>52908712</v>
      </c>
      <c r="D465" s="12">
        <v>2011</v>
      </c>
      <c r="E465" s="13">
        <v>2331</v>
      </c>
      <c r="F465" s="8">
        <v>4.4057016545781723E-2</v>
      </c>
    </row>
    <row r="466" spans="1:6" x14ac:dyDescent="0.25">
      <c r="A466" s="4" t="s">
        <v>49</v>
      </c>
      <c r="B466" s="4" t="str">
        <f>VLOOKUP(A466,Codes!$G$2:$H$217,2,0)</f>
        <v>EGY</v>
      </c>
      <c r="C466" s="11">
        <v>53904414</v>
      </c>
      <c r="D466" s="12">
        <v>2012</v>
      </c>
      <c r="E466" s="13">
        <v>2785</v>
      </c>
      <c r="F466" s="8">
        <v>5.1665527798892316E-2</v>
      </c>
    </row>
    <row r="467" spans="1:6" x14ac:dyDescent="0.25">
      <c r="A467" s="4" t="s">
        <v>49</v>
      </c>
      <c r="B467" s="4" t="str">
        <f>VLOOKUP(A467,Codes!$G$2:$H$217,2,0)</f>
        <v>EGY</v>
      </c>
      <c r="C467" s="11">
        <v>54872338</v>
      </c>
      <c r="D467" s="12">
        <v>2013</v>
      </c>
      <c r="E467" s="13">
        <v>2867</v>
      </c>
      <c r="F467" s="8">
        <v>5.2248548257593834E-2</v>
      </c>
    </row>
    <row r="468" spans="1:6" x14ac:dyDescent="0.25">
      <c r="A468" s="4" t="s">
        <v>49</v>
      </c>
      <c r="B468" s="4" t="str">
        <f>VLOOKUP(A468,Codes!$G$2:$H$217,2,0)</f>
        <v>EGY</v>
      </c>
      <c r="C468" s="11">
        <v>55871428</v>
      </c>
      <c r="D468" s="16">
        <v>2014</v>
      </c>
      <c r="E468" s="13">
        <v>3334</v>
      </c>
      <c r="F468" s="8">
        <v>5.9672718585248974E-2</v>
      </c>
    </row>
    <row r="469" spans="1:6" x14ac:dyDescent="0.25">
      <c r="A469" s="4" t="s">
        <v>49</v>
      </c>
      <c r="B469" s="4" t="str">
        <f>VLOOKUP(A469,Codes!$G$2:$H$217,2,0)</f>
        <v>EGY</v>
      </c>
      <c r="C469" s="11">
        <v>56930105</v>
      </c>
      <c r="D469" s="16">
        <v>2015</v>
      </c>
      <c r="E469" s="13">
        <v>4109</v>
      </c>
      <c r="F469" s="8">
        <v>7.2176223809880549E-2</v>
      </c>
    </row>
    <row r="470" spans="1:6" x14ac:dyDescent="0.25">
      <c r="A470" s="4" t="s">
        <v>49</v>
      </c>
      <c r="B470" s="4" t="str">
        <f>VLOOKUP(A470,Codes!$G$2:$H$217,2,0)</f>
        <v>EGY</v>
      </c>
      <c r="C470" s="11">
        <v>57809111</v>
      </c>
      <c r="D470" s="16">
        <v>2016</v>
      </c>
      <c r="E470" s="13">
        <v>4682</v>
      </c>
      <c r="F470" s="8">
        <v>8.0990693664187291E-2</v>
      </c>
    </row>
    <row r="471" spans="1:6" x14ac:dyDescent="0.25">
      <c r="A471" s="4" t="s">
        <v>49</v>
      </c>
      <c r="B471" s="4" t="str">
        <f>VLOOKUP(A471,Codes!$G$2:$H$217,2,0)</f>
        <v>EGY</v>
      </c>
      <c r="C471" s="11">
        <v>58865210</v>
      </c>
      <c r="D471" s="16">
        <v>2017</v>
      </c>
      <c r="E471" s="13">
        <v>5702</v>
      </c>
      <c r="F471" s="8">
        <v>9.6865364108953314E-2</v>
      </c>
    </row>
    <row r="472" spans="1:6" x14ac:dyDescent="0.25">
      <c r="A472" s="4" t="s">
        <v>49</v>
      </c>
      <c r="B472" s="4" t="str">
        <f>VLOOKUP(A472,Codes!$G$2:$H$217,2,0)</f>
        <v>EGY</v>
      </c>
      <c r="C472" s="11">
        <v>60010346</v>
      </c>
      <c r="D472" s="16">
        <v>2018</v>
      </c>
      <c r="E472" s="13">
        <v>10877</v>
      </c>
      <c r="F472" s="8">
        <v>0.18125207943310306</v>
      </c>
    </row>
    <row r="473" spans="1:6" x14ac:dyDescent="0.25">
      <c r="A473" s="4" t="s">
        <v>49</v>
      </c>
      <c r="B473" s="4" t="str">
        <f>VLOOKUP(A473,Codes!$G$2:$H$217,2,0)</f>
        <v>EGY</v>
      </c>
      <c r="C473" s="11">
        <v>61125132</v>
      </c>
      <c r="D473" s="16">
        <v>2019</v>
      </c>
      <c r="E473" s="13">
        <v>13920</v>
      </c>
      <c r="F473" s="8">
        <v>0.22772956956559209</v>
      </c>
    </row>
    <row r="474" spans="1:6" x14ac:dyDescent="0.25">
      <c r="A474" s="4" t="s">
        <v>49</v>
      </c>
      <c r="B474" s="4" t="str">
        <f>VLOOKUP(A474,Codes!$G$2:$H$217,2,0)</f>
        <v>EGY</v>
      </c>
      <c r="C474" s="11">
        <v>62165379</v>
      </c>
      <c r="D474" s="16">
        <v>2020</v>
      </c>
      <c r="E474" s="13">
        <v>14768</v>
      </c>
      <c r="F474" s="8">
        <v>0.23755988039580681</v>
      </c>
    </row>
    <row r="475" spans="1:6" x14ac:dyDescent="0.25">
      <c r="A475" s="3" t="s">
        <v>50</v>
      </c>
      <c r="B475" s="4" t="str">
        <f>VLOOKUP(A475,Codes!$G$2:$H$217,2,0)</f>
        <v>SLV</v>
      </c>
      <c r="C475" s="11">
        <v>3610779</v>
      </c>
      <c r="D475" s="12">
        <v>2006</v>
      </c>
      <c r="E475" s="13">
        <v>1873</v>
      </c>
      <c r="F475" s="8">
        <v>0.51872462978210521</v>
      </c>
    </row>
    <row r="476" spans="1:6" x14ac:dyDescent="0.25">
      <c r="A476" s="4" t="s">
        <v>50</v>
      </c>
      <c r="B476" s="4" t="str">
        <f>VLOOKUP(A476,Codes!$G$2:$H$217,2,0)</f>
        <v>SLV</v>
      </c>
      <c r="C476" s="11">
        <v>3653950</v>
      </c>
      <c r="D476" s="12">
        <v>2007</v>
      </c>
      <c r="E476" s="13">
        <v>2030</v>
      </c>
      <c r="F476" s="8">
        <v>0.55556315767867648</v>
      </c>
    </row>
    <row r="477" spans="1:6" x14ac:dyDescent="0.25">
      <c r="A477" s="4" t="s">
        <v>50</v>
      </c>
      <c r="B477" s="4" t="str">
        <f>VLOOKUP(A477,Codes!$G$2:$H$217,2,0)</f>
        <v>SLV</v>
      </c>
      <c r="C477" s="11">
        <v>3696848</v>
      </c>
      <c r="D477" s="12">
        <v>2008</v>
      </c>
      <c r="E477" s="13">
        <v>1828</v>
      </c>
      <c r="F477" s="8">
        <v>0.49447529354736791</v>
      </c>
    </row>
    <row r="478" spans="1:6" x14ac:dyDescent="0.25">
      <c r="A478" s="4" t="s">
        <v>50</v>
      </c>
      <c r="B478" s="4" t="str">
        <f>VLOOKUP(A478,Codes!$G$2:$H$217,2,0)</f>
        <v>SLV</v>
      </c>
      <c r="C478" s="11">
        <v>3741886</v>
      </c>
      <c r="D478" s="12">
        <v>2009</v>
      </c>
      <c r="E478" s="13">
        <v>1772</v>
      </c>
      <c r="F478" s="8">
        <v>0.47355798653406334</v>
      </c>
    </row>
    <row r="479" spans="1:6" x14ac:dyDescent="0.25">
      <c r="A479" s="4" t="s">
        <v>50</v>
      </c>
      <c r="B479" s="4" t="str">
        <f>VLOOKUP(A479,Codes!$G$2:$H$217,2,0)</f>
        <v>SLV</v>
      </c>
      <c r="C479" s="11">
        <v>3789851</v>
      </c>
      <c r="D479" s="12">
        <v>2010</v>
      </c>
      <c r="E479" s="13">
        <v>1858</v>
      </c>
      <c r="F479" s="8">
        <v>0.49025674096422261</v>
      </c>
    </row>
    <row r="480" spans="1:6" x14ac:dyDescent="0.25">
      <c r="A480" s="4" t="s">
        <v>50</v>
      </c>
      <c r="B480" s="4" t="str">
        <f>VLOOKUP(A480,Codes!$G$2:$H$217,2,0)</f>
        <v>SLV</v>
      </c>
      <c r="C480" s="11">
        <v>3838960</v>
      </c>
      <c r="D480" s="12">
        <v>2011</v>
      </c>
      <c r="E480" s="13">
        <v>1781</v>
      </c>
      <c r="F480" s="8">
        <v>0.46392773042699065</v>
      </c>
    </row>
    <row r="481" spans="1:6" x14ac:dyDescent="0.25">
      <c r="A481" s="4" t="s">
        <v>50</v>
      </c>
      <c r="B481" s="4" t="str">
        <f>VLOOKUP(A481,Codes!$G$2:$H$217,2,0)</f>
        <v>SLV</v>
      </c>
      <c r="C481" s="11">
        <v>3892529</v>
      </c>
      <c r="D481" s="12">
        <v>2012</v>
      </c>
      <c r="E481" s="13">
        <v>1856</v>
      </c>
      <c r="F481" s="8">
        <v>0.47681083429307786</v>
      </c>
    </row>
    <row r="482" spans="1:6" x14ac:dyDescent="0.25">
      <c r="A482" s="4" t="s">
        <v>50</v>
      </c>
      <c r="B482" s="4" t="str">
        <f>VLOOKUP(A482,Codes!$G$2:$H$217,2,0)</f>
        <v>SLV</v>
      </c>
      <c r="C482" s="11">
        <v>3946985</v>
      </c>
      <c r="D482" s="12">
        <v>2013</v>
      </c>
      <c r="E482" s="13">
        <v>1989</v>
      </c>
      <c r="F482" s="8">
        <v>0.50392894829851143</v>
      </c>
    </row>
    <row r="483" spans="1:6" x14ac:dyDescent="0.25">
      <c r="A483" s="4" t="s">
        <v>50</v>
      </c>
      <c r="B483" s="4" t="str">
        <f>VLOOKUP(A483,Codes!$G$2:$H$217,2,0)</f>
        <v>SLV</v>
      </c>
      <c r="C483" s="11">
        <v>3997000</v>
      </c>
      <c r="D483" s="16">
        <v>2014</v>
      </c>
      <c r="E483" s="13">
        <v>2082</v>
      </c>
      <c r="F483" s="8">
        <v>0.5208906680010007</v>
      </c>
    </row>
    <row r="484" spans="1:6" x14ac:dyDescent="0.25">
      <c r="A484" s="4" t="s">
        <v>50</v>
      </c>
      <c r="B484" s="4" t="str">
        <f>VLOOKUP(A484,Codes!$G$2:$H$217,2,0)</f>
        <v>SLV</v>
      </c>
      <c r="C484" s="11">
        <v>4039973</v>
      </c>
      <c r="D484" s="16">
        <v>2015</v>
      </c>
      <c r="E484" s="13">
        <v>2158</v>
      </c>
      <c r="F484" s="8">
        <v>0.53416198573604323</v>
      </c>
    </row>
    <row r="485" spans="1:6" x14ac:dyDescent="0.25">
      <c r="A485" s="4" t="s">
        <v>50</v>
      </c>
      <c r="B485" s="4" t="str">
        <f>VLOOKUP(A485,Codes!$G$2:$H$217,2,0)</f>
        <v>SLV</v>
      </c>
      <c r="C485" s="11">
        <v>4082034</v>
      </c>
      <c r="D485" s="16">
        <v>2016</v>
      </c>
      <c r="E485" s="13">
        <v>2218</v>
      </c>
      <c r="F485" s="8">
        <v>0.54335657174829999</v>
      </c>
    </row>
    <row r="486" spans="1:6" x14ac:dyDescent="0.25">
      <c r="A486" s="4" t="s">
        <v>50</v>
      </c>
      <c r="B486" s="4" t="str">
        <f>VLOOKUP(A486,Codes!$G$2:$H$217,2,0)</f>
        <v>SLV</v>
      </c>
      <c r="C486" s="11">
        <v>4117125</v>
      </c>
      <c r="D486" s="16">
        <v>2017</v>
      </c>
      <c r="E486" s="13">
        <v>2149</v>
      </c>
      <c r="F486" s="8">
        <v>0.52196617785469224</v>
      </c>
    </row>
    <row r="487" spans="1:6" x14ac:dyDescent="0.25">
      <c r="A487" s="4" t="s">
        <v>50</v>
      </c>
      <c r="B487" s="4" t="str">
        <f>VLOOKUP(A487,Codes!$G$2:$H$217,2,0)</f>
        <v>SLV</v>
      </c>
      <c r="C487" s="11">
        <v>4146567</v>
      </c>
      <c r="D487" s="16">
        <v>2018</v>
      </c>
      <c r="E487" s="13">
        <v>2361</v>
      </c>
      <c r="F487" s="8">
        <v>0.56938667577299484</v>
      </c>
    </row>
    <row r="488" spans="1:6" x14ac:dyDescent="0.25">
      <c r="A488" s="4" t="s">
        <v>50</v>
      </c>
      <c r="B488" s="4" t="str">
        <f>VLOOKUP(A488,Codes!$G$2:$H$217,2,0)</f>
        <v>SLV</v>
      </c>
      <c r="C488" s="11">
        <v>4173638</v>
      </c>
      <c r="D488" s="16">
        <v>2019</v>
      </c>
      <c r="E488" s="13">
        <v>2617</v>
      </c>
      <c r="F488" s="8">
        <v>0.62703090205715006</v>
      </c>
    </row>
    <row r="489" spans="1:6" x14ac:dyDescent="0.25">
      <c r="A489" s="4" t="s">
        <v>50</v>
      </c>
      <c r="B489" s="4" t="str">
        <f>VLOOKUP(A489,Codes!$G$2:$H$217,2,0)</f>
        <v>SLV</v>
      </c>
      <c r="C489" s="11">
        <v>4200364</v>
      </c>
      <c r="D489" s="16">
        <v>2020</v>
      </c>
      <c r="E489" s="13">
        <v>1771</v>
      </c>
      <c r="F489" s="8">
        <v>0.42163012538913291</v>
      </c>
    </row>
    <row r="490" spans="1:6" x14ac:dyDescent="0.25">
      <c r="A490" s="3" t="s">
        <v>51</v>
      </c>
      <c r="B490" s="4" t="str">
        <f>VLOOKUP(A490,Codes!$G$2:$H$217,2,0)</f>
        <v>EST</v>
      </c>
      <c r="C490" s="11">
        <v>915809</v>
      </c>
      <c r="D490" s="12">
        <v>2006</v>
      </c>
      <c r="E490" s="17">
        <v>12070</v>
      </c>
      <c r="F490" s="8">
        <v>13.179604044074694</v>
      </c>
    </row>
    <row r="491" spans="1:6" x14ac:dyDescent="0.25">
      <c r="A491" s="4" t="s">
        <v>51</v>
      </c>
      <c r="B491" s="4" t="str">
        <f>VLOOKUP(A491,Codes!$G$2:$H$217,2,0)</f>
        <v>EST</v>
      </c>
      <c r="C491" s="11">
        <v>910562</v>
      </c>
      <c r="D491" s="12">
        <v>2007</v>
      </c>
      <c r="E491" s="13">
        <v>11599</v>
      </c>
      <c r="F491" s="8">
        <v>12.738286904131735</v>
      </c>
    </row>
    <row r="492" spans="1:6" x14ac:dyDescent="0.25">
      <c r="A492" s="4" t="s">
        <v>51</v>
      </c>
      <c r="B492" s="4" t="str">
        <f>VLOOKUP(A492,Codes!$G$2:$H$217,2,0)</f>
        <v>EST</v>
      </c>
      <c r="C492" s="11">
        <v>906562</v>
      </c>
      <c r="D492" s="12">
        <v>2008</v>
      </c>
      <c r="E492" s="13">
        <v>9661</v>
      </c>
      <c r="F492" s="8">
        <v>10.656744933054771</v>
      </c>
    </row>
    <row r="493" spans="1:6" x14ac:dyDescent="0.25">
      <c r="A493" s="4" t="s">
        <v>51</v>
      </c>
      <c r="B493" s="4" t="str">
        <f>VLOOKUP(A493,Codes!$G$2:$H$217,2,0)</f>
        <v>EST</v>
      </c>
      <c r="C493" s="11">
        <v>902296</v>
      </c>
      <c r="D493" s="12">
        <v>2009</v>
      </c>
      <c r="E493" s="13">
        <v>8183</v>
      </c>
      <c r="F493" s="8">
        <v>9.0690859762206646</v>
      </c>
    </row>
    <row r="494" spans="1:6" x14ac:dyDescent="0.25">
      <c r="A494" s="4" t="s">
        <v>51</v>
      </c>
      <c r="B494" s="4" t="str">
        <f>VLOOKUP(A494,Codes!$G$2:$H$217,2,0)</f>
        <v>EST</v>
      </c>
      <c r="C494" s="11">
        <v>896652</v>
      </c>
      <c r="D494" s="12">
        <v>2010</v>
      </c>
      <c r="E494" s="13">
        <v>9212</v>
      </c>
      <c r="F494" s="8">
        <v>10.273773994816272</v>
      </c>
    </row>
    <row r="495" spans="1:6" x14ac:dyDescent="0.25">
      <c r="A495" s="4" t="s">
        <v>51</v>
      </c>
      <c r="B495" s="4" t="str">
        <f>VLOOKUP(A495,Codes!$G$2:$H$217,2,0)</f>
        <v>EST</v>
      </c>
      <c r="C495" s="11">
        <v>888349</v>
      </c>
      <c r="D495" s="12">
        <v>2011</v>
      </c>
      <c r="E495" s="13">
        <v>13141</v>
      </c>
      <c r="F495" s="8">
        <v>14.792609661293028</v>
      </c>
    </row>
    <row r="496" spans="1:6" x14ac:dyDescent="0.25">
      <c r="A496" s="4" t="s">
        <v>51</v>
      </c>
      <c r="B496" s="4" t="str">
        <f>VLOOKUP(A496,Codes!$G$2:$H$217,2,0)</f>
        <v>EST</v>
      </c>
      <c r="C496" s="11">
        <v>879415</v>
      </c>
      <c r="D496" s="12">
        <v>2012</v>
      </c>
      <c r="E496" s="13">
        <v>13524</v>
      </c>
      <c r="F496" s="8">
        <v>15.378404962389771</v>
      </c>
    </row>
    <row r="497" spans="1:6" x14ac:dyDescent="0.25">
      <c r="A497" s="4" t="s">
        <v>51</v>
      </c>
      <c r="B497" s="4" t="str">
        <f>VLOOKUP(A497,Codes!$G$2:$H$217,2,0)</f>
        <v>EST</v>
      </c>
      <c r="C497" s="11">
        <v>870282</v>
      </c>
      <c r="D497" s="12">
        <v>2013</v>
      </c>
      <c r="E497" s="13">
        <v>14242</v>
      </c>
      <c r="F497" s="8">
        <v>16.3648104867158</v>
      </c>
    </row>
    <row r="498" spans="1:6" x14ac:dyDescent="0.25">
      <c r="A498" s="4" t="s">
        <v>51</v>
      </c>
      <c r="B498" s="4" t="str">
        <f>VLOOKUP(A498,Codes!$G$2:$H$217,2,0)</f>
        <v>EST</v>
      </c>
      <c r="C498" s="11">
        <v>861690</v>
      </c>
      <c r="D498" s="16">
        <v>2014</v>
      </c>
      <c r="E498" s="13">
        <v>13867</v>
      </c>
      <c r="F498" s="8">
        <v>16.092794392414906</v>
      </c>
    </row>
    <row r="499" spans="1:6" x14ac:dyDescent="0.25">
      <c r="A499" s="4" t="s">
        <v>51</v>
      </c>
      <c r="B499" s="4" t="str">
        <f>VLOOKUP(A499,Codes!$G$2:$H$217,2,0)</f>
        <v>EST</v>
      </c>
      <c r="C499" s="11">
        <v>855639</v>
      </c>
      <c r="D499" s="16">
        <v>2015</v>
      </c>
      <c r="E499" s="13">
        <v>15005</v>
      </c>
      <c r="F499" s="8">
        <v>17.536601300314736</v>
      </c>
    </row>
    <row r="500" spans="1:6" x14ac:dyDescent="0.25">
      <c r="A500" s="4" t="s">
        <v>51</v>
      </c>
      <c r="B500" s="4" t="str">
        <f>VLOOKUP(A500,Codes!$G$2:$H$217,2,0)</f>
        <v>EST</v>
      </c>
      <c r="C500" s="11">
        <v>852779</v>
      </c>
      <c r="D500" s="16">
        <v>2016</v>
      </c>
      <c r="E500" s="13">
        <v>16572</v>
      </c>
      <c r="F500" s="8">
        <v>19.432936317615702</v>
      </c>
    </row>
    <row r="501" spans="1:6" x14ac:dyDescent="0.25">
      <c r="A501" s="4" t="s">
        <v>51</v>
      </c>
      <c r="B501" s="4" t="str">
        <f>VLOOKUP(A501,Codes!$G$2:$H$217,2,0)</f>
        <v>EST</v>
      </c>
      <c r="C501" s="11">
        <v>849251</v>
      </c>
      <c r="D501" s="16">
        <v>2017</v>
      </c>
      <c r="E501" s="13">
        <v>18461</v>
      </c>
      <c r="F501" s="8">
        <v>21.737978524605801</v>
      </c>
    </row>
    <row r="502" spans="1:6" x14ac:dyDescent="0.25">
      <c r="A502" s="4" t="s">
        <v>51</v>
      </c>
      <c r="B502" s="4" t="str">
        <f>VLOOKUP(A502,Codes!$G$2:$H$217,2,0)</f>
        <v>EST</v>
      </c>
      <c r="C502" s="11">
        <v>846284</v>
      </c>
      <c r="D502" s="16">
        <v>2018</v>
      </c>
      <c r="E502" s="13">
        <v>19950</v>
      </c>
      <c r="F502" s="8">
        <v>23.573646671802845</v>
      </c>
    </row>
    <row r="503" spans="1:6" x14ac:dyDescent="0.25">
      <c r="A503" s="4" t="s">
        <v>51</v>
      </c>
      <c r="B503" s="4" t="str">
        <f>VLOOKUP(A503,Codes!$G$2:$H$217,2,0)</f>
        <v>EST</v>
      </c>
      <c r="C503" s="11">
        <v>843176</v>
      </c>
      <c r="D503" s="16">
        <v>2019</v>
      </c>
      <c r="E503" s="13">
        <v>20899</v>
      </c>
      <c r="F503" s="8">
        <v>24.786047041187132</v>
      </c>
    </row>
    <row r="504" spans="1:6" x14ac:dyDescent="0.25">
      <c r="A504" s="4" t="s">
        <v>51</v>
      </c>
      <c r="B504" s="4" t="str">
        <f>VLOOKUP(A504,Codes!$G$2:$H$217,2,0)</f>
        <v>EST</v>
      </c>
      <c r="C504" s="11">
        <v>840278</v>
      </c>
      <c r="D504" s="16">
        <v>2020</v>
      </c>
      <c r="E504" s="13">
        <v>20329</v>
      </c>
      <c r="F504" s="8">
        <v>24.193183684447291</v>
      </c>
    </row>
    <row r="505" spans="1:6" x14ac:dyDescent="0.25">
      <c r="A505" s="3" t="s">
        <v>52</v>
      </c>
      <c r="B505" s="4" t="str">
        <f>VLOOKUP(A505,Codes!$G$2:$H$217,2,0)</f>
        <v>SWZ</v>
      </c>
      <c r="C505" s="11">
        <v>575799</v>
      </c>
      <c r="D505" s="12">
        <v>2006</v>
      </c>
      <c r="E505" s="13">
        <v>2068</v>
      </c>
      <c r="F505" s="8">
        <v>3.5915310724749432</v>
      </c>
    </row>
    <row r="506" spans="1:6" x14ac:dyDescent="0.25">
      <c r="A506" s="4" t="s">
        <v>52</v>
      </c>
      <c r="B506" s="4" t="str">
        <f>VLOOKUP(A506,Codes!$G$2:$H$217,2,0)</f>
        <v>SWZ</v>
      </c>
      <c r="C506" s="11">
        <v>581256</v>
      </c>
      <c r="D506" s="12">
        <v>2007</v>
      </c>
      <c r="E506" s="13">
        <v>1642</v>
      </c>
      <c r="F506" s="8">
        <v>2.8249170761248052</v>
      </c>
    </row>
    <row r="507" spans="1:6" x14ac:dyDescent="0.25">
      <c r="A507" s="4" t="s">
        <v>52</v>
      </c>
      <c r="B507" s="4" t="str">
        <f>VLOOKUP(A507,Codes!$G$2:$H$217,2,0)</f>
        <v>SWZ</v>
      </c>
      <c r="C507" s="11">
        <v>586932</v>
      </c>
      <c r="D507" s="12">
        <v>2008</v>
      </c>
      <c r="E507" s="13">
        <v>1549</v>
      </c>
      <c r="F507" s="8">
        <v>2.6391472947462398</v>
      </c>
    </row>
    <row r="508" spans="1:6" x14ac:dyDescent="0.25">
      <c r="A508" s="4" t="s">
        <v>52</v>
      </c>
      <c r="B508" s="4" t="str">
        <f>VLOOKUP(A508,Codes!$G$2:$H$217,2,0)</f>
        <v>SWZ</v>
      </c>
      <c r="C508" s="11">
        <v>592489</v>
      </c>
      <c r="D508" s="12">
        <v>2009</v>
      </c>
      <c r="E508" s="13">
        <v>1613</v>
      </c>
      <c r="F508" s="8">
        <v>2.7224134118945669</v>
      </c>
    </row>
    <row r="509" spans="1:6" x14ac:dyDescent="0.25">
      <c r="A509" s="4" t="s">
        <v>52</v>
      </c>
      <c r="B509" s="4" t="str">
        <f>VLOOKUP(A509,Codes!$G$2:$H$217,2,0)</f>
        <v>SWZ</v>
      </c>
      <c r="C509" s="11">
        <v>597848</v>
      </c>
      <c r="D509" s="12">
        <v>2010</v>
      </c>
      <c r="E509" s="13">
        <v>1559</v>
      </c>
      <c r="F509" s="8">
        <v>2.6076862346281997</v>
      </c>
    </row>
    <row r="510" spans="1:6" x14ac:dyDescent="0.25">
      <c r="A510" s="4" t="s">
        <v>52</v>
      </c>
      <c r="B510" s="4" t="str">
        <f>VLOOKUP(A510,Codes!$G$2:$H$217,2,0)</f>
        <v>SWZ</v>
      </c>
      <c r="C510" s="11">
        <v>602969</v>
      </c>
      <c r="D510" s="12">
        <v>2011</v>
      </c>
      <c r="E510" s="13">
        <v>1454</v>
      </c>
      <c r="F510" s="8">
        <v>2.4114009177917937</v>
      </c>
    </row>
    <row r="511" spans="1:6" x14ac:dyDescent="0.25">
      <c r="A511" s="4" t="s">
        <v>52</v>
      </c>
      <c r="B511" s="4" t="str">
        <f>VLOOKUP(A511,Codes!$G$2:$H$217,2,0)</f>
        <v>SWZ</v>
      </c>
      <c r="C511" s="11">
        <v>609005</v>
      </c>
      <c r="D511" s="12">
        <v>2012</v>
      </c>
      <c r="E511" s="13">
        <v>1587</v>
      </c>
      <c r="F511" s="8">
        <v>2.6058899352222067</v>
      </c>
    </row>
    <row r="512" spans="1:6" x14ac:dyDescent="0.25">
      <c r="A512" s="4" t="s">
        <v>52</v>
      </c>
      <c r="B512" s="4" t="str">
        <f>VLOOKUP(A512,Codes!$G$2:$H$217,2,0)</f>
        <v>SWZ</v>
      </c>
      <c r="C512" s="11">
        <v>615579</v>
      </c>
      <c r="D512" s="12">
        <v>2013</v>
      </c>
      <c r="E512" s="13">
        <v>1946</v>
      </c>
      <c r="F512" s="8">
        <v>3.1612514397014841</v>
      </c>
    </row>
    <row r="513" spans="1:6" x14ac:dyDescent="0.25">
      <c r="A513" s="4" t="s">
        <v>52</v>
      </c>
      <c r="B513" s="4" t="str">
        <f>VLOOKUP(A513,Codes!$G$2:$H$217,2,0)</f>
        <v>SWZ</v>
      </c>
      <c r="C513" s="11">
        <v>622188</v>
      </c>
      <c r="D513" s="16">
        <v>2014</v>
      </c>
      <c r="E513" s="13">
        <v>2402</v>
      </c>
      <c r="F513" s="8">
        <v>3.8605694741782228</v>
      </c>
    </row>
    <row r="514" spans="1:6" x14ac:dyDescent="0.25">
      <c r="A514" s="4" t="s">
        <v>52</v>
      </c>
      <c r="B514" s="4" t="str">
        <f>VLOOKUP(A514,Codes!$G$2:$H$217,2,0)</f>
        <v>SWZ</v>
      </c>
      <c r="C514" s="11">
        <v>628750</v>
      </c>
      <c r="D514" s="16">
        <v>2015</v>
      </c>
      <c r="E514" s="13">
        <v>2380</v>
      </c>
      <c r="F514" s="8">
        <v>3.7852882703777335</v>
      </c>
    </row>
    <row r="515" spans="1:6" x14ac:dyDescent="0.25">
      <c r="A515" s="4" t="s">
        <v>52</v>
      </c>
      <c r="B515" s="4" t="str">
        <f>VLOOKUP(A515,Codes!$G$2:$H$217,2,0)</f>
        <v>SWZ</v>
      </c>
      <c r="C515" s="11">
        <v>639052</v>
      </c>
      <c r="D515" s="16">
        <v>2016</v>
      </c>
      <c r="E515" s="13">
        <v>2472</v>
      </c>
      <c r="F515" s="8">
        <v>3.868229815414082</v>
      </c>
    </row>
    <row r="516" spans="1:6" x14ac:dyDescent="0.25">
      <c r="A516" s="4" t="s">
        <v>52</v>
      </c>
      <c r="B516" s="4" t="str">
        <f>VLOOKUP(A516,Codes!$G$2:$H$217,2,0)</f>
        <v>SWZ</v>
      </c>
      <c r="C516" s="11">
        <v>648426</v>
      </c>
      <c r="D516" s="16">
        <v>2017</v>
      </c>
      <c r="E516" s="13">
        <v>2213</v>
      </c>
      <c r="F516" s="8">
        <v>3.4128798043261686</v>
      </c>
    </row>
    <row r="517" spans="1:6" x14ac:dyDescent="0.25">
      <c r="A517" s="4" t="s">
        <v>52</v>
      </c>
      <c r="B517" s="4" t="str">
        <f>VLOOKUP(A517,Codes!$G$2:$H$217,2,0)</f>
        <v>SWZ</v>
      </c>
      <c r="C517" s="11">
        <v>657595</v>
      </c>
      <c r="D517" s="16">
        <v>2018</v>
      </c>
      <c r="E517" s="13">
        <v>2626</v>
      </c>
      <c r="F517" s="8">
        <v>3.9933393654148825</v>
      </c>
    </row>
    <row r="518" spans="1:6" x14ac:dyDescent="0.25">
      <c r="A518" s="4" t="s">
        <v>52</v>
      </c>
      <c r="B518" s="4" t="str">
        <f>VLOOKUP(A518,Codes!$G$2:$H$217,2,0)</f>
        <v>SWZ</v>
      </c>
      <c r="C518" s="11">
        <v>667683</v>
      </c>
      <c r="D518" s="16">
        <v>2019</v>
      </c>
      <c r="E518" s="13">
        <v>2871</v>
      </c>
      <c r="F518" s="8">
        <v>4.299944734252632</v>
      </c>
    </row>
    <row r="519" spans="1:6" x14ac:dyDescent="0.25">
      <c r="A519" s="4" t="s">
        <v>52</v>
      </c>
      <c r="B519" s="4" t="str">
        <f>VLOOKUP(A519,Codes!$G$2:$H$217,2,0)</f>
        <v>SWZ</v>
      </c>
      <c r="C519" s="11">
        <v>679215</v>
      </c>
      <c r="D519" s="16">
        <v>2020</v>
      </c>
      <c r="E519" s="13">
        <v>2961</v>
      </c>
      <c r="F519" s="8">
        <v>4.3594443585609861</v>
      </c>
    </row>
    <row r="520" spans="1:6" x14ac:dyDescent="0.25">
      <c r="A520" s="3" t="s">
        <v>53</v>
      </c>
      <c r="B520" s="4" t="str">
        <f>VLOOKUP(A520,Codes!$G$2:$H$217,2,0)</f>
        <v>ETH</v>
      </c>
      <c r="C520" s="11">
        <v>56781160</v>
      </c>
      <c r="D520" s="16">
        <v>2016</v>
      </c>
      <c r="E520" s="13">
        <v>10693</v>
      </c>
      <c r="F520" s="8">
        <v>0.18831950597698249</v>
      </c>
    </row>
    <row r="521" spans="1:6" x14ac:dyDescent="0.25">
      <c r="A521" s="4" t="s">
        <v>53</v>
      </c>
      <c r="B521" s="4" t="str">
        <f>VLOOKUP(A521,Codes!$G$2:$H$217,2,0)</f>
        <v>ETH</v>
      </c>
      <c r="C521" s="11">
        <v>58798058</v>
      </c>
      <c r="D521" s="16">
        <v>2017</v>
      </c>
      <c r="E521" s="13">
        <v>34912</v>
      </c>
      <c r="F521" s="8">
        <v>0.59376110687193107</v>
      </c>
    </row>
    <row r="522" spans="1:6" x14ac:dyDescent="0.25">
      <c r="A522" s="4" t="s">
        <v>53</v>
      </c>
      <c r="B522" s="4" t="str">
        <f>VLOOKUP(A522,Codes!$G$2:$H$217,2,0)</f>
        <v>ETH</v>
      </c>
      <c r="C522" s="11">
        <v>60855347</v>
      </c>
      <c r="D522" s="16">
        <v>2018</v>
      </c>
      <c r="E522" s="13">
        <v>31198</v>
      </c>
      <c r="F522" s="8">
        <v>0.51265832072241746</v>
      </c>
    </row>
    <row r="523" spans="1:6" x14ac:dyDescent="0.25">
      <c r="A523" s="3" t="s">
        <v>54</v>
      </c>
      <c r="B523" s="4" t="str">
        <f>VLOOKUP(A523,Codes!$G$2:$H$217,2,0)</f>
        <v>FJI</v>
      </c>
      <c r="C523" s="11">
        <v>579201</v>
      </c>
      <c r="D523" s="16">
        <v>2019</v>
      </c>
      <c r="E523" s="13">
        <v>1121</v>
      </c>
      <c r="F523" s="8">
        <v>1.9354248352471768</v>
      </c>
    </row>
    <row r="524" spans="1:6" x14ac:dyDescent="0.25">
      <c r="A524" s="4" t="s">
        <v>54</v>
      </c>
      <c r="B524" s="4" t="str">
        <f>VLOOKUP(A524,Codes!$G$2:$H$217,2,0)</f>
        <v>FJI</v>
      </c>
      <c r="C524" s="11">
        <v>584224</v>
      </c>
      <c r="D524" s="16">
        <v>2020</v>
      </c>
      <c r="E524" s="13">
        <v>1320</v>
      </c>
      <c r="F524" s="8">
        <v>2.2594073506052474</v>
      </c>
    </row>
    <row r="525" spans="1:6" x14ac:dyDescent="0.25">
      <c r="A525" s="3" t="s">
        <v>55</v>
      </c>
      <c r="B525" s="4" t="str">
        <f>VLOOKUP(A525,Codes!$G$2:$H$217,2,0)</f>
        <v>FIN</v>
      </c>
      <c r="C525" s="11">
        <v>3507533</v>
      </c>
      <c r="D525" s="12">
        <v>2006</v>
      </c>
      <c r="E525" s="13">
        <v>10247</v>
      </c>
      <c r="F525" s="8">
        <v>2.9214265411045313</v>
      </c>
    </row>
    <row r="526" spans="1:6" x14ac:dyDescent="0.25">
      <c r="A526" s="4" t="s">
        <v>55</v>
      </c>
      <c r="B526" s="4" t="str">
        <f>VLOOKUP(A526,Codes!$G$2:$H$217,2,0)</f>
        <v>FIN</v>
      </c>
      <c r="C526" s="11">
        <v>3523576</v>
      </c>
      <c r="D526" s="12">
        <v>2007</v>
      </c>
      <c r="E526" s="13">
        <v>13948</v>
      </c>
      <c r="F526" s="8">
        <v>3.9584785456592959</v>
      </c>
    </row>
    <row r="527" spans="1:6" x14ac:dyDescent="0.25">
      <c r="A527" s="4" t="s">
        <v>55</v>
      </c>
      <c r="B527" s="4" t="str">
        <f>VLOOKUP(A527,Codes!$G$2:$H$217,2,0)</f>
        <v>FIN</v>
      </c>
      <c r="C527" s="11">
        <v>3540395</v>
      </c>
      <c r="D527" s="12">
        <v>2008</v>
      </c>
      <c r="E527" s="13">
        <v>14091</v>
      </c>
      <c r="F527" s="8">
        <v>3.9800643713483947</v>
      </c>
    </row>
    <row r="528" spans="1:6" x14ac:dyDescent="0.25">
      <c r="A528" s="4" t="s">
        <v>55</v>
      </c>
      <c r="B528" s="4" t="str">
        <f>VLOOKUP(A528,Codes!$G$2:$H$217,2,0)</f>
        <v>FIN</v>
      </c>
      <c r="C528" s="11">
        <v>3551641</v>
      </c>
      <c r="D528" s="12">
        <v>2009</v>
      </c>
      <c r="E528" s="13">
        <v>12254</v>
      </c>
      <c r="F528" s="8">
        <v>3.4502361021285655</v>
      </c>
    </row>
    <row r="529" spans="1:6" x14ac:dyDescent="0.25">
      <c r="A529" s="4" t="s">
        <v>55</v>
      </c>
      <c r="B529" s="4" t="str">
        <f>VLOOKUP(A529,Codes!$G$2:$H$217,2,0)</f>
        <v>FIN</v>
      </c>
      <c r="C529" s="11">
        <v>3553105</v>
      </c>
      <c r="D529" s="12">
        <v>2010</v>
      </c>
      <c r="E529" s="13">
        <v>12391</v>
      </c>
      <c r="F529" s="8">
        <v>3.4873723123859275</v>
      </c>
    </row>
    <row r="530" spans="1:6" x14ac:dyDescent="0.25">
      <c r="A530" s="4" t="s">
        <v>55</v>
      </c>
      <c r="B530" s="4" t="str">
        <f>VLOOKUP(A530,Codes!$G$2:$H$217,2,0)</f>
        <v>FIN</v>
      </c>
      <c r="C530" s="11">
        <v>3544386</v>
      </c>
      <c r="D530" s="12">
        <v>2011</v>
      </c>
      <c r="E530" s="13">
        <v>12744</v>
      </c>
      <c r="F530" s="8">
        <v>3.5955451804628504</v>
      </c>
    </row>
    <row r="531" spans="1:6" x14ac:dyDescent="0.25">
      <c r="A531" s="4" t="s">
        <v>55</v>
      </c>
      <c r="B531" s="4" t="str">
        <f>VLOOKUP(A531,Codes!$G$2:$H$217,2,0)</f>
        <v>FIN</v>
      </c>
      <c r="C531" s="11">
        <v>3529791</v>
      </c>
      <c r="D531" s="12">
        <v>2012</v>
      </c>
      <c r="E531" s="13">
        <v>12506</v>
      </c>
      <c r="F531" s="8">
        <v>3.5429859728238866</v>
      </c>
    </row>
    <row r="532" spans="1:6" x14ac:dyDescent="0.25">
      <c r="A532" s="4" t="s">
        <v>55</v>
      </c>
      <c r="B532" s="4" t="str">
        <f>VLOOKUP(A532,Codes!$G$2:$H$217,2,0)</f>
        <v>FIN</v>
      </c>
      <c r="C532" s="11">
        <v>3510727</v>
      </c>
      <c r="D532" s="12">
        <v>2013</v>
      </c>
      <c r="E532" s="13">
        <v>12441</v>
      </c>
      <c r="F532" s="8">
        <v>3.543710462248987</v>
      </c>
    </row>
    <row r="533" spans="1:6" x14ac:dyDescent="0.25">
      <c r="A533" s="4" t="s">
        <v>55</v>
      </c>
      <c r="B533" s="4" t="str">
        <f>VLOOKUP(A533,Codes!$G$2:$H$217,2,0)</f>
        <v>FIN</v>
      </c>
      <c r="C533" s="11">
        <v>3490743</v>
      </c>
      <c r="D533" s="16">
        <v>2014</v>
      </c>
      <c r="E533" s="13">
        <v>11965</v>
      </c>
      <c r="F533" s="8">
        <v>3.4276370388768234</v>
      </c>
    </row>
    <row r="534" spans="1:6" x14ac:dyDescent="0.25">
      <c r="A534" s="4" t="s">
        <v>55</v>
      </c>
      <c r="B534" s="4" t="str">
        <f>VLOOKUP(A534,Codes!$G$2:$H$217,2,0)</f>
        <v>FIN</v>
      </c>
      <c r="C534" s="11">
        <v>3471884</v>
      </c>
      <c r="D534" s="16">
        <v>2015</v>
      </c>
      <c r="E534" s="13">
        <v>12625</v>
      </c>
      <c r="F534" s="8">
        <v>3.6363542099908868</v>
      </c>
    </row>
    <row r="535" spans="1:6" x14ac:dyDescent="0.25">
      <c r="A535" s="4" t="s">
        <v>55</v>
      </c>
      <c r="B535" s="4" t="str">
        <f>VLOOKUP(A535,Codes!$G$2:$H$217,2,0)</f>
        <v>FIN</v>
      </c>
      <c r="C535" s="11">
        <v>3455182</v>
      </c>
      <c r="D535" s="16">
        <v>2016</v>
      </c>
      <c r="E535" s="13">
        <v>13584</v>
      </c>
      <c r="F535" s="8">
        <v>3.9314860982721029</v>
      </c>
    </row>
    <row r="536" spans="1:6" x14ac:dyDescent="0.25">
      <c r="A536" s="4" t="s">
        <v>55</v>
      </c>
      <c r="B536" s="4" t="str">
        <f>VLOOKUP(A536,Codes!$G$2:$H$217,2,0)</f>
        <v>FIN</v>
      </c>
      <c r="C536" s="11">
        <v>3440986</v>
      </c>
      <c r="D536" s="16">
        <v>2017</v>
      </c>
      <c r="E536" s="13">
        <v>13848</v>
      </c>
      <c r="F536" s="8">
        <v>4.0244278820082391</v>
      </c>
    </row>
    <row r="537" spans="1:6" x14ac:dyDescent="0.25">
      <c r="A537" s="4" t="s">
        <v>55</v>
      </c>
      <c r="B537" s="4" t="str">
        <f>VLOOKUP(A537,Codes!$G$2:$H$217,2,0)</f>
        <v>FIN</v>
      </c>
      <c r="C537" s="11">
        <v>3427018</v>
      </c>
      <c r="D537" s="16">
        <v>2018</v>
      </c>
      <c r="E537" s="13">
        <v>14700</v>
      </c>
      <c r="F537" s="8">
        <v>4.289443475347956</v>
      </c>
    </row>
    <row r="538" spans="1:6" x14ac:dyDescent="0.25">
      <c r="A538" s="4" t="s">
        <v>55</v>
      </c>
      <c r="B538" s="4" t="str">
        <f>VLOOKUP(A538,Codes!$G$2:$H$217,2,0)</f>
        <v>FIN</v>
      </c>
      <c r="C538" s="11">
        <v>3414728</v>
      </c>
      <c r="D538" s="16">
        <v>2019</v>
      </c>
      <c r="E538" s="13">
        <v>18100</v>
      </c>
      <c r="F538" s="8">
        <v>5.3005685958003097</v>
      </c>
    </row>
    <row r="539" spans="1:6" x14ac:dyDescent="0.25">
      <c r="A539" s="4" t="s">
        <v>55</v>
      </c>
      <c r="B539" s="4" t="str">
        <f>VLOOKUP(A539,Codes!$G$2:$H$217,2,0)</f>
        <v>FIN</v>
      </c>
      <c r="C539" s="11">
        <v>3405838</v>
      </c>
      <c r="D539" s="16">
        <v>2020</v>
      </c>
      <c r="E539" s="13">
        <v>20020</v>
      </c>
      <c r="F539" s="8">
        <v>5.8781421782245662</v>
      </c>
    </row>
    <row r="540" spans="1:6" x14ac:dyDescent="0.25">
      <c r="A540" s="3" t="s">
        <v>56</v>
      </c>
      <c r="B540" s="4" t="str">
        <f>VLOOKUP(A540,Codes!$G$2:$H$217,2,0)</f>
        <v>FRA</v>
      </c>
      <c r="C540" s="11">
        <v>41357725</v>
      </c>
      <c r="D540" s="12">
        <v>2006</v>
      </c>
      <c r="E540" s="13">
        <v>136033</v>
      </c>
      <c r="F540" s="8">
        <v>3.2891799536845898</v>
      </c>
    </row>
    <row r="541" spans="1:6" x14ac:dyDescent="0.25">
      <c r="A541" s="4" t="s">
        <v>56</v>
      </c>
      <c r="B541" s="4" t="str">
        <f>VLOOKUP(A541,Codes!$G$2:$H$217,2,0)</f>
        <v>FRA</v>
      </c>
      <c r="C541" s="11">
        <v>41606000</v>
      </c>
      <c r="D541" s="12">
        <v>2007</v>
      </c>
      <c r="E541" s="13">
        <v>160375</v>
      </c>
      <c r="F541" s="8">
        <v>3.8546123155314138</v>
      </c>
    </row>
    <row r="542" spans="1:6" x14ac:dyDescent="0.25">
      <c r="A542" s="4" t="s">
        <v>56</v>
      </c>
      <c r="B542" s="4" t="str">
        <f>VLOOKUP(A542,Codes!$G$2:$H$217,2,0)</f>
        <v>FRA</v>
      </c>
      <c r="C542" s="11">
        <v>41819122</v>
      </c>
      <c r="D542" s="12">
        <v>2008</v>
      </c>
      <c r="E542" s="13">
        <v>161808</v>
      </c>
      <c r="F542" s="8">
        <v>3.8692347486396295</v>
      </c>
    </row>
    <row r="543" spans="1:6" x14ac:dyDescent="0.25">
      <c r="A543" s="4" t="s">
        <v>56</v>
      </c>
      <c r="B543" s="4" t="str">
        <f>VLOOKUP(A543,Codes!$G$2:$H$217,2,0)</f>
        <v>FRA</v>
      </c>
      <c r="C543" s="11">
        <v>41971517</v>
      </c>
      <c r="D543" s="12">
        <v>2009</v>
      </c>
      <c r="E543" s="13">
        <v>152302</v>
      </c>
      <c r="F543" s="8">
        <v>3.6286989579147213</v>
      </c>
    </row>
    <row r="544" spans="1:6" x14ac:dyDescent="0.25">
      <c r="A544" s="4" t="s">
        <v>56</v>
      </c>
      <c r="B544" s="4" t="str">
        <f>VLOOKUP(A544,Codes!$G$2:$H$217,2,0)</f>
        <v>FRA</v>
      </c>
      <c r="C544" s="11">
        <v>42053369</v>
      </c>
      <c r="D544" s="12">
        <v>2010</v>
      </c>
      <c r="E544" s="13">
        <v>163650</v>
      </c>
      <c r="F544" s="8">
        <v>3.8914837001525369</v>
      </c>
    </row>
    <row r="545" spans="1:6" x14ac:dyDescent="0.25">
      <c r="A545" s="4" t="s">
        <v>56</v>
      </c>
      <c r="B545" s="4" t="str">
        <f>VLOOKUP(A545,Codes!$G$2:$H$217,2,0)</f>
        <v>FRA</v>
      </c>
      <c r="C545" s="11">
        <v>42065655</v>
      </c>
      <c r="D545" s="12">
        <v>2011</v>
      </c>
      <c r="E545" s="13">
        <v>166653</v>
      </c>
      <c r="F545" s="8">
        <v>3.9617355298520849</v>
      </c>
    </row>
    <row r="546" spans="1:6" x14ac:dyDescent="0.25">
      <c r="A546" s="4" t="s">
        <v>56</v>
      </c>
      <c r="B546" s="4" t="str">
        <f>VLOOKUP(A546,Codes!$G$2:$H$217,2,0)</f>
        <v>FRA</v>
      </c>
      <c r="C546" s="11">
        <v>42019760</v>
      </c>
      <c r="D546" s="12">
        <v>2012</v>
      </c>
      <c r="E546" s="13">
        <v>159521</v>
      </c>
      <c r="F546" s="8">
        <v>3.796332963348672</v>
      </c>
    </row>
    <row r="547" spans="1:6" x14ac:dyDescent="0.25">
      <c r="A547" s="4" t="s">
        <v>56</v>
      </c>
      <c r="B547" s="4" t="str">
        <f>VLOOKUP(A547,Codes!$G$2:$H$217,2,0)</f>
        <v>FRA</v>
      </c>
      <c r="C547" s="11">
        <v>41950712</v>
      </c>
      <c r="D547" s="12">
        <v>2013</v>
      </c>
      <c r="E547" s="13">
        <v>158875</v>
      </c>
      <c r="F547" s="8">
        <v>3.7871824440071484</v>
      </c>
    </row>
    <row r="548" spans="1:6" x14ac:dyDescent="0.25">
      <c r="A548" s="4" t="s">
        <v>56</v>
      </c>
      <c r="B548" s="4" t="str">
        <f>VLOOKUP(A548,Codes!$G$2:$H$217,2,0)</f>
        <v>FRA</v>
      </c>
      <c r="C548" s="11">
        <v>41868703</v>
      </c>
      <c r="D548" s="16">
        <v>2014</v>
      </c>
      <c r="E548" s="13">
        <v>165722</v>
      </c>
      <c r="F548" s="8">
        <v>3.9581355075651614</v>
      </c>
    </row>
    <row r="549" spans="1:6" x14ac:dyDescent="0.25">
      <c r="A549" s="4" t="s">
        <v>56</v>
      </c>
      <c r="B549" s="4" t="str">
        <f>VLOOKUP(A549,Codes!$G$2:$H$217,2,0)</f>
        <v>FRA</v>
      </c>
      <c r="C549" s="11">
        <v>41770003</v>
      </c>
      <c r="D549" s="16">
        <v>2015</v>
      </c>
      <c r="E549" s="13">
        <v>171984</v>
      </c>
      <c r="F549" s="8">
        <v>4.1174045402869615</v>
      </c>
    </row>
    <row r="550" spans="1:6" x14ac:dyDescent="0.25">
      <c r="A550" s="4" t="s">
        <v>56</v>
      </c>
      <c r="B550" s="4" t="str">
        <f>VLOOKUP(A550,Codes!$G$2:$H$217,2,0)</f>
        <v>FRA</v>
      </c>
      <c r="C550" s="11">
        <v>41682778</v>
      </c>
      <c r="D550" s="16">
        <v>2016</v>
      </c>
      <c r="E550" s="13">
        <v>188843</v>
      </c>
      <c r="F550" s="8">
        <v>4.5304801901639085</v>
      </c>
    </row>
    <row r="551" spans="1:6" x14ac:dyDescent="0.25">
      <c r="A551" s="4" t="s">
        <v>56</v>
      </c>
      <c r="B551" s="4" t="str">
        <f>VLOOKUP(A551,Codes!$G$2:$H$217,2,0)</f>
        <v>FRA</v>
      </c>
      <c r="C551" s="11">
        <v>41637179</v>
      </c>
      <c r="D551" s="16">
        <v>2017</v>
      </c>
      <c r="E551" s="13">
        <v>197899</v>
      </c>
      <c r="F551" s="8">
        <v>4.7529396744193457</v>
      </c>
    </row>
    <row r="552" spans="1:6" x14ac:dyDescent="0.25">
      <c r="A552" s="4" t="s">
        <v>56</v>
      </c>
      <c r="B552" s="4" t="str">
        <f>VLOOKUP(A552,Codes!$G$2:$H$217,2,0)</f>
        <v>FRA</v>
      </c>
      <c r="C552" s="11">
        <v>41609176</v>
      </c>
      <c r="D552" s="16">
        <v>2018</v>
      </c>
      <c r="E552" s="13">
        <v>201087</v>
      </c>
      <c r="F552" s="8">
        <v>4.832756120909484</v>
      </c>
    </row>
    <row r="553" spans="1:6" x14ac:dyDescent="0.25">
      <c r="A553" s="4" t="s">
        <v>56</v>
      </c>
      <c r="B553" s="4" t="str">
        <f>VLOOKUP(A553,Codes!$G$2:$H$217,2,0)</f>
        <v>FRA</v>
      </c>
      <c r="C553" s="11">
        <v>41564189</v>
      </c>
      <c r="D553" s="16">
        <v>2019</v>
      </c>
      <c r="E553" s="13">
        <v>218426</v>
      </c>
      <c r="F553" s="8">
        <v>5.2551488494097649</v>
      </c>
    </row>
    <row r="554" spans="1:6" x14ac:dyDescent="0.25">
      <c r="A554" s="4" t="s">
        <v>56</v>
      </c>
      <c r="B554" s="4" t="str">
        <f>VLOOKUP(A554,Codes!$G$2:$H$217,2,0)</f>
        <v>FRA</v>
      </c>
      <c r="C554" s="11">
        <v>41508422</v>
      </c>
      <c r="D554" s="16">
        <v>2020</v>
      </c>
      <c r="E554" s="13">
        <v>218054</v>
      </c>
      <c r="F554" s="8">
        <v>5.2532471602991802</v>
      </c>
    </row>
    <row r="555" spans="1:6" x14ac:dyDescent="0.25">
      <c r="A555" s="3" t="s">
        <v>57</v>
      </c>
      <c r="B555" s="4" t="str">
        <f>VLOOKUP(A555,Codes!$G$2:$H$217,2,0)</f>
        <v>GAB</v>
      </c>
      <c r="C555" s="11">
        <v>808602</v>
      </c>
      <c r="D555" s="12">
        <v>2006</v>
      </c>
      <c r="E555" s="13">
        <v>729</v>
      </c>
      <c r="F555" s="8">
        <v>0.90155601890670556</v>
      </c>
    </row>
    <row r="556" spans="1:6" x14ac:dyDescent="0.25">
      <c r="A556" s="4" t="s">
        <v>57</v>
      </c>
      <c r="B556" s="4" t="str">
        <f>VLOOKUP(A556,Codes!$G$2:$H$217,2,0)</f>
        <v>GAB</v>
      </c>
      <c r="C556" s="11">
        <v>840865</v>
      </c>
      <c r="D556" s="12">
        <v>2007</v>
      </c>
      <c r="E556" s="13">
        <v>1019</v>
      </c>
      <c r="F556" s="8">
        <v>1.211847323886712</v>
      </c>
    </row>
    <row r="557" spans="1:6" x14ac:dyDescent="0.25">
      <c r="A557" s="4" t="s">
        <v>57</v>
      </c>
      <c r="B557" s="4" t="str">
        <f>VLOOKUP(A557,Codes!$G$2:$H$217,2,0)</f>
        <v>GAB</v>
      </c>
      <c r="C557" s="11">
        <v>874922</v>
      </c>
      <c r="D557" s="12">
        <v>2008</v>
      </c>
      <c r="E557" s="13">
        <v>1069</v>
      </c>
      <c r="F557" s="8">
        <v>1.2218232025254823</v>
      </c>
    </row>
    <row r="558" spans="1:6" x14ac:dyDescent="0.25">
      <c r="A558" s="4" t="s">
        <v>57</v>
      </c>
      <c r="B558" s="4" t="str">
        <f>VLOOKUP(A558,Codes!$G$2:$H$217,2,0)</f>
        <v>GAB</v>
      </c>
      <c r="C558" s="11">
        <v>911146</v>
      </c>
      <c r="D558" s="12">
        <v>2009</v>
      </c>
      <c r="E558" s="13">
        <v>1009</v>
      </c>
      <c r="F558" s="8">
        <v>1.1073966192026303</v>
      </c>
    </row>
    <row r="559" spans="1:6" x14ac:dyDescent="0.25">
      <c r="A559" s="4" t="s">
        <v>57</v>
      </c>
      <c r="B559" s="4" t="str">
        <f>VLOOKUP(A559,Codes!$G$2:$H$217,2,0)</f>
        <v>GAB</v>
      </c>
      <c r="C559" s="11">
        <v>949721</v>
      </c>
      <c r="D559" s="12">
        <v>2010</v>
      </c>
      <c r="E559" s="13">
        <v>1248</v>
      </c>
      <c r="F559" s="8">
        <v>1.31407013217566</v>
      </c>
    </row>
    <row r="560" spans="1:6" x14ac:dyDescent="0.25">
      <c r="A560" s="4" t="s">
        <v>57</v>
      </c>
      <c r="B560" s="4" t="str">
        <f>VLOOKUP(A560,Codes!$G$2:$H$217,2,0)</f>
        <v>GAB</v>
      </c>
      <c r="C560" s="11">
        <v>992018</v>
      </c>
      <c r="D560" s="12">
        <v>2011</v>
      </c>
      <c r="E560" s="13">
        <v>1251</v>
      </c>
      <c r="F560" s="8">
        <v>1.261065827434583</v>
      </c>
    </row>
    <row r="561" spans="1:6" x14ac:dyDescent="0.25">
      <c r="A561" s="4" t="s">
        <v>57</v>
      </c>
      <c r="B561" s="4" t="str">
        <f>VLOOKUP(A561,Codes!$G$2:$H$217,2,0)</f>
        <v>GAB</v>
      </c>
      <c r="C561" s="11">
        <v>1036950</v>
      </c>
      <c r="D561" s="12">
        <v>2012</v>
      </c>
      <c r="E561" s="13">
        <v>1258</v>
      </c>
      <c r="F561" s="8">
        <v>1.2131732484690678</v>
      </c>
    </row>
    <row r="562" spans="1:6" x14ac:dyDescent="0.25">
      <c r="A562" s="4" t="s">
        <v>57</v>
      </c>
      <c r="B562" s="4" t="str">
        <f>VLOOKUP(A562,Codes!$G$2:$H$217,2,0)</f>
        <v>GAB</v>
      </c>
      <c r="C562" s="11">
        <v>1082663</v>
      </c>
      <c r="D562" s="12">
        <v>2013</v>
      </c>
      <c r="E562" s="13">
        <v>1421</v>
      </c>
      <c r="F562" s="8">
        <v>1.3125044450581576</v>
      </c>
    </row>
    <row r="563" spans="1:6" x14ac:dyDescent="0.25">
      <c r="A563" s="4" t="s">
        <v>57</v>
      </c>
      <c r="B563" s="4" t="str">
        <f>VLOOKUP(A563,Codes!$G$2:$H$217,2,0)</f>
        <v>GAB</v>
      </c>
      <c r="C563" s="11">
        <v>1127187</v>
      </c>
      <c r="D563" s="16">
        <v>2014</v>
      </c>
      <c r="E563" s="13">
        <v>1620</v>
      </c>
      <c r="F563" s="8">
        <v>1.4372060713972039</v>
      </c>
    </row>
    <row r="564" spans="1:6" x14ac:dyDescent="0.25">
      <c r="A564" s="4" t="s">
        <v>57</v>
      </c>
      <c r="B564" s="4" t="str">
        <f>VLOOKUP(A564,Codes!$G$2:$H$217,2,0)</f>
        <v>GAB</v>
      </c>
      <c r="C564" s="11">
        <v>1169403</v>
      </c>
      <c r="D564" s="16">
        <v>2015</v>
      </c>
      <c r="E564" s="13">
        <v>1544</v>
      </c>
      <c r="F564" s="8">
        <v>1.3203318274367348</v>
      </c>
    </row>
    <row r="565" spans="1:6" x14ac:dyDescent="0.25">
      <c r="A565" s="4" t="s">
        <v>57</v>
      </c>
      <c r="B565" s="4" t="str">
        <f>VLOOKUP(A565,Codes!$G$2:$H$217,2,0)</f>
        <v>GAB</v>
      </c>
      <c r="C565" s="11">
        <v>1200824</v>
      </c>
      <c r="D565" s="16">
        <v>2016</v>
      </c>
      <c r="E565" s="13">
        <v>1175</v>
      </c>
      <c r="F565" s="8">
        <v>0.97849476692671045</v>
      </c>
    </row>
    <row r="566" spans="1:6" x14ac:dyDescent="0.25">
      <c r="A566" s="4" t="s">
        <v>57</v>
      </c>
      <c r="B566" s="4" t="str">
        <f>VLOOKUP(A566,Codes!$G$2:$H$217,2,0)</f>
        <v>GAB</v>
      </c>
      <c r="C566" s="11">
        <v>1230488</v>
      </c>
      <c r="D566" s="16">
        <v>2017</v>
      </c>
      <c r="E566" s="13">
        <v>1192</v>
      </c>
      <c r="F566" s="8">
        <v>0.96872135282912142</v>
      </c>
    </row>
    <row r="567" spans="1:6" x14ac:dyDescent="0.25">
      <c r="A567" s="4" t="s">
        <v>57</v>
      </c>
      <c r="B567" s="4" t="str">
        <f>VLOOKUP(A567,Codes!$G$2:$H$217,2,0)</f>
        <v>GAB</v>
      </c>
      <c r="C567" s="11">
        <v>1259066</v>
      </c>
      <c r="D567" s="16">
        <v>2018</v>
      </c>
      <c r="E567" s="13">
        <v>1218</v>
      </c>
      <c r="F567" s="8">
        <v>0.9673837590722012</v>
      </c>
    </row>
    <row r="568" spans="1:6" x14ac:dyDescent="0.25">
      <c r="A568" s="4" t="s">
        <v>57</v>
      </c>
      <c r="B568" s="4" t="str">
        <f>VLOOKUP(A568,Codes!$G$2:$H$217,2,0)</f>
        <v>GAB</v>
      </c>
      <c r="C568" s="11">
        <v>1287811</v>
      </c>
      <c r="D568" s="16">
        <v>2019</v>
      </c>
      <c r="E568" s="13">
        <v>1475</v>
      </c>
      <c r="F568" s="8">
        <v>1.1453544037129673</v>
      </c>
    </row>
    <row r="569" spans="1:6" x14ac:dyDescent="0.25">
      <c r="A569" s="4" t="s">
        <v>57</v>
      </c>
      <c r="B569" s="4" t="str">
        <f>VLOOKUP(A569,Codes!$G$2:$H$217,2,0)</f>
        <v>GAB</v>
      </c>
      <c r="C569" s="11">
        <v>1317793</v>
      </c>
      <c r="D569" s="16">
        <v>2020</v>
      </c>
      <c r="E569" s="13">
        <v>1275</v>
      </c>
      <c r="F569" s="8">
        <v>0.96752676634342416</v>
      </c>
    </row>
    <row r="570" spans="1:6" x14ac:dyDescent="0.25">
      <c r="A570" s="3" t="s">
        <v>58</v>
      </c>
      <c r="B570" s="4" t="str">
        <f>VLOOKUP(A570,Codes!$G$2:$H$217,2,0)</f>
        <v>GEO</v>
      </c>
      <c r="C570" s="11">
        <v>2589823</v>
      </c>
      <c r="D570" s="12">
        <v>2006</v>
      </c>
      <c r="E570" s="13">
        <v>6073</v>
      </c>
      <c r="F570" s="8">
        <v>2.3449478979837619</v>
      </c>
    </row>
    <row r="571" spans="1:6" x14ac:dyDescent="0.25">
      <c r="A571" s="4" t="s">
        <v>58</v>
      </c>
      <c r="B571" s="4" t="str">
        <f>VLOOKUP(A571,Codes!$G$2:$H$217,2,0)</f>
        <v>GEO</v>
      </c>
      <c r="C571" s="11">
        <v>2588599</v>
      </c>
      <c r="D571" s="12">
        <v>2007</v>
      </c>
      <c r="E571" s="13">
        <v>7627</v>
      </c>
      <c r="F571" s="8">
        <v>2.9463814209925911</v>
      </c>
    </row>
    <row r="572" spans="1:6" x14ac:dyDescent="0.25">
      <c r="A572" s="4" t="s">
        <v>58</v>
      </c>
      <c r="B572" s="4" t="str">
        <f>VLOOKUP(A572,Codes!$G$2:$H$217,2,0)</f>
        <v>GEO</v>
      </c>
      <c r="C572" s="11">
        <v>2593319</v>
      </c>
      <c r="D572" s="12">
        <v>2008</v>
      </c>
      <c r="E572" s="13">
        <v>8658</v>
      </c>
      <c r="F572" s="8">
        <v>3.3385788636106857</v>
      </c>
    </row>
    <row r="573" spans="1:6" x14ac:dyDescent="0.25">
      <c r="A573" s="4" t="s">
        <v>58</v>
      </c>
      <c r="B573" s="4" t="str">
        <f>VLOOKUP(A573,Codes!$G$2:$H$217,2,0)</f>
        <v>GEO</v>
      </c>
      <c r="C573" s="11">
        <v>2580489</v>
      </c>
      <c r="D573" s="12">
        <v>2009</v>
      </c>
      <c r="E573" s="13">
        <v>7725</v>
      </c>
      <c r="F573" s="8">
        <v>2.99361865134864</v>
      </c>
    </row>
    <row r="574" spans="1:6" x14ac:dyDescent="0.25">
      <c r="A574" s="4" t="s">
        <v>58</v>
      </c>
      <c r="B574" s="4" t="str">
        <f>VLOOKUP(A574,Codes!$G$2:$H$217,2,0)</f>
        <v>GEO</v>
      </c>
      <c r="C574" s="11">
        <v>2567536</v>
      </c>
      <c r="D574" s="12">
        <v>2010</v>
      </c>
      <c r="E574" s="13">
        <v>11265</v>
      </c>
      <c r="F574" s="8">
        <v>4.3874749954820498</v>
      </c>
    </row>
    <row r="575" spans="1:6" x14ac:dyDescent="0.25">
      <c r="A575" s="4" t="s">
        <v>58</v>
      </c>
      <c r="B575" s="4" t="str">
        <f>VLOOKUP(A575,Codes!$G$2:$H$217,2,0)</f>
        <v>GEO</v>
      </c>
      <c r="C575" s="11">
        <v>2543624</v>
      </c>
      <c r="D575" s="12">
        <v>2011</v>
      </c>
      <c r="E575" s="13">
        <v>14091</v>
      </c>
      <c r="F575" s="8">
        <v>5.5397338600359172</v>
      </c>
    </row>
    <row r="576" spans="1:6" x14ac:dyDescent="0.25">
      <c r="A576" s="4" t="s">
        <v>58</v>
      </c>
      <c r="B576" s="4" t="str">
        <f>VLOOKUP(A576,Codes!$G$2:$H$217,2,0)</f>
        <v>GEO</v>
      </c>
      <c r="C576" s="11">
        <v>2519263</v>
      </c>
      <c r="D576" s="12">
        <v>2012</v>
      </c>
      <c r="E576" s="13">
        <v>15004</v>
      </c>
      <c r="F576" s="8">
        <v>5.955710062823929</v>
      </c>
    </row>
    <row r="577" spans="1:6" x14ac:dyDescent="0.25">
      <c r="A577" s="4" t="s">
        <v>58</v>
      </c>
      <c r="B577" s="4" t="str">
        <f>VLOOKUP(A577,Codes!$G$2:$H$217,2,0)</f>
        <v>GEO</v>
      </c>
      <c r="C577" s="11">
        <v>2503452</v>
      </c>
      <c r="D577" s="12">
        <v>2013</v>
      </c>
      <c r="E577" s="13">
        <v>17761</v>
      </c>
      <c r="F577" s="8">
        <v>7.0946037711128476</v>
      </c>
    </row>
    <row r="578" spans="1:6" x14ac:dyDescent="0.25">
      <c r="A578" s="4" t="s">
        <v>58</v>
      </c>
      <c r="B578" s="4" t="str">
        <f>VLOOKUP(A578,Codes!$G$2:$H$217,2,0)</f>
        <v>GEO</v>
      </c>
      <c r="C578" s="11">
        <v>2493684</v>
      </c>
      <c r="D578" s="16">
        <v>2014</v>
      </c>
      <c r="E578" s="13">
        <v>17608</v>
      </c>
      <c r="F578" s="8">
        <v>7.0610390089522177</v>
      </c>
    </row>
    <row r="579" spans="1:6" x14ac:dyDescent="0.25">
      <c r="A579" s="4" t="s">
        <v>58</v>
      </c>
      <c r="B579" s="4" t="str">
        <f>VLOOKUP(A579,Codes!$G$2:$H$217,2,0)</f>
        <v>GEO</v>
      </c>
      <c r="C579" s="11">
        <v>2484190</v>
      </c>
      <c r="D579" s="16">
        <v>2015</v>
      </c>
      <c r="E579" s="13">
        <v>18432</v>
      </c>
      <c r="F579" s="8">
        <v>7.4197223239768295</v>
      </c>
    </row>
    <row r="580" spans="1:6" x14ac:dyDescent="0.25">
      <c r="A580" s="4" t="s">
        <v>58</v>
      </c>
      <c r="B580" s="4" t="str">
        <f>VLOOKUP(A580,Codes!$G$2:$H$217,2,0)</f>
        <v>GEO</v>
      </c>
      <c r="C580" s="11">
        <v>2469523</v>
      </c>
      <c r="D580" s="16">
        <v>2016</v>
      </c>
      <c r="E580" s="13">
        <v>21299</v>
      </c>
      <c r="F580" s="8">
        <v>8.6247425110031362</v>
      </c>
    </row>
    <row r="581" spans="1:6" x14ac:dyDescent="0.25">
      <c r="A581" s="4" t="s">
        <v>58</v>
      </c>
      <c r="B581" s="4" t="str">
        <f>VLOOKUP(A581,Codes!$G$2:$H$217,2,0)</f>
        <v>GEO</v>
      </c>
      <c r="C581" s="11">
        <v>2452928</v>
      </c>
      <c r="D581" s="16">
        <v>2017</v>
      </c>
      <c r="E581" s="13">
        <v>25554</v>
      </c>
      <c r="F581" s="8">
        <v>10.417753802802201</v>
      </c>
    </row>
    <row r="582" spans="1:6" x14ac:dyDescent="0.25">
      <c r="A582" s="4" t="s">
        <v>58</v>
      </c>
      <c r="B582" s="4" t="str">
        <f>VLOOKUP(A582,Codes!$G$2:$H$217,2,0)</f>
        <v>GEO</v>
      </c>
      <c r="C582" s="11">
        <v>2434900</v>
      </c>
      <c r="D582" s="16">
        <v>2018</v>
      </c>
      <c r="E582" s="13">
        <v>25238</v>
      </c>
      <c r="F582" s="8">
        <v>10.365107396607664</v>
      </c>
    </row>
    <row r="583" spans="1:6" x14ac:dyDescent="0.25">
      <c r="A583" s="4" t="s">
        <v>58</v>
      </c>
      <c r="B583" s="4" t="str">
        <f>VLOOKUP(A583,Codes!$G$2:$H$217,2,0)</f>
        <v>GEO</v>
      </c>
      <c r="C583" s="11">
        <v>2414664</v>
      </c>
      <c r="D583" s="16">
        <v>2019</v>
      </c>
      <c r="E583" s="13">
        <v>22588</v>
      </c>
      <c r="F583" s="8">
        <v>9.35451060685876</v>
      </c>
    </row>
    <row r="584" spans="1:6" x14ac:dyDescent="0.25">
      <c r="A584" s="4" t="s">
        <v>58</v>
      </c>
      <c r="B584" s="4" t="str">
        <f>VLOOKUP(A584,Codes!$G$2:$H$217,2,0)</f>
        <v>GEO</v>
      </c>
      <c r="C584" s="11">
        <v>2396506</v>
      </c>
      <c r="D584" s="16">
        <v>2020</v>
      </c>
      <c r="E584" s="13">
        <v>17905</v>
      </c>
      <c r="F584" s="8">
        <v>7.4712936249690172</v>
      </c>
    </row>
    <row r="585" spans="1:6" x14ac:dyDescent="0.25">
      <c r="A585" s="3" t="s">
        <v>59</v>
      </c>
      <c r="B585" s="4" t="str">
        <f>VLOOKUP(A585,Codes!$G$2:$H$217,2,0)</f>
        <v>DEU</v>
      </c>
      <c r="C585" s="11">
        <v>54784420</v>
      </c>
      <c r="D585" s="12">
        <v>2006</v>
      </c>
      <c r="E585" s="13">
        <v>65447</v>
      </c>
      <c r="F585" s="8">
        <v>1.1946279617453284</v>
      </c>
    </row>
    <row r="586" spans="1:6" x14ac:dyDescent="0.25">
      <c r="A586" s="4" t="s">
        <v>59</v>
      </c>
      <c r="B586" s="4" t="str">
        <f>VLOOKUP(A586,Codes!$G$2:$H$217,2,0)</f>
        <v>DEU</v>
      </c>
      <c r="C586" s="11">
        <v>54552203</v>
      </c>
      <c r="D586" s="12">
        <v>2007</v>
      </c>
      <c r="E586" s="13">
        <v>65292</v>
      </c>
      <c r="F586" s="8">
        <v>1.196871921011146</v>
      </c>
    </row>
    <row r="587" spans="1:6" x14ac:dyDescent="0.25">
      <c r="A587" s="4" t="s">
        <v>59</v>
      </c>
      <c r="B587" s="4" t="str">
        <f>VLOOKUP(A587,Codes!$G$2:$H$217,2,0)</f>
        <v>DEU</v>
      </c>
      <c r="C587" s="11">
        <v>54305247</v>
      </c>
      <c r="D587" s="12">
        <v>2008</v>
      </c>
      <c r="E587" s="13">
        <v>65812</v>
      </c>
      <c r="F587" s="8">
        <v>1.2118902617273797</v>
      </c>
    </row>
    <row r="588" spans="1:6" x14ac:dyDescent="0.25">
      <c r="A588" s="4" t="s">
        <v>59</v>
      </c>
      <c r="B588" s="4" t="str">
        <f>VLOOKUP(A588,Codes!$G$2:$H$217,2,0)</f>
        <v>DEU</v>
      </c>
      <c r="C588" s="11">
        <v>54049519</v>
      </c>
      <c r="D588" s="12">
        <v>2009</v>
      </c>
      <c r="E588" s="13">
        <v>74055</v>
      </c>
      <c r="F588" s="8">
        <v>1.3701324520575291</v>
      </c>
    </row>
    <row r="589" spans="1:6" x14ac:dyDescent="0.25">
      <c r="A589" s="4" t="s">
        <v>59</v>
      </c>
      <c r="B589" s="4" t="str">
        <f>VLOOKUP(A589,Codes!$G$2:$H$217,2,0)</f>
        <v>DEU</v>
      </c>
      <c r="C589" s="11">
        <v>53873715</v>
      </c>
      <c r="D589" s="12">
        <v>2010</v>
      </c>
      <c r="E589" s="13">
        <v>73966</v>
      </c>
      <c r="F589" s="8">
        <v>1.372951540468297</v>
      </c>
    </row>
    <row r="590" spans="1:6" x14ac:dyDescent="0.25">
      <c r="A590" s="4" t="s">
        <v>59</v>
      </c>
      <c r="B590" s="4" t="str">
        <f>VLOOKUP(A590,Codes!$G$2:$H$217,2,0)</f>
        <v>DEU</v>
      </c>
      <c r="C590" s="11">
        <v>52809101</v>
      </c>
      <c r="D590" s="12">
        <v>2011</v>
      </c>
      <c r="E590" s="13">
        <v>71190</v>
      </c>
      <c r="F590" s="8">
        <v>1.3480630923825043</v>
      </c>
    </row>
    <row r="591" spans="1:6" x14ac:dyDescent="0.25">
      <c r="A591" s="4" t="s">
        <v>59</v>
      </c>
      <c r="B591" s="4" t="str">
        <f>VLOOKUP(A591,Codes!$G$2:$H$217,2,0)</f>
        <v>DEU</v>
      </c>
      <c r="C591" s="11">
        <v>52878539</v>
      </c>
      <c r="D591" s="12">
        <v>2012</v>
      </c>
      <c r="E591" s="13">
        <v>69332</v>
      </c>
      <c r="F591" s="8">
        <v>1.3111557412734114</v>
      </c>
    </row>
    <row r="592" spans="1:6" x14ac:dyDescent="0.25">
      <c r="A592" s="4" t="s">
        <v>59</v>
      </c>
      <c r="B592" s="4" t="str">
        <f>VLOOKUP(A592,Codes!$G$2:$H$217,2,0)</f>
        <v>DEU</v>
      </c>
      <c r="C592" s="11">
        <v>53010250</v>
      </c>
      <c r="D592" s="12">
        <v>2013</v>
      </c>
      <c r="E592" s="13">
        <v>68526</v>
      </c>
      <c r="F592" s="8">
        <v>1.2926933942020649</v>
      </c>
    </row>
    <row r="593" spans="1:6" x14ac:dyDescent="0.25">
      <c r="A593" s="4" t="s">
        <v>59</v>
      </c>
      <c r="B593" s="4" t="str">
        <f>VLOOKUP(A593,Codes!$G$2:$H$217,2,0)</f>
        <v>DEU</v>
      </c>
      <c r="C593" s="11">
        <v>53192333</v>
      </c>
      <c r="D593" s="16">
        <v>2014</v>
      </c>
      <c r="E593" s="13">
        <v>67458</v>
      </c>
      <c r="F593" s="8">
        <v>1.268190285994788</v>
      </c>
    </row>
    <row r="594" spans="1:6" x14ac:dyDescent="0.25">
      <c r="A594" s="4" t="s">
        <v>59</v>
      </c>
      <c r="B594" s="4" t="str">
        <f>VLOOKUP(A594,Codes!$G$2:$H$217,2,0)</f>
        <v>DEU</v>
      </c>
      <c r="C594" s="11">
        <v>53557394</v>
      </c>
      <c r="D594" s="16">
        <v>2015</v>
      </c>
      <c r="E594" s="13">
        <v>69384</v>
      </c>
      <c r="F594" s="8">
        <v>1.2955073953000775</v>
      </c>
    </row>
    <row r="595" spans="1:6" x14ac:dyDescent="0.25">
      <c r="A595" s="4" t="s">
        <v>59</v>
      </c>
      <c r="B595" s="4" t="str">
        <f>VLOOKUP(A595,Codes!$G$2:$H$217,2,0)</f>
        <v>DEU</v>
      </c>
      <c r="C595" s="11">
        <v>53852728</v>
      </c>
      <c r="D595" s="16">
        <v>2016</v>
      </c>
      <c r="E595" s="13">
        <v>70720</v>
      </c>
      <c r="F595" s="8">
        <v>1.3132110967526101</v>
      </c>
    </row>
    <row r="596" spans="1:6" x14ac:dyDescent="0.25">
      <c r="A596" s="4" t="s">
        <v>59</v>
      </c>
      <c r="B596" s="4" t="str">
        <f>VLOOKUP(A596,Codes!$G$2:$H$217,2,0)</f>
        <v>DEU</v>
      </c>
      <c r="C596" s="11">
        <v>53874035</v>
      </c>
      <c r="D596" s="16">
        <v>2017</v>
      </c>
      <c r="E596" s="13">
        <v>71801</v>
      </c>
      <c r="F596" s="8">
        <v>1.3327570507759443</v>
      </c>
    </row>
    <row r="597" spans="1:6" x14ac:dyDescent="0.25">
      <c r="A597" s="4" t="s">
        <v>59</v>
      </c>
      <c r="B597" s="4" t="str">
        <f>VLOOKUP(A597,Codes!$G$2:$H$217,2,0)</f>
        <v>DEU</v>
      </c>
      <c r="C597" s="11">
        <v>53819953</v>
      </c>
      <c r="D597" s="16">
        <v>2018</v>
      </c>
      <c r="E597" s="13">
        <v>72844</v>
      </c>
      <c r="F597" s="8">
        <v>1.3534757267439457</v>
      </c>
    </row>
    <row r="598" spans="1:6" x14ac:dyDescent="0.25">
      <c r="A598" s="4" t="s">
        <v>59</v>
      </c>
      <c r="B598" s="4" t="str">
        <f>VLOOKUP(A598,Codes!$G$2:$H$217,2,0)</f>
        <v>DEU</v>
      </c>
      <c r="C598" s="11">
        <v>53709229</v>
      </c>
      <c r="D598" s="16">
        <v>2019</v>
      </c>
      <c r="E598" s="13">
        <v>73991</v>
      </c>
      <c r="F598" s="8">
        <v>1.3776217119035539</v>
      </c>
    </row>
    <row r="599" spans="1:6" x14ac:dyDescent="0.25">
      <c r="A599" s="4" t="s">
        <v>59</v>
      </c>
      <c r="B599" s="4" t="str">
        <f>VLOOKUP(A599,Codes!$G$2:$H$217,2,0)</f>
        <v>DEU</v>
      </c>
      <c r="C599" s="11">
        <v>53571067</v>
      </c>
      <c r="D599" s="16">
        <v>2020</v>
      </c>
      <c r="E599" s="13">
        <v>72774</v>
      </c>
      <c r="F599" s="8">
        <v>1.3584571686802505</v>
      </c>
    </row>
    <row r="600" spans="1:6" x14ac:dyDescent="0.25">
      <c r="A600" s="3" t="s">
        <v>60</v>
      </c>
      <c r="B600" s="4" t="str">
        <f>VLOOKUP(A600,Codes!$G$2:$H$217,2,0)</f>
        <v>GHA</v>
      </c>
      <c r="C600" s="11">
        <v>12676255</v>
      </c>
      <c r="D600" s="12">
        <v>2006</v>
      </c>
      <c r="E600" s="13">
        <v>7651</v>
      </c>
      <c r="F600" s="8">
        <v>0.60356942961466142</v>
      </c>
    </row>
    <row r="601" spans="1:6" x14ac:dyDescent="0.25">
      <c r="A601" s="4" t="s">
        <v>60</v>
      </c>
      <c r="B601" s="4" t="str">
        <f>VLOOKUP(A601,Codes!$G$2:$H$217,2,0)</f>
        <v>GHA</v>
      </c>
      <c r="C601" s="11">
        <v>13080121</v>
      </c>
      <c r="D601" s="12">
        <v>2007</v>
      </c>
      <c r="E601" s="13">
        <v>9624</v>
      </c>
      <c r="F601" s="8">
        <v>0.7357730100509009</v>
      </c>
    </row>
    <row r="602" spans="1:6" x14ac:dyDescent="0.25">
      <c r="A602" s="4" t="s">
        <v>60</v>
      </c>
      <c r="B602" s="4" t="str">
        <f>VLOOKUP(A602,Codes!$G$2:$H$217,2,0)</f>
        <v>GHA</v>
      </c>
      <c r="C602" s="11">
        <v>13493569</v>
      </c>
      <c r="D602" s="12">
        <v>2008</v>
      </c>
      <c r="E602" s="13">
        <v>14485</v>
      </c>
      <c r="F602" s="8">
        <v>1.0734743343291904</v>
      </c>
    </row>
    <row r="603" spans="1:6" x14ac:dyDescent="0.25">
      <c r="A603" s="4" t="s">
        <v>60</v>
      </c>
      <c r="B603" s="4" t="str">
        <f>VLOOKUP(A603,Codes!$G$2:$H$217,2,0)</f>
        <v>GHA</v>
      </c>
      <c r="C603" s="11">
        <v>13914886</v>
      </c>
      <c r="D603" s="12">
        <v>2009</v>
      </c>
      <c r="E603" s="13">
        <v>15324</v>
      </c>
      <c r="F603" s="8">
        <v>1.1012666578799135</v>
      </c>
    </row>
    <row r="604" spans="1:6" x14ac:dyDescent="0.25">
      <c r="A604" s="4" t="s">
        <v>60</v>
      </c>
      <c r="B604" s="4" t="str">
        <f>VLOOKUP(A604,Codes!$G$2:$H$217,2,0)</f>
        <v>GHA</v>
      </c>
      <c r="C604" s="11">
        <v>14341334</v>
      </c>
      <c r="D604" s="12">
        <v>2010</v>
      </c>
      <c r="E604" s="13">
        <v>13760</v>
      </c>
      <c r="F604" s="8">
        <v>0.95946444033727962</v>
      </c>
    </row>
    <row r="605" spans="1:6" x14ac:dyDescent="0.25">
      <c r="A605" s="4" t="s">
        <v>60</v>
      </c>
      <c r="B605" s="4" t="str">
        <f>VLOOKUP(A605,Codes!$G$2:$H$217,2,0)</f>
        <v>GHA</v>
      </c>
      <c r="C605" s="11">
        <v>14735647</v>
      </c>
      <c r="D605" s="12">
        <v>2011</v>
      </c>
      <c r="E605" s="13">
        <v>15649</v>
      </c>
      <c r="F605" s="8">
        <v>1.0619825515635657</v>
      </c>
    </row>
    <row r="606" spans="1:6" x14ac:dyDescent="0.25">
      <c r="A606" s="4" t="s">
        <v>60</v>
      </c>
      <c r="B606" s="4" t="str">
        <f>VLOOKUP(A606,Codes!$G$2:$H$217,2,0)</f>
        <v>GHA</v>
      </c>
      <c r="C606" s="11">
        <v>15134181</v>
      </c>
      <c r="D606" s="12">
        <v>2012</v>
      </c>
      <c r="E606" s="13">
        <v>13154</v>
      </c>
      <c r="F606" s="8">
        <v>0.86915836410308556</v>
      </c>
    </row>
    <row r="607" spans="1:6" x14ac:dyDescent="0.25">
      <c r="A607" s="3" t="s">
        <v>61</v>
      </c>
      <c r="B607" s="4" t="str">
        <f>VLOOKUP(A607,Codes!$G$2:$H$217,2,0)</f>
        <v>GRC</v>
      </c>
      <c r="C607" s="11">
        <v>7279540</v>
      </c>
      <c r="D607" s="12">
        <v>2011</v>
      </c>
      <c r="E607" s="13">
        <v>2257</v>
      </c>
      <c r="F607" s="8">
        <v>0.31004706341334753</v>
      </c>
    </row>
    <row r="608" spans="1:6" x14ac:dyDescent="0.25">
      <c r="A608" s="4" t="s">
        <v>61</v>
      </c>
      <c r="B608" s="4" t="str">
        <f>VLOOKUP(A608,Codes!$G$2:$H$217,2,0)</f>
        <v>GRC</v>
      </c>
      <c r="C608" s="11">
        <v>7214133</v>
      </c>
      <c r="D608" s="12">
        <v>2012</v>
      </c>
      <c r="E608" s="13">
        <v>3473</v>
      </c>
      <c r="F608" s="8">
        <v>0.48141613136325595</v>
      </c>
    </row>
    <row r="609" spans="1:6" x14ac:dyDescent="0.25">
      <c r="A609" s="4" t="s">
        <v>61</v>
      </c>
      <c r="B609" s="4" t="str">
        <f>VLOOKUP(A609,Codes!$G$2:$H$217,2,0)</f>
        <v>GRC</v>
      </c>
      <c r="C609" s="11">
        <v>7136265</v>
      </c>
      <c r="D609" s="12">
        <v>2013</v>
      </c>
      <c r="E609" s="13">
        <v>4894</v>
      </c>
      <c r="F609" s="8">
        <v>0.68579291828428457</v>
      </c>
    </row>
    <row r="610" spans="1:6" x14ac:dyDescent="0.25">
      <c r="A610" s="4" t="s">
        <v>61</v>
      </c>
      <c r="B610" s="4" t="str">
        <f>VLOOKUP(A610,Codes!$G$2:$H$217,2,0)</f>
        <v>GRC</v>
      </c>
      <c r="C610" s="11">
        <v>7063412</v>
      </c>
      <c r="D610" s="16">
        <v>2014</v>
      </c>
      <c r="E610" s="13">
        <v>5072</v>
      </c>
      <c r="F610" s="8">
        <v>0.7180665661297968</v>
      </c>
    </row>
    <row r="611" spans="1:6" x14ac:dyDescent="0.25">
      <c r="A611" s="4" t="s">
        <v>61</v>
      </c>
      <c r="B611" s="4" t="str">
        <f>VLOOKUP(A611,Codes!$G$2:$H$217,2,0)</f>
        <v>GRC</v>
      </c>
      <c r="C611" s="11">
        <v>6992363</v>
      </c>
      <c r="D611" s="16">
        <v>2015</v>
      </c>
      <c r="E611" s="13">
        <v>4746</v>
      </c>
      <c r="F611" s="8">
        <v>0.67874050589192814</v>
      </c>
    </row>
    <row r="612" spans="1:6" x14ac:dyDescent="0.25">
      <c r="A612" s="4" t="s">
        <v>61</v>
      </c>
      <c r="B612" s="4" t="str">
        <f>VLOOKUP(A612,Codes!$G$2:$H$217,2,0)</f>
        <v>GRC</v>
      </c>
      <c r="C612" s="11">
        <v>6952093</v>
      </c>
      <c r="D612" s="16">
        <v>2016</v>
      </c>
      <c r="E612" s="13">
        <v>5750</v>
      </c>
      <c r="F612" s="8">
        <v>0.82708905073623151</v>
      </c>
    </row>
    <row r="613" spans="1:6" x14ac:dyDescent="0.25">
      <c r="A613" s="4" t="s">
        <v>61</v>
      </c>
      <c r="B613" s="4" t="str">
        <f>VLOOKUP(A613,Codes!$G$2:$H$217,2,0)</f>
        <v>GRC</v>
      </c>
      <c r="C613" s="11">
        <v>6925566</v>
      </c>
      <c r="D613" s="16">
        <v>2017</v>
      </c>
      <c r="E613" s="13">
        <v>7733</v>
      </c>
      <c r="F613" s="8">
        <v>1.1165874384851722</v>
      </c>
    </row>
    <row r="614" spans="1:6" x14ac:dyDescent="0.25">
      <c r="A614" s="4" t="s">
        <v>61</v>
      </c>
      <c r="B614" s="4" t="str">
        <f>VLOOKUP(A614,Codes!$G$2:$H$217,2,0)</f>
        <v>GRC</v>
      </c>
      <c r="C614" s="11">
        <v>6898397</v>
      </c>
      <c r="D614" s="16">
        <v>2018</v>
      </c>
      <c r="E614" s="13">
        <v>9921</v>
      </c>
      <c r="F614" s="8">
        <v>1.4381601986664436</v>
      </c>
    </row>
    <row r="615" spans="1:6" x14ac:dyDescent="0.25">
      <c r="A615" s="4" t="s">
        <v>61</v>
      </c>
      <c r="B615" s="4" t="str">
        <f>VLOOKUP(A615,Codes!$G$2:$H$217,2,0)</f>
        <v>GRC</v>
      </c>
      <c r="C615" s="11">
        <v>6879174</v>
      </c>
      <c r="D615" s="16">
        <v>2019</v>
      </c>
      <c r="E615" s="13">
        <v>11980</v>
      </c>
      <c r="F615" s="8">
        <v>1.7414881495947043</v>
      </c>
    </row>
    <row r="616" spans="1:6" x14ac:dyDescent="0.25">
      <c r="A616" s="4" t="s">
        <v>61</v>
      </c>
      <c r="B616" s="4" t="str">
        <f>VLOOKUP(A616,Codes!$G$2:$H$217,2,0)</f>
        <v>GRC</v>
      </c>
      <c r="C616" s="11">
        <v>6864347</v>
      </c>
      <c r="D616" s="16">
        <v>2020</v>
      </c>
      <c r="E616" s="13">
        <v>12047</v>
      </c>
      <c r="F616" s="8">
        <v>1.7550103454851567</v>
      </c>
    </row>
    <row r="617" spans="1:6" x14ac:dyDescent="0.25">
      <c r="A617" s="3" t="s">
        <v>62</v>
      </c>
      <c r="B617" s="4" t="str">
        <f>VLOOKUP(A617,Codes!$G$2:$H$217,2,0)</f>
        <v>GRD</v>
      </c>
      <c r="C617" s="11">
        <v>66919</v>
      </c>
      <c r="D617" s="12">
        <v>2006</v>
      </c>
      <c r="E617" s="13">
        <v>201</v>
      </c>
      <c r="F617" s="8">
        <v>3.003631255697186</v>
      </c>
    </row>
    <row r="618" spans="1:6" x14ac:dyDescent="0.25">
      <c r="A618" s="4" t="s">
        <v>62</v>
      </c>
      <c r="B618" s="4" t="str">
        <f>VLOOKUP(A618,Codes!$G$2:$H$217,2,0)</f>
        <v>GRD</v>
      </c>
      <c r="C618" s="11">
        <v>67753</v>
      </c>
      <c r="D618" s="12">
        <v>2007</v>
      </c>
      <c r="E618" s="13">
        <v>207</v>
      </c>
      <c r="F618" s="8">
        <v>3.0552152672206399</v>
      </c>
    </row>
    <row r="619" spans="1:6" x14ac:dyDescent="0.25">
      <c r="A619" s="4" t="s">
        <v>62</v>
      </c>
      <c r="B619" s="4" t="str">
        <f>VLOOKUP(A619,Codes!$G$2:$H$217,2,0)</f>
        <v>GRD</v>
      </c>
      <c r="C619" s="11">
        <v>68590</v>
      </c>
      <c r="D619" s="12">
        <v>2008</v>
      </c>
      <c r="E619" s="13">
        <v>186</v>
      </c>
      <c r="F619" s="8">
        <v>2.7117655634932203</v>
      </c>
    </row>
    <row r="620" spans="1:6" x14ac:dyDescent="0.25">
      <c r="A620" s="4" t="s">
        <v>62</v>
      </c>
      <c r="B620" s="4" t="str">
        <f>VLOOKUP(A620,Codes!$G$2:$H$217,2,0)</f>
        <v>GRD</v>
      </c>
      <c r="C620" s="11">
        <v>69466</v>
      </c>
      <c r="D620" s="12">
        <v>2009</v>
      </c>
      <c r="E620" s="13">
        <v>120</v>
      </c>
      <c r="F620" s="8">
        <v>1.7274637952379581</v>
      </c>
    </row>
    <row r="621" spans="1:6" x14ac:dyDescent="0.25">
      <c r="A621" s="4" t="s">
        <v>62</v>
      </c>
      <c r="B621" s="4" t="str">
        <f>VLOOKUP(A621,Codes!$G$2:$H$217,2,0)</f>
        <v>GRD</v>
      </c>
      <c r="C621" s="11">
        <v>70361</v>
      </c>
      <c r="D621" s="12">
        <v>2010</v>
      </c>
      <c r="E621" s="13">
        <v>147</v>
      </c>
      <c r="F621" s="8">
        <v>2.0892255652989582</v>
      </c>
    </row>
    <row r="622" spans="1:6" x14ac:dyDescent="0.25">
      <c r="A622" s="4" t="s">
        <v>62</v>
      </c>
      <c r="B622" s="4" t="str">
        <f>VLOOKUP(A622,Codes!$G$2:$H$217,2,0)</f>
        <v>GRD</v>
      </c>
      <c r="C622" s="11">
        <v>70954</v>
      </c>
      <c r="D622" s="12">
        <v>2011</v>
      </c>
      <c r="E622" s="13">
        <v>136</v>
      </c>
      <c r="F622" s="8">
        <v>1.9167347859176367</v>
      </c>
    </row>
    <row r="623" spans="1:6" x14ac:dyDescent="0.25">
      <c r="A623" s="4" t="s">
        <v>62</v>
      </c>
      <c r="B623" s="4" t="str">
        <f>VLOOKUP(A623,Codes!$G$2:$H$217,2,0)</f>
        <v>GRD</v>
      </c>
      <c r="C623" s="11">
        <v>71717</v>
      </c>
      <c r="D623" s="12">
        <v>2012</v>
      </c>
      <c r="E623" s="13">
        <v>123</v>
      </c>
      <c r="F623" s="8">
        <v>1.7150745290516891</v>
      </c>
    </row>
    <row r="624" spans="1:6" x14ac:dyDescent="0.25">
      <c r="A624" s="4" t="s">
        <v>62</v>
      </c>
      <c r="B624" s="4" t="str">
        <f>VLOOKUP(A624,Codes!$G$2:$H$217,2,0)</f>
        <v>GRD</v>
      </c>
      <c r="C624" s="11">
        <v>72491</v>
      </c>
      <c r="D624" s="12">
        <v>2013</v>
      </c>
      <c r="E624" s="13">
        <v>164</v>
      </c>
      <c r="F624" s="8">
        <v>2.2623498089417997</v>
      </c>
    </row>
    <row r="625" spans="1:6" x14ac:dyDescent="0.25">
      <c r="A625" s="4" t="s">
        <v>62</v>
      </c>
      <c r="B625" s="4" t="str">
        <f>VLOOKUP(A625,Codes!$G$2:$H$217,2,0)</f>
        <v>GRD</v>
      </c>
      <c r="C625" s="11">
        <v>73141</v>
      </c>
      <c r="D625" s="16">
        <v>2014</v>
      </c>
      <c r="E625" s="13">
        <v>175</v>
      </c>
      <c r="F625" s="8">
        <v>2.3926388755964507</v>
      </c>
    </row>
    <row r="626" spans="1:6" x14ac:dyDescent="0.25">
      <c r="A626" s="4" t="s">
        <v>62</v>
      </c>
      <c r="B626" s="4" t="str">
        <f>VLOOKUP(A626,Codes!$G$2:$H$217,2,0)</f>
        <v>GRD</v>
      </c>
      <c r="C626" s="11">
        <v>73625</v>
      </c>
      <c r="D626" s="16">
        <v>2015</v>
      </c>
      <c r="E626" s="13">
        <v>228</v>
      </c>
      <c r="F626" s="8">
        <v>3.096774193548387</v>
      </c>
    </row>
    <row r="627" spans="1:6" x14ac:dyDescent="0.25">
      <c r="A627" s="4" t="s">
        <v>62</v>
      </c>
      <c r="B627" s="4" t="str">
        <f>VLOOKUP(A627,Codes!$G$2:$H$217,2,0)</f>
        <v>GRD</v>
      </c>
      <c r="C627" s="11">
        <v>74056</v>
      </c>
      <c r="D627" s="16">
        <v>2016</v>
      </c>
      <c r="E627" s="13">
        <v>228</v>
      </c>
      <c r="F627" s="8">
        <v>3.0787512152965326</v>
      </c>
    </row>
    <row r="628" spans="1:6" x14ac:dyDescent="0.25">
      <c r="A628" s="4" t="s">
        <v>62</v>
      </c>
      <c r="B628" s="4" t="str">
        <f>VLOOKUP(A628,Codes!$G$2:$H$217,2,0)</f>
        <v>GRD</v>
      </c>
      <c r="C628" s="11">
        <v>74321</v>
      </c>
      <c r="D628" s="16">
        <v>2017</v>
      </c>
      <c r="E628" s="13">
        <v>273</v>
      </c>
      <c r="F628" s="8">
        <v>3.6732552037782056</v>
      </c>
    </row>
    <row r="629" spans="1:6" x14ac:dyDescent="0.25">
      <c r="A629" s="4" t="s">
        <v>62</v>
      </c>
      <c r="B629" s="4" t="str">
        <f>VLOOKUP(A629,Codes!$G$2:$H$217,2,0)</f>
        <v>GRD</v>
      </c>
      <c r="C629" s="11">
        <v>74467</v>
      </c>
      <c r="D629" s="16">
        <v>2018</v>
      </c>
      <c r="E629" s="13">
        <v>247</v>
      </c>
      <c r="F629" s="8">
        <v>3.3169054749083484</v>
      </c>
    </row>
    <row r="630" spans="1:6" x14ac:dyDescent="0.25">
      <c r="A630" s="4" t="s">
        <v>62</v>
      </c>
      <c r="B630" s="4" t="str">
        <f>VLOOKUP(A630,Codes!$G$2:$H$217,2,0)</f>
        <v>GRD</v>
      </c>
      <c r="C630" s="11">
        <v>74599</v>
      </c>
      <c r="D630" s="16">
        <v>2019</v>
      </c>
      <c r="E630" s="13">
        <v>257</v>
      </c>
      <c r="F630" s="8">
        <v>3.4450863952599899</v>
      </c>
    </row>
    <row r="631" spans="1:6" x14ac:dyDescent="0.25">
      <c r="A631" s="4" t="s">
        <v>62</v>
      </c>
      <c r="B631" s="4" t="str">
        <f>VLOOKUP(A631,Codes!$G$2:$H$217,2,0)</f>
        <v>GRD</v>
      </c>
      <c r="C631" s="11">
        <v>74747</v>
      </c>
      <c r="D631" s="16">
        <v>2020</v>
      </c>
      <c r="E631" s="13">
        <v>217</v>
      </c>
      <c r="F631" s="8">
        <v>2.9031265468848249</v>
      </c>
    </row>
    <row r="632" spans="1:6" x14ac:dyDescent="0.25">
      <c r="A632" s="3" t="s">
        <v>63</v>
      </c>
      <c r="B632" s="4" t="str">
        <f>VLOOKUP(A632,Codes!$G$2:$H$217,2,0)</f>
        <v>GTM</v>
      </c>
      <c r="C632" s="11">
        <v>7136493</v>
      </c>
      <c r="D632" s="12">
        <v>2006</v>
      </c>
      <c r="E632" s="13">
        <v>4830</v>
      </c>
      <c r="F632" s="8">
        <v>0.67680301795293574</v>
      </c>
    </row>
    <row r="633" spans="1:6" x14ac:dyDescent="0.25">
      <c r="A633" s="4" t="s">
        <v>63</v>
      </c>
      <c r="B633" s="4" t="str">
        <f>VLOOKUP(A633,Codes!$G$2:$H$217,2,0)</f>
        <v>GTM</v>
      </c>
      <c r="C633" s="11">
        <v>7350948</v>
      </c>
      <c r="D633" s="12">
        <v>2007</v>
      </c>
      <c r="E633" s="13">
        <v>4945</v>
      </c>
      <c r="F633" s="8">
        <v>0.67270235077162843</v>
      </c>
    </row>
    <row r="634" spans="1:6" x14ac:dyDescent="0.25">
      <c r="A634" s="4" t="s">
        <v>63</v>
      </c>
      <c r="B634" s="4" t="str">
        <f>VLOOKUP(A634,Codes!$G$2:$H$217,2,0)</f>
        <v>GTM</v>
      </c>
      <c r="C634" s="11">
        <v>7576686</v>
      </c>
      <c r="D634" s="12">
        <v>2008</v>
      </c>
      <c r="E634" s="13">
        <v>5490</v>
      </c>
      <c r="F634" s="8">
        <v>0.7245911998992699</v>
      </c>
    </row>
    <row r="635" spans="1:6" x14ac:dyDescent="0.25">
      <c r="A635" s="4" t="s">
        <v>63</v>
      </c>
      <c r="B635" s="4" t="str">
        <f>VLOOKUP(A635,Codes!$G$2:$H$217,2,0)</f>
        <v>GTM</v>
      </c>
      <c r="C635" s="11">
        <v>7806027</v>
      </c>
      <c r="D635" s="12">
        <v>2009</v>
      </c>
      <c r="E635" s="13">
        <v>5112</v>
      </c>
      <c r="F635" s="8">
        <v>0.65487859573122154</v>
      </c>
    </row>
    <row r="636" spans="1:6" x14ac:dyDescent="0.25">
      <c r="A636" s="4" t="s">
        <v>63</v>
      </c>
      <c r="B636" s="4" t="str">
        <f>VLOOKUP(A636,Codes!$G$2:$H$217,2,0)</f>
        <v>GTM</v>
      </c>
      <c r="C636" s="11">
        <v>8034407</v>
      </c>
      <c r="D636" s="12">
        <v>2010</v>
      </c>
      <c r="E636" s="13">
        <v>5049</v>
      </c>
      <c r="F636" s="8">
        <v>0.62842223452209978</v>
      </c>
    </row>
    <row r="637" spans="1:6" x14ac:dyDescent="0.25">
      <c r="A637" s="4" t="s">
        <v>63</v>
      </c>
      <c r="B637" s="4" t="str">
        <f>VLOOKUP(A637,Codes!$G$2:$H$217,2,0)</f>
        <v>GTM</v>
      </c>
      <c r="C637" s="11">
        <v>8276713</v>
      </c>
      <c r="D637" s="12">
        <v>2011</v>
      </c>
      <c r="E637" s="13">
        <v>5088</v>
      </c>
      <c r="F637" s="8">
        <v>0.61473679225074007</v>
      </c>
    </row>
    <row r="638" spans="1:6" x14ac:dyDescent="0.25">
      <c r="A638" s="4" t="s">
        <v>63</v>
      </c>
      <c r="B638" s="4" t="str">
        <f>VLOOKUP(A638,Codes!$G$2:$H$217,2,0)</f>
        <v>GTM</v>
      </c>
      <c r="C638" s="11">
        <v>8512533</v>
      </c>
      <c r="D638" s="12">
        <v>2012</v>
      </c>
      <c r="E638" s="13">
        <v>4182</v>
      </c>
      <c r="F638" s="8">
        <v>0.49127562853500834</v>
      </c>
    </row>
    <row r="639" spans="1:6" x14ac:dyDescent="0.25">
      <c r="A639" s="4" t="s">
        <v>63</v>
      </c>
      <c r="B639" s="4" t="str">
        <f>VLOOKUP(A639,Codes!$G$2:$H$217,2,0)</f>
        <v>GTM</v>
      </c>
      <c r="C639" s="11">
        <v>8746882</v>
      </c>
      <c r="D639" s="12">
        <v>2013</v>
      </c>
      <c r="E639" s="13">
        <v>4540</v>
      </c>
      <c r="F639" s="8">
        <v>0.5190420998019637</v>
      </c>
    </row>
    <row r="640" spans="1:6" x14ac:dyDescent="0.25">
      <c r="A640" s="4" t="s">
        <v>63</v>
      </c>
      <c r="B640" s="4" t="str">
        <f>VLOOKUP(A640,Codes!$G$2:$H$217,2,0)</f>
        <v>GTM</v>
      </c>
      <c r="C640" s="11">
        <v>8984298</v>
      </c>
      <c r="D640" s="16">
        <v>2014</v>
      </c>
      <c r="E640" s="13">
        <v>4708</v>
      </c>
      <c r="F640" s="8">
        <v>0.52402536069039563</v>
      </c>
    </row>
    <row r="641" spans="1:6" x14ac:dyDescent="0.25">
      <c r="A641" s="4" t="s">
        <v>63</v>
      </c>
      <c r="B641" s="4" t="str">
        <f>VLOOKUP(A641,Codes!$G$2:$H$217,2,0)</f>
        <v>GTM</v>
      </c>
      <c r="C641" s="11">
        <v>9225408</v>
      </c>
      <c r="D641" s="16">
        <v>2015</v>
      </c>
      <c r="E641" s="13">
        <v>4936</v>
      </c>
      <c r="F641" s="8">
        <v>0.5350440869390275</v>
      </c>
    </row>
    <row r="642" spans="1:6" x14ac:dyDescent="0.25">
      <c r="A642" s="4" t="s">
        <v>63</v>
      </c>
      <c r="B642" s="4" t="str">
        <f>VLOOKUP(A642,Codes!$G$2:$H$217,2,0)</f>
        <v>GTM</v>
      </c>
      <c r="C642" s="11">
        <v>9456706</v>
      </c>
      <c r="D642" s="16">
        <v>2016</v>
      </c>
      <c r="E642" s="13">
        <v>4878</v>
      </c>
      <c r="F642" s="8">
        <v>0.51582443188992022</v>
      </c>
    </row>
    <row r="643" spans="1:6" x14ac:dyDescent="0.25">
      <c r="A643" s="4" t="s">
        <v>63</v>
      </c>
      <c r="B643" s="4" t="str">
        <f>VLOOKUP(A643,Codes!$G$2:$H$217,2,0)</f>
        <v>GTM</v>
      </c>
      <c r="C643" s="11">
        <v>9693118</v>
      </c>
      <c r="D643" s="16">
        <v>2017</v>
      </c>
      <c r="E643" s="13">
        <v>5675</v>
      </c>
      <c r="F643" s="8">
        <v>0.58546692612222406</v>
      </c>
    </row>
    <row r="644" spans="1:6" x14ac:dyDescent="0.25">
      <c r="A644" s="4" t="s">
        <v>63</v>
      </c>
      <c r="B644" s="4" t="str">
        <f>VLOOKUP(A644,Codes!$G$2:$H$217,2,0)</f>
        <v>GTM</v>
      </c>
      <c r="C644" s="11">
        <v>9931186</v>
      </c>
      <c r="D644" s="16">
        <v>2018</v>
      </c>
      <c r="E644" s="13">
        <v>5497</v>
      </c>
      <c r="F644" s="8">
        <v>0.55350891625632637</v>
      </c>
    </row>
    <row r="645" spans="1:6" x14ac:dyDescent="0.25">
      <c r="A645" s="4" t="s">
        <v>63</v>
      </c>
      <c r="B645" s="4" t="str">
        <f>VLOOKUP(A645,Codes!$G$2:$H$217,2,0)</f>
        <v>GTM</v>
      </c>
      <c r="C645" s="11">
        <v>10163604</v>
      </c>
      <c r="D645" s="16">
        <v>2019</v>
      </c>
      <c r="E645" s="13">
        <v>6404</v>
      </c>
      <c r="F645" s="8">
        <v>0.63009145181177861</v>
      </c>
    </row>
    <row r="646" spans="1:6" x14ac:dyDescent="0.25">
      <c r="A646" s="4" t="s">
        <v>63</v>
      </c>
      <c r="B646" s="4" t="str">
        <f>VLOOKUP(A646,Codes!$G$2:$H$217,2,0)</f>
        <v>GTM</v>
      </c>
      <c r="C646" s="11">
        <v>10387351</v>
      </c>
      <c r="D646" s="16">
        <v>2020</v>
      </c>
      <c r="E646" s="13">
        <v>6229</v>
      </c>
      <c r="F646" s="8">
        <v>0.59967165834677194</v>
      </c>
    </row>
    <row r="647" spans="1:6" x14ac:dyDescent="0.25">
      <c r="A647" s="3" t="s">
        <v>64</v>
      </c>
      <c r="B647" s="4" t="str">
        <f>VLOOKUP(A647,Codes!$G$2:$H$217,2,0)</f>
        <v>GIN</v>
      </c>
      <c r="C647" s="11">
        <v>5777359</v>
      </c>
      <c r="D647" s="16">
        <v>2014</v>
      </c>
      <c r="E647" s="13">
        <v>792</v>
      </c>
      <c r="F647" s="8">
        <v>0.13708685923793207</v>
      </c>
    </row>
    <row r="648" spans="1:6" x14ac:dyDescent="0.25">
      <c r="A648" s="4" t="s">
        <v>64</v>
      </c>
      <c r="B648" s="4" t="str">
        <f>VLOOKUP(A648,Codes!$G$2:$H$217,2,0)</f>
        <v>GIN</v>
      </c>
      <c r="C648" s="11">
        <v>5954581</v>
      </c>
      <c r="D648" s="16">
        <v>2015</v>
      </c>
      <c r="E648" s="13">
        <v>1427</v>
      </c>
      <c r="F648" s="8">
        <v>0.2396474243947643</v>
      </c>
    </row>
    <row r="649" spans="1:6" x14ac:dyDescent="0.25">
      <c r="A649" s="4" t="s">
        <v>64</v>
      </c>
      <c r="B649" s="4" t="str">
        <f>VLOOKUP(A649,Codes!$G$2:$H$217,2,0)</f>
        <v>GIN</v>
      </c>
      <c r="C649" s="11">
        <v>6158656</v>
      </c>
      <c r="D649" s="16">
        <v>2016</v>
      </c>
      <c r="E649" s="13">
        <v>1852</v>
      </c>
      <c r="F649" s="8">
        <v>0.30071496118633673</v>
      </c>
    </row>
    <row r="650" spans="1:6" x14ac:dyDescent="0.25">
      <c r="A650" s="4" t="s">
        <v>64</v>
      </c>
      <c r="B650" s="4" t="str">
        <f>VLOOKUP(A650,Codes!$G$2:$H$217,2,0)</f>
        <v>GIN</v>
      </c>
      <c r="C650" s="11">
        <v>6377056</v>
      </c>
      <c r="D650" s="16">
        <v>2017</v>
      </c>
      <c r="E650" s="13">
        <v>2346</v>
      </c>
      <c r="F650" s="8">
        <v>0.36788135465644334</v>
      </c>
    </row>
    <row r="651" spans="1:6" x14ac:dyDescent="0.25">
      <c r="A651" s="4" t="s">
        <v>64</v>
      </c>
      <c r="B651" s="4" t="str">
        <f>VLOOKUP(A651,Codes!$G$2:$H$217,2,0)</f>
        <v>GIN</v>
      </c>
      <c r="C651" s="11">
        <v>6607358</v>
      </c>
      <c r="D651" s="16">
        <v>2018</v>
      </c>
      <c r="E651" s="13">
        <v>2630</v>
      </c>
      <c r="F651" s="8">
        <v>0.39804109297543738</v>
      </c>
    </row>
    <row r="652" spans="1:6" x14ac:dyDescent="0.25">
      <c r="A652" s="4" t="s">
        <v>64</v>
      </c>
      <c r="B652" s="4" t="str">
        <f>VLOOKUP(A652,Codes!$G$2:$H$217,2,0)</f>
        <v>GIN</v>
      </c>
      <c r="C652" s="11">
        <v>6846423</v>
      </c>
      <c r="D652" s="16">
        <v>2019</v>
      </c>
      <c r="E652" s="13">
        <v>3121</v>
      </c>
      <c r="F652" s="8">
        <v>0.45585848259740885</v>
      </c>
    </row>
    <row r="653" spans="1:6" x14ac:dyDescent="0.25">
      <c r="A653" s="4" t="s">
        <v>64</v>
      </c>
      <c r="B653" s="4" t="str">
        <f>VLOOKUP(A653,Codes!$G$2:$H$217,2,0)</f>
        <v>GIN</v>
      </c>
      <c r="C653" s="11">
        <v>7091540</v>
      </c>
      <c r="D653" s="16">
        <v>2020</v>
      </c>
      <c r="E653" s="13">
        <v>3192</v>
      </c>
      <c r="F653" s="8">
        <v>0.45011379756724212</v>
      </c>
    </row>
    <row r="654" spans="1:6" x14ac:dyDescent="0.25">
      <c r="A654" s="3" t="s">
        <v>65</v>
      </c>
      <c r="B654" s="4" t="str">
        <f>VLOOKUP(A654,Codes!$G$2:$H$217,2,0)</f>
        <v>GUY</v>
      </c>
      <c r="C654" s="11">
        <v>446330</v>
      </c>
      <c r="D654" s="12">
        <v>2006</v>
      </c>
      <c r="E654" s="13">
        <v>116</v>
      </c>
      <c r="F654" s="8">
        <v>0.2598973853426837</v>
      </c>
    </row>
    <row r="655" spans="1:6" x14ac:dyDescent="0.25">
      <c r="A655" s="4" t="s">
        <v>65</v>
      </c>
      <c r="B655" s="4" t="str">
        <f>VLOOKUP(A655,Codes!$G$2:$H$217,2,0)</f>
        <v>GUY</v>
      </c>
      <c r="C655" s="11">
        <v>452732</v>
      </c>
      <c r="D655" s="12">
        <v>2007</v>
      </c>
      <c r="E655" s="13">
        <v>23</v>
      </c>
      <c r="F655" s="8">
        <v>5.080268238162975E-2</v>
      </c>
    </row>
    <row r="656" spans="1:6" x14ac:dyDescent="0.25">
      <c r="A656" s="4" t="s">
        <v>65</v>
      </c>
      <c r="B656" s="4" t="str">
        <f>VLOOKUP(A656,Codes!$G$2:$H$217,2,0)</f>
        <v>GUY</v>
      </c>
      <c r="C656" s="11">
        <v>459799</v>
      </c>
      <c r="D656" s="12">
        <v>2008</v>
      </c>
      <c r="E656" s="13">
        <v>30</v>
      </c>
      <c r="F656" s="8">
        <v>6.5245900926274303E-2</v>
      </c>
    </row>
    <row r="657" spans="1:6" x14ac:dyDescent="0.25">
      <c r="A657" s="4" t="s">
        <v>65</v>
      </c>
      <c r="B657" s="4" t="str">
        <f>VLOOKUP(A657,Codes!$G$2:$H$217,2,0)</f>
        <v>GUY</v>
      </c>
      <c r="C657" s="11">
        <v>466831</v>
      </c>
      <c r="D657" s="12">
        <v>2009</v>
      </c>
      <c r="E657" s="13">
        <v>142</v>
      </c>
      <c r="F657" s="8">
        <v>0.30417859996444108</v>
      </c>
    </row>
    <row r="658" spans="1:6" x14ac:dyDescent="0.25">
      <c r="A658" s="4" t="s">
        <v>65</v>
      </c>
      <c r="B658" s="4" t="str">
        <f>VLOOKUP(A658,Codes!$G$2:$H$217,2,0)</f>
        <v>GUY</v>
      </c>
      <c r="C658" s="11">
        <v>473386</v>
      </c>
      <c r="D658" s="12">
        <v>2010</v>
      </c>
      <c r="E658" s="13">
        <v>119</v>
      </c>
      <c r="F658" s="8">
        <v>0.25138048020009041</v>
      </c>
    </row>
    <row r="659" spans="1:6" x14ac:dyDescent="0.25">
      <c r="A659" s="4" t="s">
        <v>65</v>
      </c>
      <c r="B659" s="4" t="str">
        <f>VLOOKUP(A659,Codes!$G$2:$H$217,2,0)</f>
        <v>GUY</v>
      </c>
      <c r="C659" s="11">
        <v>478839</v>
      </c>
      <c r="D659" s="12">
        <v>2011</v>
      </c>
      <c r="E659" s="13">
        <v>229</v>
      </c>
      <c r="F659" s="8">
        <v>0.47824007651841227</v>
      </c>
    </row>
    <row r="660" spans="1:6" x14ac:dyDescent="0.25">
      <c r="A660" s="4" t="s">
        <v>65</v>
      </c>
      <c r="B660" s="4" t="str">
        <f>VLOOKUP(A660,Codes!$G$2:$H$217,2,0)</f>
        <v>GUY</v>
      </c>
      <c r="C660" s="11">
        <v>484097</v>
      </c>
      <c r="D660" s="12">
        <v>2012</v>
      </c>
      <c r="E660" s="13">
        <v>327</v>
      </c>
      <c r="F660" s="8">
        <v>0.67548445869319584</v>
      </c>
    </row>
    <row r="661" spans="1:6" x14ac:dyDescent="0.25">
      <c r="A661" s="4" t="s">
        <v>65</v>
      </c>
      <c r="B661" s="4" t="str">
        <f>VLOOKUP(A661,Codes!$G$2:$H$217,2,0)</f>
        <v>GUY</v>
      </c>
      <c r="C661" s="11">
        <v>489075</v>
      </c>
      <c r="D661" s="12">
        <v>2013</v>
      </c>
      <c r="E661" s="13">
        <v>348</v>
      </c>
      <c r="F661" s="8">
        <v>0.7115473086949855</v>
      </c>
    </row>
    <row r="662" spans="1:6" x14ac:dyDescent="0.25">
      <c r="A662" s="4" t="s">
        <v>65</v>
      </c>
      <c r="B662" s="4" t="str">
        <f>VLOOKUP(A662,Codes!$G$2:$H$217,2,0)</f>
        <v>GUY</v>
      </c>
      <c r="C662" s="11">
        <v>493797</v>
      </c>
      <c r="D662" s="16">
        <v>2014</v>
      </c>
      <c r="E662" s="13">
        <v>316</v>
      </c>
      <c r="F662" s="8">
        <v>0.63993908427957236</v>
      </c>
    </row>
    <row r="663" spans="1:6" x14ac:dyDescent="0.25">
      <c r="A663" s="4" t="s">
        <v>65</v>
      </c>
      <c r="B663" s="4" t="str">
        <f>VLOOKUP(A663,Codes!$G$2:$H$217,2,0)</f>
        <v>GUY</v>
      </c>
      <c r="C663" s="11">
        <v>498255</v>
      </c>
      <c r="D663" s="16">
        <v>2015</v>
      </c>
      <c r="E663" s="13">
        <v>227</v>
      </c>
      <c r="F663" s="8">
        <v>0.45559000913187025</v>
      </c>
    </row>
    <row r="664" spans="1:6" x14ac:dyDescent="0.25">
      <c r="A664" s="4" t="s">
        <v>65</v>
      </c>
      <c r="B664" s="4" t="str">
        <f>VLOOKUP(A664,Codes!$G$2:$H$217,2,0)</f>
        <v>GUY</v>
      </c>
      <c r="C664" s="11">
        <v>501893</v>
      </c>
      <c r="D664" s="16">
        <v>2016</v>
      </c>
      <c r="E664" s="13">
        <v>440</v>
      </c>
      <c r="F664" s="8">
        <v>0.87668088616497941</v>
      </c>
    </row>
    <row r="665" spans="1:6" x14ac:dyDescent="0.25">
      <c r="A665" s="4" t="s">
        <v>65</v>
      </c>
      <c r="B665" s="4" t="str">
        <f>VLOOKUP(A665,Codes!$G$2:$H$217,2,0)</f>
        <v>GUY</v>
      </c>
      <c r="C665" s="11">
        <v>505578</v>
      </c>
      <c r="D665" s="16">
        <v>2017</v>
      </c>
      <c r="E665" s="13">
        <v>469</v>
      </c>
      <c r="F665" s="8">
        <v>0.92765112405998684</v>
      </c>
    </row>
    <row r="666" spans="1:6" x14ac:dyDescent="0.25">
      <c r="A666" s="4" t="s">
        <v>65</v>
      </c>
      <c r="B666" s="4" t="str">
        <f>VLOOKUP(A666,Codes!$G$2:$H$217,2,0)</f>
        <v>GUY</v>
      </c>
      <c r="C666" s="11">
        <v>508966</v>
      </c>
      <c r="D666" s="16">
        <v>2018</v>
      </c>
      <c r="E666" s="13">
        <v>589</v>
      </c>
      <c r="F666" s="8">
        <v>1.157248224832307</v>
      </c>
    </row>
    <row r="667" spans="1:6" x14ac:dyDescent="0.25">
      <c r="A667" s="4" t="s">
        <v>65</v>
      </c>
      <c r="B667" s="4" t="str">
        <f>VLOOKUP(A667,Codes!$G$2:$H$217,2,0)</f>
        <v>GUY</v>
      </c>
      <c r="C667" s="11">
        <v>511610</v>
      </c>
      <c r="D667" s="16">
        <v>2019</v>
      </c>
      <c r="E667" s="13">
        <v>885</v>
      </c>
      <c r="F667" s="8">
        <v>1.7298332714372275</v>
      </c>
    </row>
    <row r="668" spans="1:6" x14ac:dyDescent="0.25">
      <c r="A668" s="4" t="s">
        <v>65</v>
      </c>
      <c r="B668" s="4" t="str">
        <f>VLOOKUP(A668,Codes!$G$2:$H$217,2,0)</f>
        <v>GUY</v>
      </c>
      <c r="C668" s="11">
        <v>513376</v>
      </c>
      <c r="D668" s="16">
        <v>2020</v>
      </c>
      <c r="E668" s="13">
        <v>819</v>
      </c>
      <c r="F668" s="8">
        <v>1.5953219472667206</v>
      </c>
    </row>
    <row r="669" spans="1:6" x14ac:dyDescent="0.25">
      <c r="A669" s="3" t="s">
        <v>66</v>
      </c>
      <c r="B669" s="4" t="str">
        <f>VLOOKUP(A669,Codes!$G$2:$H$217,2,0)</f>
        <v>HTI</v>
      </c>
      <c r="C669" s="11">
        <v>5409734</v>
      </c>
      <c r="D669" s="12">
        <v>2006</v>
      </c>
      <c r="E669" s="13">
        <v>190</v>
      </c>
      <c r="F669" s="8">
        <v>3.5121874753915809E-2</v>
      </c>
    </row>
    <row r="670" spans="1:6" x14ac:dyDescent="0.25">
      <c r="A670" s="4" t="s">
        <v>66</v>
      </c>
      <c r="B670" s="4" t="str">
        <f>VLOOKUP(A670,Codes!$G$2:$H$217,2,0)</f>
        <v>HTI</v>
      </c>
      <c r="C670" s="11">
        <v>5527840</v>
      </c>
      <c r="D670" s="12">
        <v>2007</v>
      </c>
      <c r="E670" s="13">
        <v>201</v>
      </c>
      <c r="F670" s="8">
        <v>3.6361399751078181E-2</v>
      </c>
    </row>
    <row r="671" spans="1:6" x14ac:dyDescent="0.25">
      <c r="A671" s="4" t="s">
        <v>66</v>
      </c>
      <c r="B671" s="4" t="str">
        <f>VLOOKUP(A671,Codes!$G$2:$H$217,2,0)</f>
        <v>HTI</v>
      </c>
      <c r="C671" s="11">
        <v>5647639</v>
      </c>
      <c r="D671" s="12">
        <v>2008</v>
      </c>
      <c r="E671" s="13">
        <v>199</v>
      </c>
      <c r="F671" s="8">
        <v>3.5235963205155291E-2</v>
      </c>
    </row>
    <row r="672" spans="1:6" x14ac:dyDescent="0.25">
      <c r="A672" s="4" t="s">
        <v>66</v>
      </c>
      <c r="B672" s="4" t="str">
        <f>VLOOKUP(A672,Codes!$G$2:$H$217,2,0)</f>
        <v>HTI</v>
      </c>
      <c r="C672" s="11">
        <v>5769996</v>
      </c>
      <c r="D672" s="12">
        <v>2009</v>
      </c>
      <c r="E672" s="13">
        <v>301</v>
      </c>
      <c r="F672" s="8">
        <v>5.2166413980182999E-2</v>
      </c>
    </row>
    <row r="673" spans="1:6" x14ac:dyDescent="0.25">
      <c r="A673" s="4" t="s">
        <v>66</v>
      </c>
      <c r="B673" s="4" t="str">
        <f>VLOOKUP(A673,Codes!$G$2:$H$217,2,0)</f>
        <v>HTI</v>
      </c>
      <c r="C673" s="11">
        <v>5895247</v>
      </c>
      <c r="D673" s="12">
        <v>2010</v>
      </c>
      <c r="E673" s="13">
        <v>383</v>
      </c>
      <c r="F673" s="8">
        <v>6.4967591688694301E-2</v>
      </c>
    </row>
    <row r="674" spans="1:6" x14ac:dyDescent="0.25">
      <c r="A674" s="3" t="s">
        <v>67</v>
      </c>
      <c r="B674" s="4" t="str">
        <f>VLOOKUP(A674,Codes!$G$2:$H$217,2,0)</f>
        <v>HKG</v>
      </c>
      <c r="C674" s="11">
        <v>5064722</v>
      </c>
      <c r="D674" s="12">
        <v>2006</v>
      </c>
      <c r="E674" s="13">
        <v>81974</v>
      </c>
      <c r="F674" s="8">
        <v>16.185291117656604</v>
      </c>
    </row>
    <row r="675" spans="1:6" x14ac:dyDescent="0.25">
      <c r="A675" s="4" t="s">
        <v>67</v>
      </c>
      <c r="B675" s="4" t="str">
        <f>VLOOKUP(A675,Codes!$G$2:$H$217,2,0)</f>
        <v>HKG</v>
      </c>
      <c r="C675" s="11">
        <v>5139327</v>
      </c>
      <c r="D675" s="12">
        <v>2007</v>
      </c>
      <c r="E675" s="13">
        <v>100761</v>
      </c>
      <c r="F675" s="8">
        <v>19.605874465664474</v>
      </c>
    </row>
    <row r="676" spans="1:6" x14ac:dyDescent="0.25">
      <c r="A676" s="4" t="s">
        <v>67</v>
      </c>
      <c r="B676" s="4" t="str">
        <f>VLOOKUP(A676,Codes!$G$2:$H$217,2,0)</f>
        <v>HKG</v>
      </c>
      <c r="C676" s="11">
        <v>5198289</v>
      </c>
      <c r="D676" s="12">
        <v>2008</v>
      </c>
      <c r="E676" s="13">
        <v>98645</v>
      </c>
      <c r="F676" s="8">
        <v>18.97643628509304</v>
      </c>
    </row>
    <row r="677" spans="1:6" x14ac:dyDescent="0.25">
      <c r="A677" s="4" t="s">
        <v>67</v>
      </c>
      <c r="B677" s="4" t="str">
        <f>VLOOKUP(A677,Codes!$G$2:$H$217,2,0)</f>
        <v>HKG</v>
      </c>
      <c r="C677" s="11">
        <v>5229852</v>
      </c>
      <c r="D677" s="12">
        <v>2009</v>
      </c>
      <c r="E677" s="13">
        <v>109424</v>
      </c>
      <c r="F677" s="8">
        <v>20.922963020750874</v>
      </c>
    </row>
    <row r="678" spans="1:6" x14ac:dyDescent="0.25">
      <c r="A678" s="4" t="s">
        <v>67</v>
      </c>
      <c r="B678" s="4" t="str">
        <f>VLOOKUP(A678,Codes!$G$2:$H$217,2,0)</f>
        <v>HKG</v>
      </c>
      <c r="C678" s="11">
        <v>5276866</v>
      </c>
      <c r="D678" s="12">
        <v>2010</v>
      </c>
      <c r="E678" s="13">
        <v>139530</v>
      </c>
      <c r="F678" s="8">
        <v>26.441831192984623</v>
      </c>
    </row>
    <row r="679" spans="1:6" x14ac:dyDescent="0.25">
      <c r="A679" s="4" t="s">
        <v>67</v>
      </c>
      <c r="B679" s="4" t="str">
        <f>VLOOKUP(A679,Codes!$G$2:$H$217,2,0)</f>
        <v>HKG</v>
      </c>
      <c r="C679" s="11">
        <v>5311823</v>
      </c>
      <c r="D679" s="12">
        <v>2011</v>
      </c>
      <c r="E679" s="13">
        <v>148329</v>
      </c>
      <c r="F679" s="8">
        <v>27.92431148402347</v>
      </c>
    </row>
    <row r="680" spans="1:6" x14ac:dyDescent="0.25">
      <c r="A680" s="4" t="s">
        <v>67</v>
      </c>
      <c r="B680" s="4" t="str">
        <f>VLOOKUP(A680,Codes!$G$2:$H$217,2,0)</f>
        <v>HKG</v>
      </c>
      <c r="C680" s="11">
        <v>5362466</v>
      </c>
      <c r="D680" s="12">
        <v>2012</v>
      </c>
      <c r="E680" s="13">
        <v>150165</v>
      </c>
      <c r="F680" s="8">
        <v>28.002974750795623</v>
      </c>
    </row>
    <row r="681" spans="1:6" x14ac:dyDescent="0.25">
      <c r="A681" s="4" t="s">
        <v>67</v>
      </c>
      <c r="B681" s="4" t="str">
        <f>VLOOKUP(A681,Codes!$G$2:$H$217,2,0)</f>
        <v>HKG</v>
      </c>
      <c r="C681" s="11">
        <v>5365124</v>
      </c>
      <c r="D681" s="12">
        <v>2013</v>
      </c>
      <c r="E681" s="13">
        <v>174031</v>
      </c>
      <c r="F681" s="8">
        <v>32.437460904911049</v>
      </c>
    </row>
    <row r="682" spans="1:6" x14ac:dyDescent="0.25">
      <c r="A682" s="4" t="s">
        <v>67</v>
      </c>
      <c r="B682" s="4" t="str">
        <f>VLOOKUP(A682,Codes!$G$2:$H$217,2,0)</f>
        <v>HKG</v>
      </c>
      <c r="C682" s="11">
        <v>5370433</v>
      </c>
      <c r="D682" s="16">
        <v>2014</v>
      </c>
      <c r="E682" s="13">
        <v>167280</v>
      </c>
      <c r="F682" s="8">
        <v>31.148326401241764</v>
      </c>
    </row>
    <row r="683" spans="1:6" x14ac:dyDescent="0.25">
      <c r="A683" s="4" t="s">
        <v>67</v>
      </c>
      <c r="B683" s="4" t="str">
        <f>VLOOKUP(A683,Codes!$G$2:$H$217,2,0)</f>
        <v>HKG</v>
      </c>
      <c r="C683" s="11">
        <v>5369755</v>
      </c>
      <c r="D683" s="16">
        <v>2015</v>
      </c>
      <c r="E683" s="13">
        <v>139209</v>
      </c>
      <c r="F683" s="8">
        <v>25.924646468972977</v>
      </c>
    </row>
    <row r="684" spans="1:6" x14ac:dyDescent="0.25">
      <c r="A684" s="4" t="s">
        <v>67</v>
      </c>
      <c r="B684" s="4" t="str">
        <f>VLOOKUP(A684,Codes!$G$2:$H$217,2,0)</f>
        <v>HKG</v>
      </c>
      <c r="C684" s="11">
        <v>5359413</v>
      </c>
      <c r="D684" s="16">
        <v>2016</v>
      </c>
      <c r="E684" s="13">
        <v>144883</v>
      </c>
      <c r="F684" s="8">
        <v>27.033371005369432</v>
      </c>
    </row>
    <row r="685" spans="1:6" x14ac:dyDescent="0.25">
      <c r="A685" s="4" t="s">
        <v>67</v>
      </c>
      <c r="B685" s="4" t="str">
        <f>VLOOKUP(A685,Codes!$G$2:$H$217,2,0)</f>
        <v>HKG</v>
      </c>
      <c r="C685" s="11">
        <v>5338161</v>
      </c>
      <c r="D685" s="16">
        <v>2017</v>
      </c>
      <c r="E685" s="13">
        <v>160229</v>
      </c>
      <c r="F685" s="8">
        <v>30.015767602363436</v>
      </c>
    </row>
    <row r="686" spans="1:6" x14ac:dyDescent="0.25">
      <c r="A686" s="4" t="s">
        <v>67</v>
      </c>
      <c r="B686" s="4" t="str">
        <f>VLOOKUP(A686,Codes!$G$2:$H$217,2,0)</f>
        <v>HKG</v>
      </c>
      <c r="C686" s="11">
        <v>5306904</v>
      </c>
      <c r="D686" s="16">
        <v>2018</v>
      </c>
      <c r="E686" s="13">
        <v>151739</v>
      </c>
      <c r="F686" s="8">
        <v>28.592753891911368</v>
      </c>
    </row>
    <row r="687" spans="1:6" x14ac:dyDescent="0.25">
      <c r="A687" s="4" t="s">
        <v>67</v>
      </c>
      <c r="B687" s="4" t="str">
        <f>VLOOKUP(A687,Codes!$G$2:$H$217,2,0)</f>
        <v>HKG</v>
      </c>
      <c r="C687" s="11">
        <v>5268321</v>
      </c>
      <c r="D687" s="16">
        <v>2019</v>
      </c>
      <c r="E687" s="13">
        <v>124741</v>
      </c>
      <c r="F687" s="8">
        <v>23.677562547916121</v>
      </c>
    </row>
    <row r="688" spans="1:6" x14ac:dyDescent="0.25">
      <c r="A688" s="4" t="s">
        <v>67</v>
      </c>
      <c r="B688" s="4" t="str">
        <f>VLOOKUP(A688,Codes!$G$2:$H$217,2,0)</f>
        <v>HKG</v>
      </c>
      <c r="C688" s="11">
        <v>5172228</v>
      </c>
      <c r="D688" s="16">
        <v>2020</v>
      </c>
      <c r="E688" s="13">
        <v>99405</v>
      </c>
      <c r="F688" s="8">
        <v>19.218990346133232</v>
      </c>
    </row>
    <row r="689" spans="1:6" x14ac:dyDescent="0.25">
      <c r="A689" s="3" t="s">
        <v>69</v>
      </c>
      <c r="B689" s="4" t="str">
        <f>VLOOKUP(A689,Codes!$G$2:$H$217,2,0)</f>
        <v>HUN</v>
      </c>
      <c r="C689" s="11">
        <v>6930944</v>
      </c>
      <c r="D689" s="12">
        <v>2006</v>
      </c>
      <c r="E689" s="13">
        <v>22008</v>
      </c>
      <c r="F689" s="8">
        <v>3.1753250350890152</v>
      </c>
    </row>
    <row r="690" spans="1:6" x14ac:dyDescent="0.25">
      <c r="A690" s="4" t="s">
        <v>69</v>
      </c>
      <c r="B690" s="4" t="str">
        <f>VLOOKUP(A690,Codes!$G$2:$H$217,2,0)</f>
        <v>HUN</v>
      </c>
      <c r="C690" s="11">
        <v>6921074</v>
      </c>
      <c r="D690" s="12">
        <v>2007</v>
      </c>
      <c r="E690" s="13">
        <v>27335</v>
      </c>
      <c r="F690" s="8">
        <v>3.9495315322448508</v>
      </c>
    </row>
    <row r="691" spans="1:6" x14ac:dyDescent="0.25">
      <c r="A691" s="4" t="s">
        <v>69</v>
      </c>
      <c r="B691" s="4" t="str">
        <f>VLOOKUP(A691,Codes!$G$2:$H$217,2,0)</f>
        <v>HUN</v>
      </c>
      <c r="C691" s="11">
        <v>6915089</v>
      </c>
      <c r="D691" s="12">
        <v>2008</v>
      </c>
      <c r="E691" s="13">
        <v>43598</v>
      </c>
      <c r="F691" s="8">
        <v>6.3047633949469057</v>
      </c>
    </row>
    <row r="692" spans="1:6" x14ac:dyDescent="0.25">
      <c r="A692" s="4" t="s">
        <v>69</v>
      </c>
      <c r="B692" s="4" t="str">
        <f>VLOOKUP(A692,Codes!$G$2:$H$217,2,0)</f>
        <v>HUN</v>
      </c>
      <c r="C692" s="11">
        <v>6912717</v>
      </c>
      <c r="D692" s="12">
        <v>2009</v>
      </c>
      <c r="E692" s="13">
        <v>42046</v>
      </c>
      <c r="F692" s="8">
        <v>6.0824130367263693</v>
      </c>
    </row>
    <row r="693" spans="1:6" x14ac:dyDescent="0.25">
      <c r="A693" s="4" t="s">
        <v>69</v>
      </c>
      <c r="B693" s="4" t="str">
        <f>VLOOKUP(A693,Codes!$G$2:$H$217,2,0)</f>
        <v>HUN</v>
      </c>
      <c r="C693" s="11">
        <v>6904786</v>
      </c>
      <c r="D693" s="12">
        <v>2010</v>
      </c>
      <c r="E693" s="13">
        <v>44269</v>
      </c>
      <c r="F693" s="8">
        <v>6.4113500403922723</v>
      </c>
    </row>
    <row r="694" spans="1:6" x14ac:dyDescent="0.25">
      <c r="A694" s="4" t="s">
        <v>69</v>
      </c>
      <c r="B694" s="4" t="str">
        <f>VLOOKUP(A694,Codes!$G$2:$H$217,2,0)</f>
        <v>HUN</v>
      </c>
      <c r="C694" s="11">
        <v>6873528</v>
      </c>
      <c r="D694" s="12">
        <v>2011</v>
      </c>
      <c r="E694" s="13">
        <v>52217</v>
      </c>
      <c r="F694" s="8">
        <v>7.5968265496263339</v>
      </c>
    </row>
    <row r="695" spans="1:6" x14ac:dyDescent="0.25">
      <c r="A695" s="4" t="s">
        <v>69</v>
      </c>
      <c r="B695" s="4" t="str">
        <f>VLOOKUP(A695,Codes!$G$2:$H$217,2,0)</f>
        <v>HUN</v>
      </c>
      <c r="C695" s="11">
        <v>6826448</v>
      </c>
      <c r="D695" s="12">
        <v>2012</v>
      </c>
      <c r="E695" s="13">
        <v>32311</v>
      </c>
      <c r="F695" s="8">
        <v>4.7332082512017966</v>
      </c>
    </row>
    <row r="696" spans="1:6" x14ac:dyDescent="0.25">
      <c r="A696" s="4" t="s">
        <v>69</v>
      </c>
      <c r="B696" s="4" t="str">
        <f>VLOOKUP(A696,Codes!$G$2:$H$217,2,0)</f>
        <v>HUN</v>
      </c>
      <c r="C696" s="11">
        <v>6792201</v>
      </c>
      <c r="D696" s="12">
        <v>2013</v>
      </c>
      <c r="E696" s="13">
        <v>28207</v>
      </c>
      <c r="F696" s="8">
        <v>4.152851189180061</v>
      </c>
    </row>
    <row r="697" spans="1:6" x14ac:dyDescent="0.25">
      <c r="A697" s="4" t="s">
        <v>69</v>
      </c>
      <c r="B697" s="4" t="str">
        <f>VLOOKUP(A697,Codes!$G$2:$H$217,2,0)</f>
        <v>HUN</v>
      </c>
      <c r="C697" s="11">
        <v>6750522</v>
      </c>
      <c r="D697" s="16">
        <v>2014</v>
      </c>
      <c r="E697" s="13">
        <v>24479</v>
      </c>
      <c r="F697" s="8">
        <v>3.6262380894396018</v>
      </c>
    </row>
    <row r="698" spans="1:6" x14ac:dyDescent="0.25">
      <c r="A698" s="4" t="s">
        <v>69</v>
      </c>
      <c r="B698" s="4" t="str">
        <f>VLOOKUP(A698,Codes!$G$2:$H$217,2,0)</f>
        <v>HUN</v>
      </c>
      <c r="C698" s="11">
        <v>6701387</v>
      </c>
      <c r="D698" s="16">
        <v>2015</v>
      </c>
      <c r="E698" s="13">
        <v>21048</v>
      </c>
      <c r="F698" s="8">
        <v>3.1408423360716222</v>
      </c>
    </row>
    <row r="699" spans="1:6" x14ac:dyDescent="0.25">
      <c r="A699" s="4" t="s">
        <v>69</v>
      </c>
      <c r="B699" s="4" t="str">
        <f>VLOOKUP(A699,Codes!$G$2:$H$217,2,0)</f>
        <v>HUN</v>
      </c>
      <c r="C699" s="11">
        <v>6636894</v>
      </c>
      <c r="D699" s="16">
        <v>2016</v>
      </c>
      <c r="E699" s="13">
        <v>22328</v>
      </c>
      <c r="F699" s="8">
        <v>3.3642242892533769</v>
      </c>
    </row>
    <row r="700" spans="1:6" x14ac:dyDescent="0.25">
      <c r="A700" s="4" t="s">
        <v>69</v>
      </c>
      <c r="B700" s="4" t="str">
        <f>VLOOKUP(A700,Codes!$G$2:$H$217,2,0)</f>
        <v>HUN</v>
      </c>
      <c r="C700" s="11">
        <v>6562819</v>
      </c>
      <c r="D700" s="16">
        <v>2017</v>
      </c>
      <c r="E700" s="13">
        <v>22783</v>
      </c>
      <c r="F700" s="8">
        <v>3.4715264888457229</v>
      </c>
    </row>
    <row r="701" spans="1:6" x14ac:dyDescent="0.25">
      <c r="A701" s="4" t="s">
        <v>69</v>
      </c>
      <c r="B701" s="4" t="str">
        <f>VLOOKUP(A701,Codes!$G$2:$H$217,2,0)</f>
        <v>HUN</v>
      </c>
      <c r="C701" s="11">
        <v>6493935</v>
      </c>
      <c r="D701" s="16">
        <v>2018</v>
      </c>
      <c r="E701" s="13">
        <v>24252</v>
      </c>
      <c r="F701" s="8">
        <v>3.7345615562829009</v>
      </c>
    </row>
    <row r="702" spans="1:6" x14ac:dyDescent="0.25">
      <c r="A702" s="4" t="s">
        <v>69</v>
      </c>
      <c r="B702" s="4" t="str">
        <f>VLOOKUP(A702,Codes!$G$2:$H$217,2,0)</f>
        <v>HUN</v>
      </c>
      <c r="C702" s="11">
        <v>6436478</v>
      </c>
      <c r="D702" s="16">
        <v>2019</v>
      </c>
      <c r="E702" s="13">
        <v>25376</v>
      </c>
      <c r="F702" s="8">
        <v>3.9425288177789155</v>
      </c>
    </row>
    <row r="703" spans="1:6" x14ac:dyDescent="0.25">
      <c r="A703" s="4" t="s">
        <v>69</v>
      </c>
      <c r="B703" s="4" t="str">
        <f>VLOOKUP(A703,Codes!$G$2:$H$217,2,0)</f>
        <v>HUN</v>
      </c>
      <c r="C703" s="11">
        <v>6379098</v>
      </c>
      <c r="D703" s="16">
        <v>2020</v>
      </c>
      <c r="E703" s="13">
        <v>25608</v>
      </c>
      <c r="F703" s="8">
        <v>4.0143606509885883</v>
      </c>
    </row>
    <row r="704" spans="1:6" x14ac:dyDescent="0.25">
      <c r="A704" s="3" t="s">
        <v>70</v>
      </c>
      <c r="B704" s="4" t="str">
        <f>VLOOKUP(A704,Codes!$G$2:$H$217,2,0)</f>
        <v>ISL</v>
      </c>
      <c r="C704" s="11">
        <v>201363</v>
      </c>
      <c r="D704" s="12">
        <v>2006</v>
      </c>
      <c r="E704" s="13">
        <v>3166</v>
      </c>
      <c r="F704" s="8">
        <v>15.722848785526635</v>
      </c>
    </row>
    <row r="705" spans="1:6" x14ac:dyDescent="0.25">
      <c r="A705" s="4" t="s">
        <v>70</v>
      </c>
      <c r="B705" s="4" t="str">
        <f>VLOOKUP(A705,Codes!$G$2:$H$217,2,0)</f>
        <v>ISL</v>
      </c>
      <c r="C705" s="11">
        <v>207445</v>
      </c>
      <c r="D705" s="12">
        <v>2007</v>
      </c>
      <c r="E705" s="13">
        <v>3648</v>
      </c>
      <c r="F705" s="8">
        <v>17.585384077707342</v>
      </c>
    </row>
    <row r="706" spans="1:6" x14ac:dyDescent="0.25">
      <c r="A706" s="4" t="s">
        <v>70</v>
      </c>
      <c r="B706" s="4" t="str">
        <f>VLOOKUP(A706,Codes!$G$2:$H$217,2,0)</f>
        <v>ISL</v>
      </c>
      <c r="C706" s="11">
        <v>212216</v>
      </c>
      <c r="D706" s="12">
        <v>2008</v>
      </c>
      <c r="E706" s="13">
        <v>2548</v>
      </c>
      <c r="F706" s="8">
        <v>12.00663474950051</v>
      </c>
    </row>
    <row r="707" spans="1:6" x14ac:dyDescent="0.25">
      <c r="A707" s="4" t="s">
        <v>70</v>
      </c>
      <c r="B707" s="4" t="str">
        <f>VLOOKUP(A707,Codes!$G$2:$H$217,2,0)</f>
        <v>ISL</v>
      </c>
      <c r="C707" s="11">
        <v>213605</v>
      </c>
      <c r="D707" s="12">
        <v>2009</v>
      </c>
      <c r="E707" s="13">
        <v>2625</v>
      </c>
      <c r="F707" s="8">
        <v>12.289038177945274</v>
      </c>
    </row>
    <row r="708" spans="1:6" x14ac:dyDescent="0.25">
      <c r="A708" s="4" t="s">
        <v>70</v>
      </c>
      <c r="B708" s="4" t="str">
        <f>VLOOKUP(A708,Codes!$G$2:$H$217,2,0)</f>
        <v>ISL</v>
      </c>
      <c r="C708" s="11">
        <v>213715</v>
      </c>
      <c r="D708" s="12">
        <v>2010</v>
      </c>
      <c r="E708" s="13">
        <v>1623</v>
      </c>
      <c r="F708" s="8">
        <v>7.5942259551271549</v>
      </c>
    </row>
    <row r="709" spans="1:6" x14ac:dyDescent="0.25">
      <c r="A709" s="4" t="s">
        <v>70</v>
      </c>
      <c r="B709" s="4" t="str">
        <f>VLOOKUP(A709,Codes!$G$2:$H$217,2,0)</f>
        <v>ISL</v>
      </c>
      <c r="C709" s="11">
        <v>213713</v>
      </c>
      <c r="D709" s="12">
        <v>2011</v>
      </c>
      <c r="E709" s="13">
        <v>1700</v>
      </c>
      <c r="F709" s="8">
        <v>7.9545933097191091</v>
      </c>
    </row>
    <row r="710" spans="1:6" x14ac:dyDescent="0.25">
      <c r="A710" s="4" t="s">
        <v>70</v>
      </c>
      <c r="B710" s="4" t="str">
        <f>VLOOKUP(A710,Codes!$G$2:$H$217,2,0)</f>
        <v>ISL</v>
      </c>
      <c r="C710" s="11">
        <v>214157</v>
      </c>
      <c r="D710" s="12">
        <v>2012</v>
      </c>
      <c r="E710" s="13">
        <v>1745</v>
      </c>
      <c r="F710" s="8">
        <v>8.1482277021063982</v>
      </c>
    </row>
    <row r="711" spans="1:6" x14ac:dyDescent="0.25">
      <c r="A711" s="4" t="s">
        <v>70</v>
      </c>
      <c r="B711" s="4" t="str">
        <f>VLOOKUP(A711,Codes!$G$2:$H$217,2,0)</f>
        <v>ISL</v>
      </c>
      <c r="C711" s="11">
        <v>215407</v>
      </c>
      <c r="D711" s="12">
        <v>2013</v>
      </c>
      <c r="E711" s="13">
        <v>1935</v>
      </c>
      <c r="F711" s="8">
        <v>8.9829949815929844</v>
      </c>
    </row>
    <row r="712" spans="1:6" x14ac:dyDescent="0.25">
      <c r="A712" s="4" t="s">
        <v>70</v>
      </c>
      <c r="B712" s="4" t="str">
        <f>VLOOKUP(A712,Codes!$G$2:$H$217,2,0)</f>
        <v>ISL</v>
      </c>
      <c r="C712" s="11">
        <v>216932</v>
      </c>
      <c r="D712" s="16">
        <v>2014</v>
      </c>
      <c r="E712" s="13">
        <v>2047</v>
      </c>
      <c r="F712" s="8">
        <v>9.4361366695554363</v>
      </c>
    </row>
    <row r="713" spans="1:6" x14ac:dyDescent="0.25">
      <c r="A713" s="4" t="s">
        <v>70</v>
      </c>
      <c r="B713" s="4" t="str">
        <f>VLOOKUP(A713,Codes!$G$2:$H$217,2,0)</f>
        <v>ISL</v>
      </c>
      <c r="C713" s="11">
        <v>218248</v>
      </c>
      <c r="D713" s="16">
        <v>2015</v>
      </c>
      <c r="E713" s="13">
        <v>2363</v>
      </c>
      <c r="F713" s="8">
        <v>10.827132436494264</v>
      </c>
    </row>
    <row r="714" spans="1:6" x14ac:dyDescent="0.25">
      <c r="A714" s="4" t="s">
        <v>70</v>
      </c>
      <c r="B714" s="4" t="str">
        <f>VLOOKUP(A714,Codes!$G$2:$H$217,2,0)</f>
        <v>ISL</v>
      </c>
      <c r="C714" s="11">
        <v>220678</v>
      </c>
      <c r="D714" s="16">
        <v>2016</v>
      </c>
      <c r="E714" s="13">
        <v>2654</v>
      </c>
      <c r="F714" s="8">
        <v>12.026572653368257</v>
      </c>
    </row>
    <row r="715" spans="1:6" x14ac:dyDescent="0.25">
      <c r="A715" s="4" t="s">
        <v>70</v>
      </c>
      <c r="B715" s="4" t="str">
        <f>VLOOKUP(A715,Codes!$G$2:$H$217,2,0)</f>
        <v>ISL</v>
      </c>
      <c r="C715" s="11">
        <v>225218</v>
      </c>
      <c r="D715" s="16">
        <v>2017</v>
      </c>
      <c r="E715" s="13">
        <v>2576</v>
      </c>
      <c r="F715" s="8">
        <v>11.43780692484615</v>
      </c>
    </row>
    <row r="716" spans="1:6" x14ac:dyDescent="0.25">
      <c r="A716" s="4" t="s">
        <v>70</v>
      </c>
      <c r="B716" s="4" t="str">
        <f>VLOOKUP(A716,Codes!$G$2:$H$217,2,0)</f>
        <v>ISL</v>
      </c>
      <c r="C716" s="11">
        <v>230583</v>
      </c>
      <c r="D716" s="16">
        <v>2018</v>
      </c>
      <c r="E716" s="13">
        <v>2301</v>
      </c>
      <c r="F716" s="8">
        <v>9.9790530958483501</v>
      </c>
    </row>
    <row r="717" spans="1:6" x14ac:dyDescent="0.25">
      <c r="A717" s="4" t="s">
        <v>70</v>
      </c>
      <c r="B717" s="4" t="str">
        <f>VLOOKUP(A717,Codes!$G$2:$H$217,2,0)</f>
        <v>ISL</v>
      </c>
      <c r="C717" s="11">
        <v>234945</v>
      </c>
      <c r="D717" s="16">
        <v>2019</v>
      </c>
      <c r="E717" s="13">
        <v>2199</v>
      </c>
      <c r="F717" s="8">
        <v>9.3596373619357713</v>
      </c>
    </row>
    <row r="718" spans="1:6" x14ac:dyDescent="0.25">
      <c r="A718" s="4" t="s">
        <v>70</v>
      </c>
      <c r="B718" s="4" t="str">
        <f>VLOOKUP(A718,Codes!$G$2:$H$217,2,0)</f>
        <v>ISL</v>
      </c>
      <c r="C718" s="11">
        <v>238007</v>
      </c>
      <c r="D718" s="16">
        <v>2020</v>
      </c>
      <c r="E718" s="13">
        <v>2484</v>
      </c>
      <c r="F718" s="8">
        <v>10.436667829097463</v>
      </c>
    </row>
    <row r="719" spans="1:6" x14ac:dyDescent="0.25">
      <c r="A719" s="3" t="s">
        <v>71</v>
      </c>
      <c r="B719" s="4" t="str">
        <f>VLOOKUP(A719,Codes!$G$2:$H$217,2,0)</f>
        <v>IND</v>
      </c>
      <c r="C719" s="11">
        <v>732023639</v>
      </c>
      <c r="D719" s="12">
        <v>2006</v>
      </c>
      <c r="E719" s="13">
        <v>49721</v>
      </c>
      <c r="F719" s="8">
        <v>6.7922669912576408E-2</v>
      </c>
    </row>
    <row r="720" spans="1:6" x14ac:dyDescent="0.25">
      <c r="A720" s="4" t="s">
        <v>71</v>
      </c>
      <c r="B720" s="4" t="str">
        <f>VLOOKUP(A720,Codes!$G$2:$H$217,2,0)</f>
        <v>IND</v>
      </c>
      <c r="C720" s="11">
        <v>746636061</v>
      </c>
      <c r="D720" s="12">
        <v>2007</v>
      </c>
      <c r="E720" s="13">
        <v>62919</v>
      </c>
      <c r="F720" s="8">
        <v>8.4269972060725312E-2</v>
      </c>
    </row>
    <row r="721" spans="1:6" x14ac:dyDescent="0.25">
      <c r="A721" s="4" t="s">
        <v>71</v>
      </c>
      <c r="B721" s="4" t="str">
        <f>VLOOKUP(A721,Codes!$G$2:$H$217,2,0)</f>
        <v>IND</v>
      </c>
      <c r="C721" s="11">
        <v>761335665</v>
      </c>
      <c r="D721" s="12">
        <v>2008</v>
      </c>
      <c r="E721" s="13">
        <v>70303</v>
      </c>
      <c r="F721" s="8">
        <v>9.2341661151523743E-2</v>
      </c>
    </row>
    <row r="722" spans="1:6" x14ac:dyDescent="0.25">
      <c r="A722" s="4" t="s">
        <v>71</v>
      </c>
      <c r="B722" s="4" t="str">
        <f>VLOOKUP(A722,Codes!$G$2:$H$217,2,0)</f>
        <v>IND</v>
      </c>
      <c r="C722" s="11">
        <v>776202642</v>
      </c>
      <c r="D722" s="12">
        <v>2009</v>
      </c>
      <c r="E722" s="13">
        <v>60813</v>
      </c>
      <c r="F722" s="8">
        <v>7.8346808822121985E-2</v>
      </c>
    </row>
    <row r="723" spans="1:6" x14ac:dyDescent="0.25">
      <c r="A723" s="4" t="s">
        <v>71</v>
      </c>
      <c r="B723" s="4" t="str">
        <f>VLOOKUP(A723,Codes!$G$2:$H$217,2,0)</f>
        <v>IND</v>
      </c>
      <c r="C723" s="11">
        <v>791275567</v>
      </c>
      <c r="D723" s="12">
        <v>2010</v>
      </c>
      <c r="E723" s="13">
        <v>86645</v>
      </c>
      <c r="F723" s="8">
        <v>0.10950041125179845</v>
      </c>
    </row>
    <row r="724" spans="1:6" x14ac:dyDescent="0.25">
      <c r="A724" s="4" t="s">
        <v>71</v>
      </c>
      <c r="B724" s="4" t="str">
        <f>VLOOKUP(A724,Codes!$G$2:$H$217,2,0)</f>
        <v>IND</v>
      </c>
      <c r="C724" s="11">
        <v>805553067</v>
      </c>
      <c r="D724" s="12">
        <v>2011</v>
      </c>
      <c r="E724" s="13">
        <v>97405</v>
      </c>
      <c r="F724" s="8">
        <v>0.12091692526570692</v>
      </c>
    </row>
    <row r="725" spans="1:6" x14ac:dyDescent="0.25">
      <c r="A725" s="4" t="s">
        <v>71</v>
      </c>
      <c r="B725" s="4" t="str">
        <f>VLOOKUP(A725,Codes!$G$2:$H$217,2,0)</f>
        <v>IND</v>
      </c>
      <c r="C725" s="11">
        <v>820295461</v>
      </c>
      <c r="D725" s="12">
        <v>2012</v>
      </c>
      <c r="E725" s="13">
        <v>103078</v>
      </c>
      <c r="F725" s="8">
        <v>0.12565960059603451</v>
      </c>
    </row>
    <row r="726" spans="1:6" x14ac:dyDescent="0.25">
      <c r="A726" s="4" t="s">
        <v>71</v>
      </c>
      <c r="B726" s="4" t="str">
        <f>VLOOKUP(A726,Codes!$G$2:$H$217,2,0)</f>
        <v>IND</v>
      </c>
      <c r="C726" s="11">
        <v>835217793</v>
      </c>
      <c r="D726" s="12">
        <v>2013</v>
      </c>
      <c r="E726" s="13">
        <v>91841</v>
      </c>
      <c r="F726" s="8">
        <v>0.10996054055567756</v>
      </c>
    </row>
    <row r="727" spans="1:6" x14ac:dyDescent="0.25">
      <c r="A727" s="4" t="s">
        <v>71</v>
      </c>
      <c r="B727" s="4" t="str">
        <f>VLOOKUP(A727,Codes!$G$2:$H$217,2,0)</f>
        <v>IND</v>
      </c>
      <c r="C727" s="11">
        <v>849862019</v>
      </c>
      <c r="D727" s="16">
        <v>2014</v>
      </c>
      <c r="E727" s="13">
        <v>69841</v>
      </c>
      <c r="F727" s="8">
        <v>8.2179222554479153E-2</v>
      </c>
    </row>
    <row r="728" spans="1:6" x14ac:dyDescent="0.25">
      <c r="A728" s="4" t="s">
        <v>71</v>
      </c>
      <c r="B728" s="4" t="str">
        <f>VLOOKUP(A728,Codes!$G$2:$H$217,2,0)</f>
        <v>IND</v>
      </c>
      <c r="C728" s="11">
        <v>863969043</v>
      </c>
      <c r="D728" s="16">
        <v>2015</v>
      </c>
      <c r="E728" s="13">
        <v>80546</v>
      </c>
      <c r="F728" s="8">
        <v>9.3227877378935203E-2</v>
      </c>
    </row>
    <row r="729" spans="1:6" x14ac:dyDescent="0.25">
      <c r="A729" s="4" t="s">
        <v>71</v>
      </c>
      <c r="B729" s="4" t="str">
        <f>VLOOKUP(A729,Codes!$G$2:$H$217,2,0)</f>
        <v>IND</v>
      </c>
      <c r="C729" s="11">
        <v>877814039</v>
      </c>
      <c r="D729" s="16">
        <v>2016</v>
      </c>
      <c r="E729" s="13">
        <v>93714</v>
      </c>
      <c r="F729" s="8">
        <v>0.10675837459464464</v>
      </c>
    </row>
    <row r="730" spans="1:6" x14ac:dyDescent="0.25">
      <c r="A730" s="4" t="s">
        <v>71</v>
      </c>
      <c r="B730" s="4" t="str">
        <f>VLOOKUP(A730,Codes!$G$2:$H$217,2,0)</f>
        <v>IND</v>
      </c>
      <c r="C730" s="11">
        <v>890731260</v>
      </c>
      <c r="D730" s="16">
        <v>2017</v>
      </c>
      <c r="E730" s="13">
        <v>107492</v>
      </c>
      <c r="F730" s="8">
        <v>0.12067837385655467</v>
      </c>
    </row>
    <row r="731" spans="1:6" x14ac:dyDescent="0.25">
      <c r="A731" s="4" t="s">
        <v>71</v>
      </c>
      <c r="B731" s="4" t="str">
        <f>VLOOKUP(A731,Codes!$G$2:$H$217,2,0)</f>
        <v>IND</v>
      </c>
      <c r="C731" s="11">
        <v>903115190</v>
      </c>
      <c r="D731" s="16">
        <v>2018</v>
      </c>
      <c r="E731" s="13">
        <v>117834</v>
      </c>
      <c r="F731" s="8">
        <v>0.13047505047501193</v>
      </c>
    </row>
    <row r="732" spans="1:6" x14ac:dyDescent="0.25">
      <c r="A732" s="4" t="s">
        <v>71</v>
      </c>
      <c r="B732" s="4" t="str">
        <f>VLOOKUP(A732,Codes!$G$2:$H$217,2,0)</f>
        <v>IND</v>
      </c>
      <c r="C732" s="11">
        <v>915551973</v>
      </c>
      <c r="D732" s="16">
        <v>2019</v>
      </c>
      <c r="E732" s="13">
        <v>128565</v>
      </c>
      <c r="F732" s="8">
        <v>0.14042348636826105</v>
      </c>
    </row>
    <row r="733" spans="1:6" x14ac:dyDescent="0.25">
      <c r="A733" s="4" t="s">
        <v>71</v>
      </c>
      <c r="B733" s="4" t="str">
        <f>VLOOKUP(A733,Codes!$G$2:$H$217,2,0)</f>
        <v>IND</v>
      </c>
      <c r="C733" s="11">
        <v>928266848</v>
      </c>
      <c r="D733" s="16">
        <v>2020</v>
      </c>
      <c r="E733" s="13">
        <v>142000</v>
      </c>
      <c r="F733" s="8">
        <v>0.15297325365647443</v>
      </c>
    </row>
    <row r="734" spans="1:6" x14ac:dyDescent="0.25">
      <c r="A734" s="3" t="s">
        <v>72</v>
      </c>
      <c r="B734" s="4" t="str">
        <f>VLOOKUP(A734,Codes!$G$2:$H$217,2,0)</f>
        <v>IDN</v>
      </c>
      <c r="C734" s="11">
        <v>150457184</v>
      </c>
      <c r="D734" s="12">
        <v>2006</v>
      </c>
      <c r="E734" s="13">
        <v>23535</v>
      </c>
      <c r="F734" s="8">
        <v>0.1564232386537289</v>
      </c>
    </row>
    <row r="735" spans="1:6" x14ac:dyDescent="0.25">
      <c r="A735" s="4" t="s">
        <v>72</v>
      </c>
      <c r="B735" s="4" t="str">
        <f>VLOOKUP(A735,Codes!$G$2:$H$217,2,0)</f>
        <v>IDN</v>
      </c>
      <c r="C735" s="11">
        <v>152986404</v>
      </c>
      <c r="D735" s="12">
        <v>2007</v>
      </c>
      <c r="E735" s="13">
        <v>24964</v>
      </c>
      <c r="F735" s="8">
        <v>0.16317789912886638</v>
      </c>
    </row>
    <row r="736" spans="1:6" x14ac:dyDescent="0.25">
      <c r="A736" s="4" t="s">
        <v>72</v>
      </c>
      <c r="B736" s="4" t="str">
        <f>VLOOKUP(A736,Codes!$G$2:$H$217,2,0)</f>
        <v>IDN</v>
      </c>
      <c r="C736" s="11">
        <v>155417131</v>
      </c>
      <c r="D736" s="12">
        <v>2008</v>
      </c>
      <c r="E736" s="13">
        <v>39302</v>
      </c>
      <c r="F736" s="8">
        <v>0.25288074581688164</v>
      </c>
    </row>
    <row r="737" spans="1:6" x14ac:dyDescent="0.25">
      <c r="A737" s="4" t="s">
        <v>72</v>
      </c>
      <c r="B737" s="4" t="str">
        <f>VLOOKUP(A737,Codes!$G$2:$H$217,2,0)</f>
        <v>IDN</v>
      </c>
      <c r="C737" s="11">
        <v>157775352</v>
      </c>
      <c r="D737" s="12">
        <v>2009</v>
      </c>
      <c r="E737" s="13">
        <v>29604</v>
      </c>
      <c r="F737" s="8">
        <v>0.18763387072018703</v>
      </c>
    </row>
    <row r="738" spans="1:6" x14ac:dyDescent="0.25">
      <c r="A738" s="4" t="s">
        <v>72</v>
      </c>
      <c r="B738" s="4" t="str">
        <f>VLOOKUP(A738,Codes!$G$2:$H$217,2,0)</f>
        <v>IDN</v>
      </c>
      <c r="C738" s="11">
        <v>160116952</v>
      </c>
      <c r="D738" s="12">
        <v>2010</v>
      </c>
      <c r="E738" s="13">
        <v>38106</v>
      </c>
      <c r="F738" s="8">
        <v>0.23798854227502408</v>
      </c>
    </row>
    <row r="739" spans="1:6" x14ac:dyDescent="0.25">
      <c r="A739" s="4" t="s">
        <v>72</v>
      </c>
      <c r="B739" s="4" t="str">
        <f>VLOOKUP(A739,Codes!$G$2:$H$217,2,0)</f>
        <v>IDN</v>
      </c>
      <c r="C739" s="11">
        <v>162834657</v>
      </c>
      <c r="D739" s="12">
        <v>2011</v>
      </c>
      <c r="E739" s="13">
        <v>43906</v>
      </c>
      <c r="F739" s="8">
        <v>0.26963547446782171</v>
      </c>
    </row>
    <row r="740" spans="1:6" x14ac:dyDescent="0.25">
      <c r="A740" s="4" t="s">
        <v>72</v>
      </c>
      <c r="B740" s="4" t="str">
        <f>VLOOKUP(A740,Codes!$G$2:$H$217,2,0)</f>
        <v>IDN</v>
      </c>
      <c r="C740" s="11">
        <v>165487914</v>
      </c>
      <c r="D740" s="12">
        <v>2012</v>
      </c>
      <c r="E740" s="13">
        <v>47714</v>
      </c>
      <c r="F740" s="8">
        <v>0.28832317023465531</v>
      </c>
    </row>
    <row r="741" spans="1:6" x14ac:dyDescent="0.25">
      <c r="A741" s="4" t="s">
        <v>72</v>
      </c>
      <c r="B741" s="4" t="str">
        <f>VLOOKUP(A741,Codes!$G$2:$H$217,2,0)</f>
        <v>IDN</v>
      </c>
      <c r="C741" s="11">
        <v>168130541</v>
      </c>
      <c r="D741" s="12">
        <v>2013</v>
      </c>
      <c r="E741" s="13">
        <v>51151</v>
      </c>
      <c r="F741" s="8">
        <v>0.30423383934748655</v>
      </c>
    </row>
    <row r="742" spans="1:6" x14ac:dyDescent="0.25">
      <c r="A742" s="4" t="s">
        <v>72</v>
      </c>
      <c r="B742" s="4" t="str">
        <f>VLOOKUP(A742,Codes!$G$2:$H$217,2,0)</f>
        <v>IDN</v>
      </c>
      <c r="C742" s="11">
        <v>170817349</v>
      </c>
      <c r="D742" s="16">
        <v>2014</v>
      </c>
      <c r="E742" s="13">
        <v>57926</v>
      </c>
      <c r="F742" s="8">
        <v>0.33911075390825784</v>
      </c>
    </row>
    <row r="743" spans="1:6" x14ac:dyDescent="0.25">
      <c r="A743" s="4" t="s">
        <v>72</v>
      </c>
      <c r="B743" s="4" t="str">
        <f>VLOOKUP(A743,Codes!$G$2:$H$217,2,0)</f>
        <v>IDN</v>
      </c>
      <c r="C743" s="11">
        <v>173544645</v>
      </c>
      <c r="D743" s="16">
        <v>2015</v>
      </c>
      <c r="E743" s="13">
        <v>57079</v>
      </c>
      <c r="F743" s="8">
        <v>0.32890095802149355</v>
      </c>
    </row>
    <row r="744" spans="1:6" x14ac:dyDescent="0.25">
      <c r="A744" s="4" t="s">
        <v>72</v>
      </c>
      <c r="B744" s="4" t="str">
        <f>VLOOKUP(A744,Codes!$G$2:$H$217,2,0)</f>
        <v>IDN</v>
      </c>
      <c r="C744" s="11">
        <v>175878309</v>
      </c>
      <c r="D744" s="16">
        <v>2016</v>
      </c>
      <c r="E744" s="13">
        <v>58426</v>
      </c>
      <c r="F744" s="8">
        <v>0.3321955978096196</v>
      </c>
    </row>
    <row r="745" spans="1:6" x14ac:dyDescent="0.25">
      <c r="A745" s="3" t="s">
        <v>73</v>
      </c>
      <c r="B745" s="4" t="str">
        <f>VLOOKUP(A745,Codes!$G$2:$H$217,2,0)</f>
        <v>IRN</v>
      </c>
      <c r="C745" s="11">
        <v>57695557</v>
      </c>
      <c r="D745" s="16">
        <v>2020</v>
      </c>
      <c r="E745" s="13">
        <v>36158</v>
      </c>
      <c r="F745" s="8">
        <v>0.62670336989726949</v>
      </c>
    </row>
    <row r="746" spans="1:6" x14ac:dyDescent="0.25">
      <c r="A746" s="3" t="s">
        <v>74</v>
      </c>
      <c r="B746" s="4" t="str">
        <f>VLOOKUP(A746,Codes!$G$2:$H$217,2,0)</f>
        <v>IRQ</v>
      </c>
      <c r="C746" s="11">
        <v>14991538</v>
      </c>
      <c r="D746" s="12">
        <v>2006</v>
      </c>
      <c r="E746" s="13">
        <v>3759</v>
      </c>
      <c r="F746" s="8">
        <v>0.25074145161090211</v>
      </c>
    </row>
    <row r="747" spans="1:6" x14ac:dyDescent="0.25">
      <c r="A747" s="4" t="s">
        <v>74</v>
      </c>
      <c r="B747" s="4" t="str">
        <f>VLOOKUP(A747,Codes!$G$2:$H$217,2,0)</f>
        <v>IRQ</v>
      </c>
      <c r="C747" s="11">
        <v>15250619</v>
      </c>
      <c r="D747" s="12">
        <v>2007</v>
      </c>
      <c r="E747" s="13">
        <v>3508</v>
      </c>
      <c r="F747" s="8">
        <v>0.2300234501956937</v>
      </c>
    </row>
    <row r="748" spans="1:6" x14ac:dyDescent="0.25">
      <c r="A748" s="4" t="s">
        <v>74</v>
      </c>
      <c r="B748" s="4" t="str">
        <f>VLOOKUP(A748,Codes!$G$2:$H$217,2,0)</f>
        <v>IRQ</v>
      </c>
      <c r="C748" s="11">
        <v>15522351</v>
      </c>
      <c r="D748" s="12">
        <v>2008</v>
      </c>
      <c r="E748" s="13">
        <v>5293</v>
      </c>
      <c r="F748" s="8">
        <v>0.3409921602726288</v>
      </c>
    </row>
    <row r="749" spans="1:6" x14ac:dyDescent="0.25">
      <c r="A749" s="4" t="s">
        <v>74</v>
      </c>
      <c r="B749" s="4" t="str">
        <f>VLOOKUP(A749,Codes!$G$2:$H$217,2,0)</f>
        <v>IRQ</v>
      </c>
      <c r="C749" s="11">
        <v>15863752</v>
      </c>
      <c r="D749" s="12">
        <v>2009</v>
      </c>
      <c r="E749" s="13">
        <v>4707</v>
      </c>
      <c r="F749" s="8">
        <v>0.29671416951046636</v>
      </c>
    </row>
    <row r="750" spans="1:6" x14ac:dyDescent="0.25">
      <c r="A750" s="4" t="s">
        <v>74</v>
      </c>
      <c r="B750" s="4" t="str">
        <f>VLOOKUP(A750,Codes!$G$2:$H$217,2,0)</f>
        <v>IRQ</v>
      </c>
      <c r="C750" s="11">
        <v>16308982</v>
      </c>
      <c r="D750" s="12">
        <v>2010</v>
      </c>
      <c r="E750" s="13">
        <v>2532</v>
      </c>
      <c r="F750" s="8">
        <v>0.1552518728636772</v>
      </c>
    </row>
    <row r="751" spans="1:6" x14ac:dyDescent="0.25">
      <c r="A751" s="4" t="s">
        <v>74</v>
      </c>
      <c r="B751" s="4" t="str">
        <f>VLOOKUP(A751,Codes!$G$2:$H$217,2,0)</f>
        <v>IRQ</v>
      </c>
      <c r="C751" s="11">
        <v>17033717</v>
      </c>
      <c r="D751" s="12">
        <v>2011</v>
      </c>
      <c r="E751" s="13">
        <v>1967</v>
      </c>
      <c r="F751" s="8">
        <v>0.11547685100087081</v>
      </c>
    </row>
    <row r="752" spans="1:6" x14ac:dyDescent="0.25">
      <c r="A752" s="4" t="s">
        <v>74</v>
      </c>
      <c r="B752" s="4" t="str">
        <f>VLOOKUP(A752,Codes!$G$2:$H$217,2,0)</f>
        <v>IRQ</v>
      </c>
      <c r="C752" s="11">
        <v>17862517</v>
      </c>
      <c r="D752" s="12">
        <v>2012</v>
      </c>
      <c r="E752" s="13">
        <v>2450</v>
      </c>
      <c r="F752" s="8">
        <v>0.13715872180835434</v>
      </c>
    </row>
    <row r="753" spans="1:6" x14ac:dyDescent="0.25">
      <c r="A753" s="4" t="s">
        <v>74</v>
      </c>
      <c r="B753" s="4" t="str">
        <f>VLOOKUP(A753,Codes!$G$2:$H$217,2,0)</f>
        <v>IRQ</v>
      </c>
      <c r="C753" s="11">
        <v>18750462</v>
      </c>
      <c r="D753" s="12">
        <v>2013</v>
      </c>
      <c r="E753" s="13">
        <v>3044</v>
      </c>
      <c r="F753" s="8">
        <v>0.16234266654336305</v>
      </c>
    </row>
    <row r="754" spans="1:6" x14ac:dyDescent="0.25">
      <c r="A754" s="4" t="s">
        <v>74</v>
      </c>
      <c r="B754" s="4" t="str">
        <f>VLOOKUP(A754,Codes!$G$2:$H$217,2,0)</f>
        <v>IRQ</v>
      </c>
      <c r="C754" s="11">
        <v>19638482</v>
      </c>
      <c r="D754" s="16">
        <v>2014</v>
      </c>
      <c r="E754" s="13">
        <v>1958</v>
      </c>
      <c r="F754" s="8">
        <v>9.9702207125784981E-2</v>
      </c>
    </row>
    <row r="755" spans="1:6" x14ac:dyDescent="0.25">
      <c r="A755" s="4" t="s">
        <v>74</v>
      </c>
      <c r="B755" s="4" t="str">
        <f>VLOOKUP(A755,Codes!$G$2:$H$217,2,0)</f>
        <v>IRQ</v>
      </c>
      <c r="C755" s="11">
        <v>20484555</v>
      </c>
      <c r="D755" s="16">
        <v>2015</v>
      </c>
      <c r="E755" s="13">
        <v>1801</v>
      </c>
      <c r="F755" s="8">
        <v>8.7919898674879676E-2</v>
      </c>
    </row>
    <row r="756" spans="1:6" x14ac:dyDescent="0.25">
      <c r="A756" s="4" t="s">
        <v>74</v>
      </c>
      <c r="B756" s="4" t="str">
        <f>VLOOKUP(A756,Codes!$G$2:$H$217,2,0)</f>
        <v>IRQ</v>
      </c>
      <c r="C756" s="11">
        <v>21141845</v>
      </c>
      <c r="D756" s="16">
        <v>2016</v>
      </c>
      <c r="E756" s="13">
        <v>2020</v>
      </c>
      <c r="F756" s="8">
        <v>9.5545114440106813E-2</v>
      </c>
    </row>
    <row r="757" spans="1:6" x14ac:dyDescent="0.25">
      <c r="A757" s="3" t="s">
        <v>75</v>
      </c>
      <c r="B757" s="4" t="str">
        <f>VLOOKUP(A757,Codes!$G$2:$H$217,2,0)</f>
        <v>IRL</v>
      </c>
      <c r="C757" s="11">
        <v>2955513</v>
      </c>
      <c r="D757" s="12">
        <v>2006</v>
      </c>
      <c r="E757" s="13">
        <v>19175</v>
      </c>
      <c r="F757" s="8">
        <v>6.4878753705363508</v>
      </c>
    </row>
    <row r="758" spans="1:6" x14ac:dyDescent="0.25">
      <c r="A758" s="4" t="s">
        <v>75</v>
      </c>
      <c r="B758" s="4" t="str">
        <f>VLOOKUP(A758,Codes!$G$2:$H$217,2,0)</f>
        <v>IRL</v>
      </c>
      <c r="C758" s="11">
        <v>3034132</v>
      </c>
      <c r="D758" s="12">
        <v>2007</v>
      </c>
      <c r="E758" s="13">
        <v>18526</v>
      </c>
      <c r="F758" s="8">
        <v>6.1058648733805905</v>
      </c>
    </row>
    <row r="759" spans="1:6" x14ac:dyDescent="0.25">
      <c r="A759" s="4" t="s">
        <v>75</v>
      </c>
      <c r="B759" s="4" t="str">
        <f>VLOOKUP(A759,Codes!$G$2:$H$217,2,0)</f>
        <v>IRL</v>
      </c>
      <c r="C759" s="11">
        <v>3086191</v>
      </c>
      <c r="D759" s="12">
        <v>2008</v>
      </c>
      <c r="E759" s="13">
        <v>14590</v>
      </c>
      <c r="F759" s="8">
        <v>4.7275103841596327</v>
      </c>
    </row>
    <row r="760" spans="1:6" x14ac:dyDescent="0.25">
      <c r="A760" s="4" t="s">
        <v>75</v>
      </c>
      <c r="B760" s="4" t="str">
        <f>VLOOKUP(A760,Codes!$G$2:$H$217,2,0)</f>
        <v>IRL</v>
      </c>
      <c r="C760" s="11">
        <v>3105774</v>
      </c>
      <c r="D760" s="12">
        <v>2009</v>
      </c>
      <c r="E760" s="13">
        <v>13185</v>
      </c>
      <c r="F760" s="8">
        <v>4.2453185582724302</v>
      </c>
    </row>
    <row r="761" spans="1:6" x14ac:dyDescent="0.25">
      <c r="A761" s="4" t="s">
        <v>75</v>
      </c>
      <c r="B761" s="4" t="str">
        <f>VLOOKUP(A761,Codes!$G$2:$H$217,2,0)</f>
        <v>IRL</v>
      </c>
      <c r="C761" s="11">
        <v>3110223</v>
      </c>
      <c r="D761" s="12">
        <v>2010</v>
      </c>
      <c r="E761" s="13">
        <v>13793</v>
      </c>
      <c r="F761" s="8">
        <v>4.4347302428153865</v>
      </c>
    </row>
    <row r="762" spans="1:6" x14ac:dyDescent="0.25">
      <c r="A762" s="4" t="s">
        <v>75</v>
      </c>
      <c r="B762" s="4" t="str">
        <f>VLOOKUP(A762,Codes!$G$2:$H$217,2,0)</f>
        <v>IRL</v>
      </c>
      <c r="C762" s="11">
        <v>3096398</v>
      </c>
      <c r="D762" s="12">
        <v>2011</v>
      </c>
      <c r="E762" s="13">
        <v>14312</v>
      </c>
      <c r="F762" s="8">
        <v>4.6221448276352071</v>
      </c>
    </row>
    <row r="763" spans="1:6" x14ac:dyDescent="0.25">
      <c r="A763" s="4" t="s">
        <v>75</v>
      </c>
      <c r="B763" s="4" t="str">
        <f>VLOOKUP(A763,Codes!$G$2:$H$217,2,0)</f>
        <v>IRL</v>
      </c>
      <c r="C763" s="11">
        <v>3082560</v>
      </c>
      <c r="D763" s="12">
        <v>2012</v>
      </c>
      <c r="E763" s="13">
        <v>13773</v>
      </c>
      <c r="F763" s="8">
        <v>4.4680395515415752</v>
      </c>
    </row>
    <row r="764" spans="1:6" x14ac:dyDescent="0.25">
      <c r="A764" s="4" t="s">
        <v>75</v>
      </c>
      <c r="B764" s="4" t="str">
        <f>VLOOKUP(A764,Codes!$G$2:$H$217,2,0)</f>
        <v>IRL</v>
      </c>
      <c r="C764" s="11">
        <v>3072327</v>
      </c>
      <c r="D764" s="12">
        <v>2013</v>
      </c>
      <c r="E764" s="13">
        <v>14876</v>
      </c>
      <c r="F764" s="8">
        <v>4.8419325156469348</v>
      </c>
    </row>
    <row r="765" spans="1:6" x14ac:dyDescent="0.25">
      <c r="A765" s="4" t="s">
        <v>75</v>
      </c>
      <c r="B765" s="4" t="str">
        <f>VLOOKUP(A765,Codes!$G$2:$H$217,2,0)</f>
        <v>IRL</v>
      </c>
      <c r="C765" s="11">
        <v>3068647</v>
      </c>
      <c r="D765" s="16">
        <v>2014</v>
      </c>
      <c r="E765" s="13">
        <v>17601</v>
      </c>
      <c r="F765" s="8">
        <v>5.7357525971543808</v>
      </c>
    </row>
    <row r="766" spans="1:6" x14ac:dyDescent="0.25">
      <c r="A766" s="4" t="s">
        <v>75</v>
      </c>
      <c r="B766" s="4" t="str">
        <f>VLOOKUP(A766,Codes!$G$2:$H$217,2,0)</f>
        <v>IRL</v>
      </c>
      <c r="C766" s="11">
        <v>3072081</v>
      </c>
      <c r="D766" s="16">
        <v>2015</v>
      </c>
      <c r="E766" s="13">
        <v>19207</v>
      </c>
      <c r="F766" s="8">
        <v>6.2521137951766246</v>
      </c>
    </row>
    <row r="767" spans="1:6" x14ac:dyDescent="0.25">
      <c r="A767" s="4" t="s">
        <v>75</v>
      </c>
      <c r="B767" s="4" t="str">
        <f>VLOOKUP(A767,Codes!$G$2:$H$217,2,0)</f>
        <v>IRL</v>
      </c>
      <c r="C767" s="11">
        <v>3095584</v>
      </c>
      <c r="D767" s="16">
        <v>2016</v>
      </c>
      <c r="E767" s="13">
        <v>20750</v>
      </c>
      <c r="F767" s="8">
        <v>6.703097056968895</v>
      </c>
    </row>
    <row r="768" spans="1:6" x14ac:dyDescent="0.25">
      <c r="A768" s="4" t="s">
        <v>75</v>
      </c>
      <c r="B768" s="4" t="str">
        <f>VLOOKUP(A768,Codes!$G$2:$H$217,2,0)</f>
        <v>IRL</v>
      </c>
      <c r="C768" s="11">
        <v>3119517</v>
      </c>
      <c r="D768" s="16">
        <v>2017</v>
      </c>
      <c r="E768" s="13">
        <v>22048</v>
      </c>
      <c r="F768" s="8">
        <v>7.0677608104075089</v>
      </c>
    </row>
    <row r="769" spans="1:6" x14ac:dyDescent="0.25">
      <c r="A769" s="4" t="s">
        <v>75</v>
      </c>
      <c r="B769" s="4" t="str">
        <f>VLOOKUP(A769,Codes!$G$2:$H$217,2,0)</f>
        <v>IRL</v>
      </c>
      <c r="C769" s="11">
        <v>3150506</v>
      </c>
      <c r="D769" s="16">
        <v>2018</v>
      </c>
      <c r="E769" s="13">
        <v>22217</v>
      </c>
      <c r="F769" s="8">
        <v>7.0518830943346877</v>
      </c>
    </row>
    <row r="770" spans="1:6" x14ac:dyDescent="0.25">
      <c r="A770" s="4" t="s">
        <v>75</v>
      </c>
      <c r="B770" s="4" t="str">
        <f>VLOOKUP(A770,Codes!$G$2:$H$217,2,0)</f>
        <v>IRL</v>
      </c>
      <c r="C770" s="11">
        <v>3188906</v>
      </c>
      <c r="D770" s="16">
        <v>2019</v>
      </c>
      <c r="E770" s="13">
        <v>22561</v>
      </c>
      <c r="F770" s="8">
        <v>7.0748400862239276</v>
      </c>
    </row>
    <row r="771" spans="1:6" x14ac:dyDescent="0.25">
      <c r="A771" s="4" t="s">
        <v>75</v>
      </c>
      <c r="B771" s="4" t="str">
        <f>VLOOKUP(A771,Codes!$G$2:$H$217,2,0)</f>
        <v>IRL</v>
      </c>
      <c r="C771" s="11">
        <v>3226081</v>
      </c>
      <c r="D771" s="16">
        <v>2020</v>
      </c>
      <c r="E771" s="13">
        <v>21873</v>
      </c>
      <c r="F771" s="8">
        <v>6.7800529496934514</v>
      </c>
    </row>
    <row r="772" spans="1:6" x14ac:dyDescent="0.25">
      <c r="A772" s="3" t="s">
        <v>76</v>
      </c>
      <c r="B772" s="4" t="str">
        <f>VLOOKUP(A772,Codes!$G$2:$H$217,2,0)</f>
        <v>IMN</v>
      </c>
      <c r="C772" s="19">
        <v>49607</v>
      </c>
      <c r="D772" s="12">
        <v>2006</v>
      </c>
      <c r="E772" s="13">
        <v>3694</v>
      </c>
      <c r="F772" s="8">
        <v>74.465297236277138</v>
      </c>
    </row>
    <row r="773" spans="1:6" x14ac:dyDescent="0.25">
      <c r="A773" s="4" t="s">
        <v>76</v>
      </c>
      <c r="B773" s="4" t="str">
        <f>VLOOKUP(A773,Codes!$G$2:$H$217,2,0)</f>
        <v>IMN</v>
      </c>
      <c r="C773" s="19">
        <v>49968</v>
      </c>
      <c r="D773" s="12">
        <v>2007</v>
      </c>
      <c r="E773" s="13">
        <v>4112</v>
      </c>
      <c r="F773" s="8">
        <v>82.292667307076528</v>
      </c>
    </row>
    <row r="774" spans="1:6" x14ac:dyDescent="0.25">
      <c r="A774" s="4" t="s">
        <v>76</v>
      </c>
      <c r="B774" s="4" t="str">
        <f>VLOOKUP(A774,Codes!$G$2:$H$217,2,0)</f>
        <v>IMN</v>
      </c>
      <c r="C774" s="19">
        <v>50249</v>
      </c>
      <c r="D774" s="12">
        <v>2008</v>
      </c>
      <c r="E774" s="13">
        <v>4164</v>
      </c>
      <c r="F774" s="8">
        <v>82.867320742701352</v>
      </c>
    </row>
    <row r="775" spans="1:6" x14ac:dyDescent="0.25">
      <c r="A775" s="4" t="s">
        <v>76</v>
      </c>
      <c r="B775" s="4" t="str">
        <f>VLOOKUP(A775,Codes!$G$2:$H$217,2,0)</f>
        <v>IMN</v>
      </c>
      <c r="C775" s="19">
        <v>50516</v>
      </c>
      <c r="D775" s="12">
        <v>2009</v>
      </c>
      <c r="E775" s="13">
        <v>2136</v>
      </c>
      <c r="F775" s="8">
        <v>42.283632908385457</v>
      </c>
    </row>
    <row r="776" spans="1:6" x14ac:dyDescent="0.25">
      <c r="A776" s="4" t="s">
        <v>76</v>
      </c>
      <c r="B776" s="4" t="str">
        <f>VLOOKUP(A776,Codes!$G$2:$H$217,2,0)</f>
        <v>IMN</v>
      </c>
      <c r="C776" s="19">
        <v>50516</v>
      </c>
      <c r="D776" s="12">
        <v>2010</v>
      </c>
      <c r="E776" s="13">
        <v>2480</v>
      </c>
      <c r="F776" s="8">
        <v>49.093356560297728</v>
      </c>
    </row>
    <row r="777" spans="1:6" x14ac:dyDescent="0.25">
      <c r="A777" s="4" t="s">
        <v>76</v>
      </c>
      <c r="B777" s="4" t="str">
        <f>VLOOKUP(A777,Codes!$G$2:$H$217,2,0)</f>
        <v>IMN</v>
      </c>
      <c r="C777" s="19">
        <v>50516</v>
      </c>
      <c r="D777" s="12">
        <v>2011</v>
      </c>
      <c r="E777" s="13">
        <v>2265</v>
      </c>
      <c r="F777" s="8">
        <v>44.837279277852559</v>
      </c>
    </row>
    <row r="778" spans="1:6" x14ac:dyDescent="0.25">
      <c r="A778" s="4" t="s">
        <v>76</v>
      </c>
      <c r="B778" s="4" t="str">
        <f>VLOOKUP(A778,Codes!$G$2:$H$217,2,0)</f>
        <v>IMN</v>
      </c>
      <c r="C778" s="19">
        <v>50516</v>
      </c>
      <c r="D778" s="12">
        <v>2012</v>
      </c>
      <c r="E778" s="13">
        <v>2019</v>
      </c>
      <c r="F778" s="8">
        <v>39.967535038403675</v>
      </c>
    </row>
    <row r="779" spans="1:6" x14ac:dyDescent="0.25">
      <c r="A779" s="4" t="s">
        <v>76</v>
      </c>
      <c r="B779" s="4" t="str">
        <f>VLOOKUP(A779,Codes!$G$2:$H$217,2,0)</f>
        <v>IMN</v>
      </c>
      <c r="C779" s="19">
        <v>50516</v>
      </c>
      <c r="D779" s="12">
        <v>2013</v>
      </c>
      <c r="E779" s="13">
        <v>2202</v>
      </c>
      <c r="F779" s="8">
        <v>43.590149655554676</v>
      </c>
    </row>
    <row r="780" spans="1:6" x14ac:dyDescent="0.25">
      <c r="A780" s="4" t="s">
        <v>76</v>
      </c>
      <c r="B780" s="4" t="str">
        <f>VLOOKUP(A780,Codes!$G$2:$H$217,2,0)</f>
        <v>IMN</v>
      </c>
      <c r="C780" s="19">
        <v>50516</v>
      </c>
      <c r="D780" s="16">
        <v>2014</v>
      </c>
      <c r="E780" s="13">
        <v>2092</v>
      </c>
      <c r="F780" s="8">
        <v>41.412621743605989</v>
      </c>
    </row>
    <row r="781" spans="1:6" x14ac:dyDescent="0.25">
      <c r="A781" s="4" t="s">
        <v>76</v>
      </c>
      <c r="B781" s="4" t="str">
        <f>VLOOKUP(A781,Codes!$G$2:$H$217,2,0)</f>
        <v>IMN</v>
      </c>
      <c r="C781" s="19">
        <v>56075</v>
      </c>
      <c r="D781" s="16">
        <v>2015</v>
      </c>
      <c r="E781" s="13">
        <v>1960</v>
      </c>
      <c r="F781" s="8">
        <v>34.95318769505127</v>
      </c>
    </row>
    <row r="782" spans="1:6" x14ac:dyDescent="0.25">
      <c r="A782" s="4" t="s">
        <v>76</v>
      </c>
      <c r="B782" s="4" t="str">
        <f>VLOOKUP(A782,Codes!$G$2:$H$217,2,0)</f>
        <v>IMN</v>
      </c>
      <c r="C782" s="19">
        <v>56075</v>
      </c>
      <c r="D782" s="16">
        <v>2016</v>
      </c>
      <c r="E782" s="13">
        <v>1832</v>
      </c>
      <c r="F782" s="8">
        <v>32.670530539456088</v>
      </c>
    </row>
    <row r="783" spans="1:6" x14ac:dyDescent="0.25">
      <c r="A783" s="3" t="s">
        <v>77</v>
      </c>
      <c r="B783" s="4" t="str">
        <f>VLOOKUP(A783,Codes!$G$2:$H$217,2,0)</f>
        <v>ISR</v>
      </c>
      <c r="C783" s="11">
        <v>4392383</v>
      </c>
      <c r="D783" s="12">
        <v>2006</v>
      </c>
      <c r="E783" s="13">
        <v>14035</v>
      </c>
      <c r="F783" s="8">
        <v>3.1953042346261702</v>
      </c>
    </row>
    <row r="784" spans="1:6" x14ac:dyDescent="0.25">
      <c r="A784" s="4" t="s">
        <v>77</v>
      </c>
      <c r="B784" s="4" t="str">
        <f>VLOOKUP(A784,Codes!$G$2:$H$217,2,0)</f>
        <v>ISR</v>
      </c>
      <c r="C784" s="11">
        <v>4477347</v>
      </c>
      <c r="D784" s="12">
        <v>2007</v>
      </c>
      <c r="E784" s="13">
        <v>15680</v>
      </c>
      <c r="F784" s="8">
        <v>3.5020738843784054</v>
      </c>
    </row>
    <row r="785" spans="1:6" x14ac:dyDescent="0.25">
      <c r="A785" s="4" t="s">
        <v>77</v>
      </c>
      <c r="B785" s="4" t="str">
        <f>VLOOKUP(A785,Codes!$G$2:$H$217,2,0)</f>
        <v>ISR</v>
      </c>
      <c r="C785" s="11">
        <v>4559949</v>
      </c>
      <c r="D785" s="12">
        <v>2008</v>
      </c>
      <c r="E785" s="13">
        <v>14607</v>
      </c>
      <c r="F785" s="8">
        <v>3.2033253003487538</v>
      </c>
    </row>
    <row r="786" spans="1:6" x14ac:dyDescent="0.25">
      <c r="A786" s="4" t="s">
        <v>77</v>
      </c>
      <c r="B786" s="4" t="str">
        <f>VLOOKUP(A786,Codes!$G$2:$H$217,2,0)</f>
        <v>ISR</v>
      </c>
      <c r="C786" s="11">
        <v>4668708</v>
      </c>
      <c r="D786" s="12">
        <v>2009</v>
      </c>
      <c r="E786" s="13">
        <v>14462</v>
      </c>
      <c r="F786" s="8">
        <v>3.0976450015721695</v>
      </c>
    </row>
    <row r="787" spans="1:6" x14ac:dyDescent="0.25">
      <c r="A787" s="4" t="s">
        <v>77</v>
      </c>
      <c r="B787" s="4" t="str">
        <f>VLOOKUP(A787,Codes!$G$2:$H$217,2,0)</f>
        <v>ISR</v>
      </c>
      <c r="C787" s="11">
        <v>4748577</v>
      </c>
      <c r="D787" s="12">
        <v>2010</v>
      </c>
      <c r="E787" s="13">
        <v>16276</v>
      </c>
      <c r="F787" s="8">
        <v>3.42755313855077</v>
      </c>
    </row>
    <row r="788" spans="1:6" x14ac:dyDescent="0.25">
      <c r="A788" s="4" t="s">
        <v>77</v>
      </c>
      <c r="B788" s="4" t="str">
        <f>VLOOKUP(A788,Codes!$G$2:$H$217,2,0)</f>
        <v>ISR</v>
      </c>
      <c r="C788" s="11">
        <v>4818704</v>
      </c>
      <c r="D788" s="12">
        <v>2011</v>
      </c>
      <c r="E788" s="13">
        <v>15833</v>
      </c>
      <c r="F788" s="8">
        <v>3.2857382399914998</v>
      </c>
    </row>
    <row r="789" spans="1:6" x14ac:dyDescent="0.25">
      <c r="A789" s="4" t="s">
        <v>77</v>
      </c>
      <c r="B789" s="4" t="str">
        <f>VLOOKUP(A789,Codes!$G$2:$H$217,2,0)</f>
        <v>ISR</v>
      </c>
      <c r="C789" s="11">
        <v>4887353</v>
      </c>
      <c r="D789" s="12">
        <v>2012</v>
      </c>
      <c r="E789" s="13">
        <v>14246</v>
      </c>
      <c r="F789" s="8">
        <v>2.9148702784513416</v>
      </c>
    </row>
    <row r="790" spans="1:6" x14ac:dyDescent="0.25">
      <c r="A790" s="4" t="s">
        <v>77</v>
      </c>
      <c r="B790" s="4" t="str">
        <f>VLOOKUP(A790,Codes!$G$2:$H$217,2,0)</f>
        <v>ISR</v>
      </c>
      <c r="C790" s="11">
        <v>4956123</v>
      </c>
      <c r="D790" s="12">
        <v>2013</v>
      </c>
      <c r="E790" s="13">
        <v>14201</v>
      </c>
      <c r="F790" s="8">
        <v>2.8653445445159451</v>
      </c>
    </row>
    <row r="791" spans="1:6" x14ac:dyDescent="0.25">
      <c r="A791" s="4" t="s">
        <v>77</v>
      </c>
      <c r="B791" s="4" t="str">
        <f>VLOOKUP(A791,Codes!$G$2:$H$217,2,0)</f>
        <v>ISR</v>
      </c>
      <c r="C791" s="11">
        <v>5027873</v>
      </c>
      <c r="D791" s="16">
        <v>2014</v>
      </c>
      <c r="E791" s="13">
        <v>15409</v>
      </c>
      <c r="F791" s="8">
        <v>3.0647154373230987</v>
      </c>
    </row>
    <row r="792" spans="1:6" x14ac:dyDescent="0.25">
      <c r="A792" s="4" t="s">
        <v>77</v>
      </c>
      <c r="B792" s="4" t="str">
        <f>VLOOKUP(A792,Codes!$G$2:$H$217,2,0)</f>
        <v>ISR</v>
      </c>
      <c r="C792" s="11">
        <v>5104539</v>
      </c>
      <c r="D792" s="16">
        <v>2015</v>
      </c>
      <c r="E792" s="13">
        <v>16587</v>
      </c>
      <c r="F792" s="8">
        <v>3.2494609209568193</v>
      </c>
    </row>
    <row r="793" spans="1:6" x14ac:dyDescent="0.25">
      <c r="A793" s="4" t="s">
        <v>77</v>
      </c>
      <c r="B793" s="4" t="str">
        <f>VLOOKUP(A793,Codes!$G$2:$H$217,2,0)</f>
        <v>ISR</v>
      </c>
      <c r="C793" s="11">
        <v>5178968</v>
      </c>
      <c r="D793" s="16">
        <v>2016</v>
      </c>
      <c r="E793" s="13">
        <v>17624</v>
      </c>
      <c r="F793" s="8">
        <v>3.4029945734362523</v>
      </c>
    </row>
    <row r="794" spans="1:6" x14ac:dyDescent="0.25">
      <c r="A794" s="4" t="s">
        <v>77</v>
      </c>
      <c r="B794" s="4" t="str">
        <f>VLOOKUP(A794,Codes!$G$2:$H$217,2,0)</f>
        <v>ISR</v>
      </c>
      <c r="C794" s="11">
        <v>5256726</v>
      </c>
      <c r="D794" s="16">
        <v>2017</v>
      </c>
      <c r="E794" s="13">
        <v>17213</v>
      </c>
      <c r="F794" s="8">
        <v>3.2744716007644299</v>
      </c>
    </row>
    <row r="795" spans="1:6" x14ac:dyDescent="0.25">
      <c r="A795" s="4" t="s">
        <v>77</v>
      </c>
      <c r="B795" s="4" t="str">
        <f>VLOOKUP(A795,Codes!$G$2:$H$217,2,0)</f>
        <v>ISR</v>
      </c>
      <c r="C795" s="11">
        <v>5338364</v>
      </c>
      <c r="D795" s="16">
        <v>2018</v>
      </c>
      <c r="E795" s="13">
        <v>17456</v>
      </c>
      <c r="F795" s="8">
        <v>3.2699156520611932</v>
      </c>
    </row>
    <row r="796" spans="1:6" x14ac:dyDescent="0.25">
      <c r="A796" s="4" t="s">
        <v>77</v>
      </c>
      <c r="B796" s="4" t="str">
        <f>VLOOKUP(A796,Codes!$G$2:$H$217,2,0)</f>
        <v>ISR</v>
      </c>
      <c r="C796" s="11">
        <v>5423867</v>
      </c>
      <c r="D796" s="16">
        <v>2019</v>
      </c>
      <c r="E796" s="13">
        <v>17303</v>
      </c>
      <c r="F796" s="8">
        <v>3.1901593457214199</v>
      </c>
    </row>
    <row r="797" spans="1:6" x14ac:dyDescent="0.25">
      <c r="A797" s="4" t="s">
        <v>77</v>
      </c>
      <c r="B797" s="4" t="str">
        <f>VLOOKUP(A797,Codes!$G$2:$H$217,2,0)</f>
        <v>ISR</v>
      </c>
      <c r="C797" s="11">
        <v>5507760</v>
      </c>
      <c r="D797" s="16">
        <v>2020</v>
      </c>
      <c r="E797" s="13">
        <v>16898</v>
      </c>
      <c r="F797" s="8">
        <v>3.0680349180065942</v>
      </c>
    </row>
    <row r="798" spans="1:6" x14ac:dyDescent="0.25">
      <c r="A798" s="3" t="s">
        <v>78</v>
      </c>
      <c r="B798" s="4" t="str">
        <f>VLOOKUP(A798,Codes!$G$2:$H$217,2,0)</f>
        <v>ITA</v>
      </c>
      <c r="C798" s="11">
        <v>38358790</v>
      </c>
      <c r="D798" s="12">
        <v>2006</v>
      </c>
      <c r="E798" s="13">
        <v>87113</v>
      </c>
      <c r="F798" s="8">
        <v>2.2710048987468063</v>
      </c>
    </row>
    <row r="799" spans="1:6" x14ac:dyDescent="0.25">
      <c r="A799" s="4" t="s">
        <v>78</v>
      </c>
      <c r="B799" s="4" t="str">
        <f>VLOOKUP(A799,Codes!$G$2:$H$217,2,0)</f>
        <v>ITA</v>
      </c>
      <c r="C799" s="11">
        <v>38478501</v>
      </c>
      <c r="D799" s="12">
        <v>2007</v>
      </c>
      <c r="E799" s="13">
        <v>90950</v>
      </c>
      <c r="F799" s="8">
        <v>2.3636575655584919</v>
      </c>
    </row>
    <row r="800" spans="1:6" x14ac:dyDescent="0.25">
      <c r="A800" s="4" t="s">
        <v>78</v>
      </c>
      <c r="B800" s="4" t="str">
        <f>VLOOKUP(A800,Codes!$G$2:$H$217,2,0)</f>
        <v>ITA</v>
      </c>
      <c r="C800" s="11">
        <v>38683286</v>
      </c>
      <c r="D800" s="12">
        <v>2008</v>
      </c>
      <c r="E800" s="13">
        <v>87665</v>
      </c>
      <c r="F800" s="8">
        <v>2.2662242292446408</v>
      </c>
    </row>
    <row r="801" spans="1:6" x14ac:dyDescent="0.25">
      <c r="A801" s="4" t="s">
        <v>78</v>
      </c>
      <c r="B801" s="4" t="str">
        <f>VLOOKUP(A801,Codes!$G$2:$H$217,2,0)</f>
        <v>ITA</v>
      </c>
      <c r="C801" s="11">
        <v>38798488</v>
      </c>
      <c r="D801" s="12">
        <v>2009</v>
      </c>
      <c r="E801" s="13">
        <v>83042</v>
      </c>
      <c r="F801" s="8">
        <v>2.1403411390670688</v>
      </c>
    </row>
    <row r="802" spans="1:6" x14ac:dyDescent="0.25">
      <c r="A802" s="4" t="s">
        <v>78</v>
      </c>
      <c r="B802" s="4" t="str">
        <f>VLOOKUP(A802,Codes!$G$2:$H$217,2,0)</f>
        <v>ITA</v>
      </c>
      <c r="C802" s="11">
        <v>38823371</v>
      </c>
      <c r="D802" s="12">
        <v>2010</v>
      </c>
      <c r="E802" s="13">
        <v>87415</v>
      </c>
      <c r="F802" s="8">
        <v>2.2516076720900924</v>
      </c>
    </row>
    <row r="803" spans="1:6" x14ac:dyDescent="0.25">
      <c r="A803" s="4" t="s">
        <v>78</v>
      </c>
      <c r="B803" s="4" t="str">
        <f>VLOOKUP(A803,Codes!$G$2:$H$217,2,0)</f>
        <v>ITA</v>
      </c>
      <c r="C803" s="11">
        <v>38757674</v>
      </c>
      <c r="D803" s="12">
        <v>2011</v>
      </c>
      <c r="E803" s="13">
        <v>80028</v>
      </c>
      <c r="F803" s="8">
        <v>2.0648297934494209</v>
      </c>
    </row>
    <row r="804" spans="1:6" x14ac:dyDescent="0.25">
      <c r="A804" s="4" t="s">
        <v>78</v>
      </c>
      <c r="B804" s="4" t="str">
        <f>VLOOKUP(A804,Codes!$G$2:$H$217,2,0)</f>
        <v>ITA</v>
      </c>
      <c r="C804" s="11">
        <v>38712836</v>
      </c>
      <c r="D804" s="12">
        <v>2012</v>
      </c>
      <c r="E804" s="13">
        <v>75646</v>
      </c>
      <c r="F804" s="8">
        <v>1.95402889108925</v>
      </c>
    </row>
    <row r="805" spans="1:6" x14ac:dyDescent="0.25">
      <c r="A805" s="4" t="s">
        <v>78</v>
      </c>
      <c r="B805" s="4" t="str">
        <f>VLOOKUP(A805,Codes!$G$2:$H$217,2,0)</f>
        <v>ITA</v>
      </c>
      <c r="C805" s="11">
        <v>39007077</v>
      </c>
      <c r="D805" s="12">
        <v>2013</v>
      </c>
      <c r="E805" s="13">
        <v>83470</v>
      </c>
      <c r="F805" s="8">
        <v>2.1398681064977003</v>
      </c>
    </row>
    <row r="806" spans="1:6" x14ac:dyDescent="0.25">
      <c r="A806" s="4" t="s">
        <v>78</v>
      </c>
      <c r="B806" s="4" t="str">
        <f>VLOOKUP(A806,Codes!$G$2:$H$217,2,0)</f>
        <v>ITA</v>
      </c>
      <c r="C806" s="11">
        <v>39223884</v>
      </c>
      <c r="D806" s="16">
        <v>2014</v>
      </c>
      <c r="E806" s="13">
        <v>91583</v>
      </c>
      <c r="F806" s="8">
        <v>2.3348784123469262</v>
      </c>
    </row>
    <row r="807" spans="1:6" x14ac:dyDescent="0.25">
      <c r="A807" s="4" t="s">
        <v>78</v>
      </c>
      <c r="B807" s="4" t="str">
        <f>VLOOKUP(A807,Codes!$G$2:$H$217,2,0)</f>
        <v>ITA</v>
      </c>
      <c r="C807" s="11">
        <v>39071616</v>
      </c>
      <c r="D807" s="16">
        <v>2015</v>
      </c>
      <c r="E807" s="13">
        <v>99983</v>
      </c>
      <c r="F807" s="8">
        <v>2.5589676147513325</v>
      </c>
    </row>
    <row r="808" spans="1:6" x14ac:dyDescent="0.25">
      <c r="A808" s="4" t="s">
        <v>78</v>
      </c>
      <c r="B808" s="4" t="str">
        <f>VLOOKUP(A808,Codes!$G$2:$H$217,2,0)</f>
        <v>ITA</v>
      </c>
      <c r="C808" s="11">
        <v>38898890</v>
      </c>
      <c r="D808" s="16">
        <v>2016</v>
      </c>
      <c r="E808" s="13">
        <v>102135</v>
      </c>
      <c r="F808" s="8">
        <v>2.6256533284111705</v>
      </c>
    </row>
    <row r="809" spans="1:6" x14ac:dyDescent="0.25">
      <c r="A809" s="4" t="s">
        <v>78</v>
      </c>
      <c r="B809" s="4" t="str">
        <f>VLOOKUP(A809,Codes!$G$2:$H$217,2,0)</f>
        <v>ITA</v>
      </c>
      <c r="C809" s="11">
        <v>38758774</v>
      </c>
      <c r="D809" s="16">
        <v>2017</v>
      </c>
      <c r="E809" s="13">
        <v>110756</v>
      </c>
      <c r="F809" s="8">
        <v>2.8575723267201383</v>
      </c>
    </row>
    <row r="810" spans="1:6" x14ac:dyDescent="0.25">
      <c r="A810" s="4" t="s">
        <v>78</v>
      </c>
      <c r="B810" s="4" t="str">
        <f>VLOOKUP(A810,Codes!$G$2:$H$217,2,0)</f>
        <v>ITA</v>
      </c>
      <c r="C810" s="11">
        <v>38621108</v>
      </c>
      <c r="D810" s="16">
        <v>2018</v>
      </c>
      <c r="E810" s="13">
        <v>114360</v>
      </c>
      <c r="F810" s="8">
        <v>2.961075068068995</v>
      </c>
    </row>
    <row r="811" spans="1:6" x14ac:dyDescent="0.25">
      <c r="A811" s="3" t="s">
        <v>79</v>
      </c>
      <c r="B811" s="4" t="str">
        <f>VLOOKUP(A811,Codes!$G$2:$H$217,2,0)</f>
        <v>JAM</v>
      </c>
      <c r="C811" s="11">
        <v>1721518</v>
      </c>
      <c r="D811" s="12">
        <v>2006</v>
      </c>
      <c r="E811" s="13">
        <v>1954</v>
      </c>
      <c r="F811" s="8">
        <v>1.1350447686286174</v>
      </c>
    </row>
    <row r="812" spans="1:6" x14ac:dyDescent="0.25">
      <c r="A812" s="4" t="s">
        <v>79</v>
      </c>
      <c r="B812" s="4" t="str">
        <f>VLOOKUP(A812,Codes!$G$2:$H$217,2,0)</f>
        <v>JAM</v>
      </c>
      <c r="C812" s="11">
        <v>1744998</v>
      </c>
      <c r="D812" s="12">
        <v>2007</v>
      </c>
      <c r="E812" s="13">
        <v>2024</v>
      </c>
      <c r="F812" s="8">
        <v>1.1598867162025401</v>
      </c>
    </row>
    <row r="813" spans="1:6" x14ac:dyDescent="0.25">
      <c r="A813" s="4" t="s">
        <v>79</v>
      </c>
      <c r="B813" s="4" t="str">
        <f>VLOOKUP(A813,Codes!$G$2:$H$217,2,0)</f>
        <v>JAM</v>
      </c>
      <c r="C813" s="11">
        <v>1768906</v>
      </c>
      <c r="D813" s="12">
        <v>2008</v>
      </c>
      <c r="E813" s="13">
        <v>2137</v>
      </c>
      <c r="F813" s="8">
        <v>1.2080913287647845</v>
      </c>
    </row>
    <row r="814" spans="1:6" x14ac:dyDescent="0.25">
      <c r="A814" s="4" t="s">
        <v>79</v>
      </c>
      <c r="B814" s="4" t="str">
        <f>VLOOKUP(A814,Codes!$G$2:$H$217,2,0)</f>
        <v>JAM</v>
      </c>
      <c r="C814" s="11">
        <v>1793981</v>
      </c>
      <c r="D814" s="12">
        <v>2009</v>
      </c>
      <c r="E814" s="13">
        <v>2057</v>
      </c>
      <c r="F814" s="8">
        <v>1.1466119206390704</v>
      </c>
    </row>
    <row r="815" spans="1:6" x14ac:dyDescent="0.25">
      <c r="A815" s="4" t="s">
        <v>79</v>
      </c>
      <c r="B815" s="4" t="str">
        <f>VLOOKUP(A815,Codes!$G$2:$H$217,2,0)</f>
        <v>JAM</v>
      </c>
      <c r="C815" s="11">
        <v>1819694</v>
      </c>
      <c r="D815" s="12">
        <v>2010</v>
      </c>
      <c r="E815" s="13">
        <v>2020</v>
      </c>
      <c r="F815" s="8">
        <v>1.1100767491677173</v>
      </c>
    </row>
    <row r="816" spans="1:6" x14ac:dyDescent="0.25">
      <c r="A816" s="4" t="s">
        <v>79</v>
      </c>
      <c r="B816" s="4" t="str">
        <f>VLOOKUP(A816,Codes!$G$2:$H$217,2,0)</f>
        <v>JAM</v>
      </c>
      <c r="C816" s="11">
        <v>1844051</v>
      </c>
      <c r="D816" s="12">
        <v>2011</v>
      </c>
      <c r="E816" s="13">
        <v>1897</v>
      </c>
      <c r="F816" s="8">
        <v>1.0287134141083951</v>
      </c>
    </row>
    <row r="817" spans="1:6" x14ac:dyDescent="0.25">
      <c r="A817" s="4" t="s">
        <v>79</v>
      </c>
      <c r="B817" s="4" t="str">
        <f>VLOOKUP(A817,Codes!$G$2:$H$217,2,0)</f>
        <v>JAM</v>
      </c>
      <c r="C817" s="11">
        <v>1868182</v>
      </c>
      <c r="D817" s="12">
        <v>2012</v>
      </c>
      <c r="E817" s="13">
        <v>1946</v>
      </c>
      <c r="F817" s="8">
        <v>1.0416543998389878</v>
      </c>
    </row>
    <row r="818" spans="1:6" x14ac:dyDescent="0.25">
      <c r="A818" s="4" t="s">
        <v>79</v>
      </c>
      <c r="B818" s="4" t="str">
        <f>VLOOKUP(A818,Codes!$G$2:$H$217,2,0)</f>
        <v>JAM</v>
      </c>
      <c r="C818" s="11">
        <v>1891553</v>
      </c>
      <c r="D818" s="12">
        <v>2013</v>
      </c>
      <c r="E818" s="13">
        <v>1948</v>
      </c>
      <c r="F818" s="8">
        <v>1.0298416169147784</v>
      </c>
    </row>
    <row r="819" spans="1:6" x14ac:dyDescent="0.25">
      <c r="A819" s="4" t="s">
        <v>79</v>
      </c>
      <c r="B819" s="4" t="str">
        <f>VLOOKUP(A819,Codes!$G$2:$H$217,2,0)</f>
        <v>JAM</v>
      </c>
      <c r="C819" s="11">
        <v>1913524</v>
      </c>
      <c r="D819" s="16">
        <v>2014</v>
      </c>
      <c r="E819" s="13">
        <v>1775</v>
      </c>
      <c r="F819" s="8">
        <v>0.92760791084930216</v>
      </c>
    </row>
    <row r="820" spans="1:6" x14ac:dyDescent="0.25">
      <c r="A820" s="4" t="s">
        <v>79</v>
      </c>
      <c r="B820" s="4" t="str">
        <f>VLOOKUP(A820,Codes!$G$2:$H$217,2,0)</f>
        <v>JAM</v>
      </c>
      <c r="C820" s="11">
        <v>1933815</v>
      </c>
      <c r="D820" s="16">
        <v>2015</v>
      </c>
      <c r="E820" s="13">
        <v>2227</v>
      </c>
      <c r="F820" s="8">
        <v>1.1516096420805506</v>
      </c>
    </row>
    <row r="821" spans="1:6" x14ac:dyDescent="0.25">
      <c r="A821" s="4" t="s">
        <v>79</v>
      </c>
      <c r="B821" s="4" t="str">
        <f>VLOOKUP(A821,Codes!$G$2:$H$217,2,0)</f>
        <v>JAM</v>
      </c>
      <c r="C821" s="11">
        <v>1949955</v>
      </c>
      <c r="D821" s="16">
        <v>2016</v>
      </c>
      <c r="E821" s="13">
        <v>2544</v>
      </c>
      <c r="F821" s="8">
        <v>1.304645491819042</v>
      </c>
    </row>
    <row r="822" spans="1:6" x14ac:dyDescent="0.25">
      <c r="A822" s="4" t="s">
        <v>79</v>
      </c>
      <c r="B822" s="4" t="str">
        <f>VLOOKUP(A822,Codes!$G$2:$H$217,2,0)</f>
        <v>JAM</v>
      </c>
      <c r="C822" s="11">
        <v>1965510</v>
      </c>
      <c r="D822" s="16">
        <v>2017</v>
      </c>
      <c r="E822" s="13">
        <v>2733</v>
      </c>
      <c r="F822" s="8">
        <v>1.3904788070271836</v>
      </c>
    </row>
    <row r="823" spans="1:6" x14ac:dyDescent="0.25">
      <c r="A823" s="4" t="s">
        <v>79</v>
      </c>
      <c r="B823" s="4" t="str">
        <f>VLOOKUP(A823,Codes!$G$2:$H$217,2,0)</f>
        <v>JAM</v>
      </c>
      <c r="C823" s="11">
        <v>1979654</v>
      </c>
      <c r="D823" s="16">
        <v>2018</v>
      </c>
      <c r="E823" s="13">
        <v>3159</v>
      </c>
      <c r="F823" s="8">
        <v>1.5957333958358382</v>
      </c>
    </row>
    <row r="824" spans="1:6" x14ac:dyDescent="0.25">
      <c r="A824" s="4" t="s">
        <v>79</v>
      </c>
      <c r="B824" s="4" t="str">
        <f>VLOOKUP(A824,Codes!$G$2:$H$217,2,0)</f>
        <v>JAM</v>
      </c>
      <c r="C824" s="11">
        <v>1991455</v>
      </c>
      <c r="D824" s="16">
        <v>2019</v>
      </c>
      <c r="E824" s="13">
        <v>3819</v>
      </c>
      <c r="F824" s="8">
        <v>1.9176933448157252</v>
      </c>
    </row>
    <row r="825" spans="1:6" x14ac:dyDescent="0.25">
      <c r="A825" s="4" t="s">
        <v>79</v>
      </c>
      <c r="B825" s="4" t="str">
        <f>VLOOKUP(A825,Codes!$G$2:$H$217,2,0)</f>
        <v>JAM</v>
      </c>
      <c r="C825" s="11">
        <v>2000681</v>
      </c>
      <c r="D825" s="16">
        <v>2020</v>
      </c>
      <c r="E825" s="13">
        <v>3964</v>
      </c>
      <c r="F825" s="8">
        <v>1.9813253587153572</v>
      </c>
    </row>
    <row r="826" spans="1:6" x14ac:dyDescent="0.25">
      <c r="A826" s="3" t="s">
        <v>80</v>
      </c>
      <c r="B826" s="4" t="str">
        <f>VLOOKUP(A826,Codes!$G$2:$H$217,2,0)</f>
        <v>JPN</v>
      </c>
      <c r="C826" s="11">
        <v>84116655</v>
      </c>
      <c r="D826" s="12">
        <v>2007</v>
      </c>
      <c r="E826" s="20">
        <v>6187</v>
      </c>
      <c r="F826" s="8">
        <v>7.3552615709695068E-2</v>
      </c>
    </row>
    <row r="827" spans="1:6" x14ac:dyDescent="0.25">
      <c r="A827" s="4" t="s">
        <v>80</v>
      </c>
      <c r="B827" s="4" t="str">
        <f>VLOOKUP(A827,Codes!$G$2:$H$217,2,0)</f>
        <v>JPN</v>
      </c>
      <c r="C827" s="11">
        <v>83563130</v>
      </c>
      <c r="D827" s="12">
        <v>2008</v>
      </c>
      <c r="E827" s="20">
        <v>5503</v>
      </c>
      <c r="F827" s="8">
        <v>6.5854402533749037E-2</v>
      </c>
    </row>
    <row r="828" spans="1:6" x14ac:dyDescent="0.25">
      <c r="A828" s="4" t="s">
        <v>80</v>
      </c>
      <c r="B828" s="4" t="str">
        <f>VLOOKUP(A828,Codes!$G$2:$H$217,2,0)</f>
        <v>JPN</v>
      </c>
      <c r="C828" s="11">
        <v>82886937</v>
      </c>
      <c r="D828" s="12">
        <v>2009</v>
      </c>
      <c r="E828" s="20">
        <v>5884</v>
      </c>
      <c r="F828" s="8">
        <v>7.0988266824240351E-2</v>
      </c>
    </row>
    <row r="829" spans="1:6" x14ac:dyDescent="0.25">
      <c r="A829" s="4" t="s">
        <v>80</v>
      </c>
      <c r="B829" s="4" t="str">
        <f>VLOOKUP(A829,Codes!$G$2:$H$217,2,0)</f>
        <v>JPN</v>
      </c>
      <c r="C829" s="11">
        <v>82153251</v>
      </c>
      <c r="D829" s="12">
        <v>2010</v>
      </c>
      <c r="E829" s="20">
        <v>7269</v>
      </c>
      <c r="F829" s="8">
        <v>8.8480978068658539E-2</v>
      </c>
    </row>
    <row r="830" spans="1:6" x14ac:dyDescent="0.25">
      <c r="A830" s="4" t="s">
        <v>80</v>
      </c>
      <c r="B830" s="4" t="str">
        <f>VLOOKUP(A830,Codes!$G$2:$H$217,2,0)</f>
        <v>JPN</v>
      </c>
      <c r="C830" s="11">
        <v>81219621</v>
      </c>
      <c r="D830" s="12">
        <v>2011</v>
      </c>
      <c r="E830" s="20">
        <v>9246</v>
      </c>
      <c r="F830" s="8">
        <v>0.11383948713575012</v>
      </c>
    </row>
    <row r="831" spans="1:6" x14ac:dyDescent="0.25">
      <c r="A831" s="4" t="s">
        <v>80</v>
      </c>
      <c r="B831" s="4" t="str">
        <f>VLOOKUP(A831,Codes!$G$2:$H$217,2,0)</f>
        <v>JPN</v>
      </c>
      <c r="C831" s="11">
        <v>80252578</v>
      </c>
      <c r="D831" s="12">
        <v>2012</v>
      </c>
      <c r="E831" s="20">
        <v>11031</v>
      </c>
      <c r="F831" s="8">
        <v>0.13745352828416302</v>
      </c>
    </row>
    <row r="832" spans="1:6" x14ac:dyDescent="0.25">
      <c r="A832" s="4" t="s">
        <v>80</v>
      </c>
      <c r="B832" s="4" t="str">
        <f>VLOOKUP(A832,Codes!$G$2:$H$217,2,0)</f>
        <v>JPN</v>
      </c>
      <c r="C832" s="11">
        <v>79281609</v>
      </c>
      <c r="D832" s="12">
        <v>2013</v>
      </c>
      <c r="E832" s="20">
        <v>14729</v>
      </c>
      <c r="F832" s="8">
        <v>0.18578079059924224</v>
      </c>
    </row>
    <row r="833" spans="1:6" x14ac:dyDescent="0.25">
      <c r="A833" s="4" t="s">
        <v>80</v>
      </c>
      <c r="B833" s="4" t="str">
        <f>VLOOKUP(A833,Codes!$G$2:$H$217,2,0)</f>
        <v>JPN</v>
      </c>
      <c r="C833" s="11">
        <v>78362321</v>
      </c>
      <c r="D833" s="16">
        <v>2014</v>
      </c>
      <c r="E833" s="20">
        <v>19972</v>
      </c>
      <c r="F833" s="8">
        <v>0.25486738709538737</v>
      </c>
    </row>
    <row r="834" spans="1:6" x14ac:dyDescent="0.25">
      <c r="A834" s="4" t="s">
        <v>80</v>
      </c>
      <c r="B834" s="4" t="str">
        <f>VLOOKUP(A834,Codes!$G$2:$H$217,2,0)</f>
        <v>JPN</v>
      </c>
      <c r="C834" s="11">
        <v>77544929</v>
      </c>
      <c r="D834" s="16">
        <v>2015</v>
      </c>
      <c r="E834" s="20">
        <v>22387</v>
      </c>
      <c r="F834" s="8">
        <v>0.28869715000964152</v>
      </c>
    </row>
    <row r="835" spans="1:6" x14ac:dyDescent="0.25">
      <c r="A835" s="4" t="s">
        <v>80</v>
      </c>
      <c r="B835" s="4" t="str">
        <f>VLOOKUP(A835,Codes!$G$2:$H$217,2,0)</f>
        <v>JPN</v>
      </c>
      <c r="C835" s="11">
        <v>76823835</v>
      </c>
      <c r="D835" s="16">
        <v>2016</v>
      </c>
      <c r="E835" s="20">
        <v>23944</v>
      </c>
      <c r="F835" s="8">
        <v>0.31167410478792162</v>
      </c>
    </row>
    <row r="836" spans="1:6" x14ac:dyDescent="0.25">
      <c r="A836" s="4" t="s">
        <v>80</v>
      </c>
      <c r="B836" s="4" t="str">
        <f>VLOOKUP(A836,Codes!$G$2:$H$217,2,0)</f>
        <v>JPN</v>
      </c>
      <c r="C836" s="11">
        <v>76168000</v>
      </c>
      <c r="D836" s="16">
        <v>2017</v>
      </c>
      <c r="E836" s="20">
        <v>27422</v>
      </c>
      <c r="F836" s="8">
        <v>0.36001995588698665</v>
      </c>
    </row>
    <row r="837" spans="1:6" x14ac:dyDescent="0.25">
      <c r="A837" s="4" t="s">
        <v>80</v>
      </c>
      <c r="B837" s="4" t="str">
        <f>VLOOKUP(A837,Codes!$G$2:$H$217,2,0)</f>
        <v>JPN</v>
      </c>
      <c r="C837" s="11">
        <v>75571759</v>
      </c>
      <c r="D837" s="16">
        <v>2018</v>
      </c>
      <c r="E837" s="20">
        <v>29243</v>
      </c>
      <c r="F837" s="8">
        <v>0.38695672016844285</v>
      </c>
    </row>
    <row r="838" spans="1:6" x14ac:dyDescent="0.25">
      <c r="A838" s="4" t="s">
        <v>80</v>
      </c>
      <c r="B838" s="4" t="str">
        <f>VLOOKUP(A838,Codes!$G$2:$H$217,2,0)</f>
        <v>JPN</v>
      </c>
      <c r="C838" s="11">
        <v>75032834</v>
      </c>
      <c r="D838" s="16">
        <v>2019</v>
      </c>
      <c r="E838" s="20">
        <v>30733</v>
      </c>
      <c r="F838" s="8">
        <v>0.40959401853327304</v>
      </c>
    </row>
    <row r="839" spans="1:6" x14ac:dyDescent="0.25">
      <c r="A839" s="4" t="s">
        <v>80</v>
      </c>
      <c r="B839" s="4" t="str">
        <f>VLOOKUP(A839,Codes!$G$2:$H$217,2,0)</f>
        <v>JPN</v>
      </c>
      <c r="C839" s="11">
        <v>74437254</v>
      </c>
      <c r="D839" s="16">
        <v>2020</v>
      </c>
      <c r="E839" s="20">
        <v>33411</v>
      </c>
      <c r="F839" s="8">
        <v>0.44884783095303327</v>
      </c>
    </row>
    <row r="840" spans="1:6" x14ac:dyDescent="0.25">
      <c r="A840" s="3" t="s">
        <v>81</v>
      </c>
      <c r="B840" s="4" t="str">
        <f>VLOOKUP(A840,Codes!$G$2:$H$217,2,0)</f>
        <v>JOR</v>
      </c>
      <c r="C840" s="11">
        <v>3504951</v>
      </c>
      <c r="D840" s="12">
        <v>2006</v>
      </c>
      <c r="E840" s="13">
        <v>2387</v>
      </c>
      <c r="F840" s="8">
        <v>0.68103662504839579</v>
      </c>
    </row>
    <row r="841" spans="1:6" x14ac:dyDescent="0.25">
      <c r="A841" s="4" t="s">
        <v>81</v>
      </c>
      <c r="B841" s="4" t="str">
        <f>VLOOKUP(A841,Codes!$G$2:$H$217,2,0)</f>
        <v>JOR</v>
      </c>
      <c r="C841" s="11">
        <v>3665972</v>
      </c>
      <c r="D841" s="12">
        <v>2007</v>
      </c>
      <c r="E841" s="13">
        <v>2191</v>
      </c>
      <c r="F841" s="8">
        <v>0.59765868369971176</v>
      </c>
    </row>
    <row r="842" spans="1:6" x14ac:dyDescent="0.25">
      <c r="A842" s="4" t="s">
        <v>81</v>
      </c>
      <c r="B842" s="4" t="str">
        <f>VLOOKUP(A842,Codes!$G$2:$H$217,2,0)</f>
        <v>JOR</v>
      </c>
      <c r="C842" s="11">
        <v>3849206</v>
      </c>
      <c r="D842" s="12">
        <v>2008</v>
      </c>
      <c r="E842" s="13">
        <v>2513</v>
      </c>
      <c r="F842" s="8">
        <v>0.65286191489881285</v>
      </c>
    </row>
    <row r="843" spans="1:6" x14ac:dyDescent="0.25">
      <c r="A843" s="4" t="s">
        <v>81</v>
      </c>
      <c r="B843" s="4" t="str">
        <f>VLOOKUP(A843,Codes!$G$2:$H$217,2,0)</f>
        <v>JOR</v>
      </c>
      <c r="C843" s="11">
        <v>4053346</v>
      </c>
      <c r="D843" s="12">
        <v>2009</v>
      </c>
      <c r="E843" s="13">
        <v>2895</v>
      </c>
      <c r="F843" s="8">
        <v>0.71422474173189265</v>
      </c>
    </row>
    <row r="844" spans="1:6" x14ac:dyDescent="0.25">
      <c r="A844" s="4" t="s">
        <v>81</v>
      </c>
      <c r="B844" s="4" t="str">
        <f>VLOOKUP(A844,Codes!$G$2:$H$217,2,0)</f>
        <v>JOR</v>
      </c>
      <c r="C844" s="11">
        <v>4276455</v>
      </c>
      <c r="D844" s="12">
        <v>2010</v>
      </c>
      <c r="E844" s="13">
        <v>3286</v>
      </c>
      <c r="F844" s="8">
        <v>0.76839344737638993</v>
      </c>
    </row>
    <row r="845" spans="1:6" x14ac:dyDescent="0.25">
      <c r="A845" s="4" t="s">
        <v>81</v>
      </c>
      <c r="B845" s="4" t="str">
        <f>VLOOKUP(A845,Codes!$G$2:$H$217,2,0)</f>
        <v>JOR</v>
      </c>
      <c r="C845" s="11">
        <v>4524066</v>
      </c>
      <c r="D845" s="12">
        <v>2011</v>
      </c>
      <c r="E845" s="13">
        <v>3759</v>
      </c>
      <c r="F845" s="8">
        <v>0.83088973503039087</v>
      </c>
    </row>
    <row r="846" spans="1:6" x14ac:dyDescent="0.25">
      <c r="A846" s="4" t="s">
        <v>81</v>
      </c>
      <c r="B846" s="4" t="str">
        <f>VLOOKUP(A846,Codes!$G$2:$H$217,2,0)</f>
        <v>JOR</v>
      </c>
      <c r="C846" s="11">
        <v>4792490</v>
      </c>
      <c r="D846" s="12">
        <v>2012</v>
      </c>
      <c r="E846" s="13">
        <v>4141</v>
      </c>
      <c r="F846" s="8">
        <v>0.86406022756437684</v>
      </c>
    </row>
    <row r="847" spans="1:6" x14ac:dyDescent="0.25">
      <c r="A847" s="4" t="s">
        <v>81</v>
      </c>
      <c r="B847" s="4" t="str">
        <f>VLOOKUP(A847,Codes!$G$2:$H$217,2,0)</f>
        <v>JOR</v>
      </c>
      <c r="C847" s="11">
        <v>5068173</v>
      </c>
      <c r="D847" s="12">
        <v>2013</v>
      </c>
      <c r="E847" s="13">
        <v>4442</v>
      </c>
      <c r="F847" s="8">
        <v>0.87644995543759063</v>
      </c>
    </row>
    <row r="848" spans="1:6" x14ac:dyDescent="0.25">
      <c r="A848" s="4" t="s">
        <v>81</v>
      </c>
      <c r="B848" s="4" t="str">
        <f>VLOOKUP(A848,Codes!$G$2:$H$217,2,0)</f>
        <v>JOR</v>
      </c>
      <c r="C848" s="11">
        <v>5335525</v>
      </c>
      <c r="D848" s="16">
        <v>2014</v>
      </c>
      <c r="E848" s="13">
        <v>4356</v>
      </c>
      <c r="F848" s="8">
        <v>0.8164145046644895</v>
      </c>
    </row>
    <row r="849" spans="1:6" x14ac:dyDescent="0.25">
      <c r="A849" s="4" t="s">
        <v>81</v>
      </c>
      <c r="B849" s="4" t="str">
        <f>VLOOKUP(A849,Codes!$G$2:$H$217,2,0)</f>
        <v>JOR</v>
      </c>
      <c r="C849" s="11">
        <v>5584745</v>
      </c>
      <c r="D849" s="16">
        <v>2015</v>
      </c>
      <c r="E849" s="13">
        <v>3654</v>
      </c>
      <c r="F849" s="8">
        <v>0.6542823351827165</v>
      </c>
    </row>
    <row r="850" spans="1:6" x14ac:dyDescent="0.25">
      <c r="A850" s="4" t="s">
        <v>81</v>
      </c>
      <c r="B850" s="4" t="str">
        <f>VLOOKUP(A850,Codes!$G$2:$H$217,2,0)</f>
        <v>JOR</v>
      </c>
      <c r="C850" s="11">
        <v>5804859</v>
      </c>
      <c r="D850" s="16">
        <v>2016</v>
      </c>
      <c r="E850" s="13">
        <v>3659</v>
      </c>
      <c r="F850" s="8">
        <v>0.63033400122207961</v>
      </c>
    </row>
    <row r="851" spans="1:6" x14ac:dyDescent="0.25">
      <c r="A851" s="4" t="s">
        <v>81</v>
      </c>
      <c r="B851" s="4" t="str">
        <f>VLOOKUP(A851,Codes!$G$2:$H$217,2,0)</f>
        <v>JOR</v>
      </c>
      <c r="C851" s="11">
        <v>5999064</v>
      </c>
      <c r="D851" s="16">
        <v>2017</v>
      </c>
      <c r="E851" s="13">
        <v>4175</v>
      </c>
      <c r="F851" s="8">
        <v>0.69594190026977543</v>
      </c>
    </row>
    <row r="852" spans="1:6" x14ac:dyDescent="0.25">
      <c r="A852" s="4" t="s">
        <v>81</v>
      </c>
      <c r="B852" s="4" t="str">
        <f>VLOOKUP(A852,Codes!$G$2:$H$217,2,0)</f>
        <v>JOR</v>
      </c>
      <c r="C852" s="11">
        <v>6169333</v>
      </c>
      <c r="D852" s="16">
        <v>2018</v>
      </c>
      <c r="E852" s="13">
        <v>3499</v>
      </c>
      <c r="F852" s="8">
        <v>0.56716017760753068</v>
      </c>
    </row>
    <row r="853" spans="1:6" x14ac:dyDescent="0.25">
      <c r="A853" s="4" t="s">
        <v>81</v>
      </c>
      <c r="B853" s="4" t="str">
        <f>VLOOKUP(A853,Codes!$G$2:$H$217,2,0)</f>
        <v>JOR</v>
      </c>
      <c r="C853" s="11">
        <v>6318040</v>
      </c>
      <c r="D853" s="16">
        <v>2019</v>
      </c>
      <c r="E853" s="13">
        <v>3078</v>
      </c>
      <c r="F853" s="8">
        <v>0.48717640280846591</v>
      </c>
    </row>
    <row r="854" spans="1:6" x14ac:dyDescent="0.25">
      <c r="A854" s="4" t="s">
        <v>81</v>
      </c>
      <c r="B854" s="4" t="str">
        <f>VLOOKUP(A854,Codes!$G$2:$H$217,2,0)</f>
        <v>JOR</v>
      </c>
      <c r="C854" s="11">
        <v>6447615</v>
      </c>
      <c r="D854" s="16">
        <v>2020</v>
      </c>
      <c r="E854" s="13">
        <v>2778</v>
      </c>
      <c r="F854" s="8">
        <v>0.43085699130608757</v>
      </c>
    </row>
    <row r="855" spans="1:6" x14ac:dyDescent="0.25">
      <c r="A855" s="3" t="s">
        <v>82</v>
      </c>
      <c r="B855" s="4" t="str">
        <f>VLOOKUP(A855,Codes!$G$2:$H$217,2,0)</f>
        <v>KAZ</v>
      </c>
      <c r="C855" s="11">
        <v>10430083</v>
      </c>
      <c r="D855" s="12">
        <v>2006</v>
      </c>
      <c r="E855" s="20">
        <v>12361</v>
      </c>
      <c r="F855" s="8">
        <v>1.185129591010925</v>
      </c>
    </row>
    <row r="856" spans="1:6" x14ac:dyDescent="0.25">
      <c r="A856" s="4" t="s">
        <v>82</v>
      </c>
      <c r="B856" s="4" t="str">
        <f>VLOOKUP(A856,Codes!$G$2:$H$217,2,0)</f>
        <v>KAZ</v>
      </c>
      <c r="C856" s="11">
        <v>10605282</v>
      </c>
      <c r="D856" s="12">
        <v>2007</v>
      </c>
      <c r="E856" s="20">
        <v>19739</v>
      </c>
      <c r="F856" s="8">
        <v>1.8612423507456002</v>
      </c>
    </row>
    <row r="857" spans="1:6" x14ac:dyDescent="0.25">
      <c r="A857" s="4" t="s">
        <v>82</v>
      </c>
      <c r="B857" s="4" t="str">
        <f>VLOOKUP(A857,Codes!$G$2:$H$217,2,0)</f>
        <v>KAZ</v>
      </c>
      <c r="C857" s="11">
        <v>10860235</v>
      </c>
      <c r="D857" s="12">
        <v>2008</v>
      </c>
      <c r="E857" s="20">
        <v>13935</v>
      </c>
      <c r="F857" s="8">
        <v>1.2831214057522695</v>
      </c>
    </row>
    <row r="858" spans="1:6" x14ac:dyDescent="0.25">
      <c r="A858" s="4" t="s">
        <v>82</v>
      </c>
      <c r="B858" s="4" t="str">
        <f>VLOOKUP(A858,Codes!$G$2:$H$217,2,0)</f>
        <v>KAZ</v>
      </c>
      <c r="C858" s="11">
        <v>11115952</v>
      </c>
      <c r="D858" s="12">
        <v>2009</v>
      </c>
      <c r="E858" s="20">
        <v>3240</v>
      </c>
      <c r="F858" s="8">
        <v>0.29147301103855072</v>
      </c>
    </row>
    <row r="859" spans="1:6" x14ac:dyDescent="0.25">
      <c r="A859" s="4" t="s">
        <v>82</v>
      </c>
      <c r="B859" s="4" t="str">
        <f>VLOOKUP(A859,Codes!$G$2:$H$217,2,0)</f>
        <v>KAZ</v>
      </c>
      <c r="C859" s="11">
        <v>11283976</v>
      </c>
      <c r="D859" s="12">
        <v>2010</v>
      </c>
      <c r="E859" s="20">
        <v>707</v>
      </c>
      <c r="F859" s="8">
        <v>6.2655220110358262E-2</v>
      </c>
    </row>
    <row r="860" spans="1:6" x14ac:dyDescent="0.25">
      <c r="A860" s="4" t="s">
        <v>82</v>
      </c>
      <c r="B860" s="4" t="str">
        <f>VLOOKUP(A860,Codes!$G$2:$H$217,2,0)</f>
        <v>KAZ</v>
      </c>
      <c r="C860" s="11">
        <v>11387642</v>
      </c>
      <c r="D860" s="12">
        <v>2011</v>
      </c>
      <c r="E860" s="20">
        <v>14223</v>
      </c>
      <c r="F860" s="8">
        <v>1.2489855230784388</v>
      </c>
    </row>
    <row r="861" spans="1:6" x14ac:dyDescent="0.25">
      <c r="A861" s="4" t="s">
        <v>82</v>
      </c>
      <c r="B861" s="4" t="str">
        <f>VLOOKUP(A861,Codes!$G$2:$H$217,2,0)</f>
        <v>KAZ</v>
      </c>
      <c r="C861" s="11">
        <v>11475051</v>
      </c>
      <c r="D861" s="12">
        <v>2012</v>
      </c>
      <c r="E861" s="20">
        <v>15404</v>
      </c>
      <c r="F861" s="8">
        <v>1.3423905479810068</v>
      </c>
    </row>
    <row r="862" spans="1:6" x14ac:dyDescent="0.25">
      <c r="A862" s="4" t="s">
        <v>82</v>
      </c>
      <c r="B862" s="4" t="str">
        <f>VLOOKUP(A862,Codes!$G$2:$H$217,2,0)</f>
        <v>KAZ</v>
      </c>
      <c r="C862" s="11">
        <v>11551018</v>
      </c>
      <c r="D862" s="12">
        <v>2013</v>
      </c>
      <c r="E862" s="20">
        <v>19601</v>
      </c>
      <c r="F862" s="8">
        <v>1.6969067141960994</v>
      </c>
    </row>
    <row r="863" spans="1:6" x14ac:dyDescent="0.25">
      <c r="A863" s="4" t="s">
        <v>82</v>
      </c>
      <c r="B863" s="4" t="str">
        <f>VLOOKUP(A863,Codes!$G$2:$H$217,2,0)</f>
        <v>KAZ</v>
      </c>
      <c r="C863" s="11">
        <v>11617712</v>
      </c>
      <c r="D863" s="16">
        <v>2014</v>
      </c>
      <c r="E863" s="20">
        <v>15072</v>
      </c>
      <c r="F863" s="8">
        <v>1.297329456953314</v>
      </c>
    </row>
    <row r="864" spans="1:6" x14ac:dyDescent="0.25">
      <c r="A864" s="4" t="s">
        <v>82</v>
      </c>
      <c r="B864" s="4" t="str">
        <f>VLOOKUP(A864,Codes!$G$2:$H$217,2,0)</f>
        <v>KAZ</v>
      </c>
      <c r="C864" s="11">
        <v>11673506</v>
      </c>
      <c r="D864" s="16">
        <v>2015</v>
      </c>
      <c r="E864" s="20">
        <v>10682</v>
      </c>
      <c r="F864" s="8">
        <v>0.91506356359434782</v>
      </c>
    </row>
    <row r="865" spans="1:6" x14ac:dyDescent="0.25">
      <c r="A865" s="4" t="s">
        <v>82</v>
      </c>
      <c r="B865" s="4" t="str">
        <f>VLOOKUP(A865,Codes!$G$2:$H$217,2,0)</f>
        <v>KAZ</v>
      </c>
      <c r="C865" s="11">
        <v>11703874</v>
      </c>
      <c r="D865" s="16">
        <v>2016</v>
      </c>
      <c r="E865" s="20">
        <v>21583</v>
      </c>
      <c r="F865" s="8">
        <v>1.8440902559272254</v>
      </c>
    </row>
    <row r="866" spans="1:6" x14ac:dyDescent="0.25">
      <c r="A866" s="4" t="s">
        <v>82</v>
      </c>
      <c r="B866" s="4" t="str">
        <f>VLOOKUP(A866,Codes!$G$2:$H$217,2,0)</f>
        <v>KAZ</v>
      </c>
      <c r="C866" s="11">
        <v>11715232</v>
      </c>
      <c r="D866" s="16">
        <v>2017</v>
      </c>
      <c r="E866" s="20">
        <v>28004</v>
      </c>
      <c r="F866" s="8">
        <v>2.3903922688001398</v>
      </c>
    </row>
    <row r="867" spans="1:6" x14ac:dyDescent="0.25">
      <c r="A867" s="4" t="s">
        <v>82</v>
      </c>
      <c r="B867" s="4" t="str">
        <f>VLOOKUP(A867,Codes!$G$2:$H$217,2,0)</f>
        <v>KAZ</v>
      </c>
      <c r="C867" s="11">
        <v>11723906</v>
      </c>
      <c r="D867" s="16">
        <v>2018</v>
      </c>
      <c r="E867" s="20">
        <v>23464</v>
      </c>
      <c r="F867" s="8">
        <v>2.0013807684913201</v>
      </c>
    </row>
    <row r="868" spans="1:6" x14ac:dyDescent="0.25">
      <c r="A868" s="4" t="s">
        <v>82</v>
      </c>
      <c r="B868" s="4" t="str">
        <f>VLOOKUP(A868,Codes!$G$2:$H$217,2,0)</f>
        <v>KAZ</v>
      </c>
      <c r="C868" s="11">
        <v>11749963</v>
      </c>
      <c r="D868" s="16">
        <v>2019</v>
      </c>
      <c r="E868" s="20">
        <v>32906</v>
      </c>
      <c r="F868" s="8">
        <v>2.8005194569548859</v>
      </c>
    </row>
    <row r="869" spans="1:6" x14ac:dyDescent="0.25">
      <c r="A869" s="4" t="s">
        <v>82</v>
      </c>
      <c r="B869" s="4" t="str">
        <f>VLOOKUP(A869,Codes!$G$2:$H$217,2,0)</f>
        <v>KAZ</v>
      </c>
      <c r="C869" s="11">
        <v>11806487</v>
      </c>
      <c r="D869" s="16">
        <v>2020</v>
      </c>
      <c r="E869" s="20">
        <v>41211</v>
      </c>
      <c r="F869" s="8">
        <v>3.4905387182487049</v>
      </c>
    </row>
    <row r="870" spans="1:6" x14ac:dyDescent="0.25">
      <c r="A870" s="3" t="s">
        <v>83</v>
      </c>
      <c r="B870" s="4" t="str">
        <f>VLOOKUP(A870,Codes!$G$2:$H$217,2,0)</f>
        <v>KEN</v>
      </c>
      <c r="C870" s="11">
        <v>28823865</v>
      </c>
      <c r="D870" s="16">
        <v>2017</v>
      </c>
      <c r="E870" s="13">
        <v>37733</v>
      </c>
      <c r="F870" s="8">
        <v>1.3090888400983005</v>
      </c>
    </row>
    <row r="871" spans="1:6" x14ac:dyDescent="0.25">
      <c r="A871" s="4" t="s">
        <v>83</v>
      </c>
      <c r="B871" s="4" t="str">
        <f>VLOOKUP(A871,Codes!$G$2:$H$217,2,0)</f>
        <v>KEN</v>
      </c>
      <c r="C871" s="11">
        <v>29745324</v>
      </c>
      <c r="D871" s="16">
        <v>2018</v>
      </c>
      <c r="E871" s="13">
        <v>44381</v>
      </c>
      <c r="F871" s="8">
        <v>1.4920328317822324</v>
      </c>
    </row>
    <row r="872" spans="1:6" x14ac:dyDescent="0.25">
      <c r="A872" s="4" t="s">
        <v>83</v>
      </c>
      <c r="B872" s="4" t="str">
        <f>VLOOKUP(A872,Codes!$G$2:$H$217,2,0)</f>
        <v>KEN</v>
      </c>
      <c r="C872" s="11">
        <v>30694153</v>
      </c>
      <c r="D872" s="16">
        <v>2019</v>
      </c>
      <c r="E872" s="13">
        <v>42085</v>
      </c>
      <c r="F872" s="8">
        <v>1.3711080413263075</v>
      </c>
    </row>
    <row r="873" spans="1:6" x14ac:dyDescent="0.25">
      <c r="A873" s="4" t="s">
        <v>83</v>
      </c>
      <c r="B873" s="4" t="str">
        <f>VLOOKUP(A873,Codes!$G$2:$H$217,2,0)</f>
        <v>KEN</v>
      </c>
      <c r="C873" s="11">
        <v>31671946</v>
      </c>
      <c r="D873" s="16">
        <v>2020</v>
      </c>
      <c r="E873" s="13">
        <v>49037</v>
      </c>
      <c r="F873" s="8">
        <v>1.5482787195962002</v>
      </c>
    </row>
    <row r="874" spans="1:6" x14ac:dyDescent="0.25">
      <c r="A874" s="3" t="s">
        <v>84</v>
      </c>
      <c r="B874" s="4" t="str">
        <f>VLOOKUP(A874,Codes!$G$2:$H$217,2,0)</f>
        <v>KIR</v>
      </c>
      <c r="C874" s="11">
        <v>56825</v>
      </c>
      <c r="D874" s="12">
        <v>2006</v>
      </c>
      <c r="E874" s="13">
        <v>4</v>
      </c>
      <c r="F874" s="8">
        <v>7.0391553013638364E-2</v>
      </c>
    </row>
    <row r="875" spans="1:6" x14ac:dyDescent="0.25">
      <c r="A875" s="4" t="s">
        <v>84</v>
      </c>
      <c r="B875" s="4" t="str">
        <f>VLOOKUP(A875,Codes!$G$2:$H$217,2,0)</f>
        <v>KIR</v>
      </c>
      <c r="C875" s="11">
        <v>58224</v>
      </c>
      <c r="D875" s="12">
        <v>2007</v>
      </c>
      <c r="E875" s="13">
        <v>3</v>
      </c>
      <c r="F875" s="8">
        <v>5.1525144270403958E-2</v>
      </c>
    </row>
    <row r="876" spans="1:6" x14ac:dyDescent="0.25">
      <c r="A876" s="4" t="s">
        <v>84</v>
      </c>
      <c r="B876" s="4" t="str">
        <f>VLOOKUP(A876,Codes!$G$2:$H$217,2,0)</f>
        <v>KIR</v>
      </c>
      <c r="C876" s="11">
        <v>59379</v>
      </c>
      <c r="D876" s="12">
        <v>2008</v>
      </c>
      <c r="E876" s="13">
        <v>2</v>
      </c>
      <c r="F876" s="8">
        <v>3.3681941427103859E-2</v>
      </c>
    </row>
    <row r="877" spans="1:6" x14ac:dyDescent="0.25">
      <c r="A877" s="4" t="s">
        <v>84</v>
      </c>
      <c r="B877" s="4" t="str">
        <f>VLOOKUP(A877,Codes!$G$2:$H$217,2,0)</f>
        <v>KIR</v>
      </c>
      <c r="C877" s="11">
        <v>60634</v>
      </c>
      <c r="D877" s="12">
        <v>2009</v>
      </c>
      <c r="E877" s="13">
        <v>3</v>
      </c>
      <c r="F877" s="8">
        <v>4.9477191014942114E-2</v>
      </c>
    </row>
    <row r="878" spans="1:6" x14ac:dyDescent="0.25">
      <c r="A878" s="4" t="s">
        <v>84</v>
      </c>
      <c r="B878" s="4" t="str">
        <f>VLOOKUP(A878,Codes!$G$2:$H$217,2,0)</f>
        <v>KIR</v>
      </c>
      <c r="C878" s="11">
        <v>62100</v>
      </c>
      <c r="D878" s="12">
        <v>2010</v>
      </c>
      <c r="E878" s="13">
        <v>4</v>
      </c>
      <c r="F878" s="8">
        <v>6.4412238325281798E-2</v>
      </c>
    </row>
    <row r="879" spans="1:6" x14ac:dyDescent="0.25">
      <c r="A879" s="4" t="s">
        <v>84</v>
      </c>
      <c r="B879" s="4" t="str">
        <f>VLOOKUP(A879,Codes!$G$2:$H$217,2,0)</f>
        <v>KIR</v>
      </c>
      <c r="C879" s="11">
        <v>63118</v>
      </c>
      <c r="D879" s="12">
        <v>2011</v>
      </c>
      <c r="E879" s="13">
        <v>3</v>
      </c>
      <c r="F879" s="8">
        <v>4.7530023131277924E-2</v>
      </c>
    </row>
    <row r="880" spans="1:6" x14ac:dyDescent="0.25">
      <c r="A880" s="4" t="s">
        <v>84</v>
      </c>
      <c r="B880" s="4" t="str">
        <f>VLOOKUP(A880,Codes!$G$2:$H$217,2,0)</f>
        <v>KIR</v>
      </c>
      <c r="C880" s="11">
        <v>64436</v>
      </c>
      <c r="D880" s="12">
        <v>2012</v>
      </c>
      <c r="E880" s="13">
        <v>5</v>
      </c>
      <c r="F880" s="8">
        <v>7.759637469737414E-2</v>
      </c>
    </row>
    <row r="881" spans="1:6" x14ac:dyDescent="0.25">
      <c r="A881" s="4" t="s">
        <v>84</v>
      </c>
      <c r="B881" s="4" t="str">
        <f>VLOOKUP(A881,Codes!$G$2:$H$217,2,0)</f>
        <v>KIR</v>
      </c>
      <c r="C881" s="11">
        <v>65894</v>
      </c>
      <c r="D881" s="12">
        <v>2013</v>
      </c>
      <c r="E881" s="13">
        <v>2</v>
      </c>
      <c r="F881" s="8">
        <v>3.0351777096549005E-2</v>
      </c>
    </row>
    <row r="882" spans="1:6" x14ac:dyDescent="0.25">
      <c r="A882" s="4" t="s">
        <v>84</v>
      </c>
      <c r="B882" s="4" t="str">
        <f>VLOOKUP(A882,Codes!$G$2:$H$217,2,0)</f>
        <v>KIR</v>
      </c>
      <c r="C882" s="11">
        <v>67173</v>
      </c>
      <c r="D882" s="16">
        <v>2014</v>
      </c>
      <c r="E882" s="13">
        <v>2</v>
      </c>
      <c r="F882" s="8">
        <v>2.9773867476515864E-2</v>
      </c>
    </row>
    <row r="883" spans="1:6" x14ac:dyDescent="0.25">
      <c r="A883" s="4" t="s">
        <v>84</v>
      </c>
      <c r="B883" s="4" t="str">
        <f>VLOOKUP(A883,Codes!$G$2:$H$217,2,0)</f>
        <v>KIR</v>
      </c>
      <c r="C883" s="11">
        <v>68157</v>
      </c>
      <c r="D883" s="16">
        <v>2015</v>
      </c>
      <c r="E883" s="13">
        <v>3</v>
      </c>
      <c r="F883" s="8">
        <v>4.4016021831946826E-2</v>
      </c>
    </row>
    <row r="884" spans="1:6" x14ac:dyDescent="0.25">
      <c r="A884" s="4" t="s">
        <v>84</v>
      </c>
      <c r="B884" s="4" t="str">
        <f>VLOOKUP(A884,Codes!$G$2:$H$217,2,0)</f>
        <v>KIR</v>
      </c>
      <c r="C884" s="11">
        <v>69086</v>
      </c>
      <c r="D884" s="16">
        <v>2016</v>
      </c>
      <c r="E884" s="13">
        <v>4</v>
      </c>
      <c r="F884" s="8">
        <v>5.7898850707813455E-2</v>
      </c>
    </row>
    <row r="885" spans="1:6" x14ac:dyDescent="0.25">
      <c r="A885" s="4" t="s">
        <v>84</v>
      </c>
      <c r="B885" s="4" t="str">
        <f>VLOOKUP(A885,Codes!$G$2:$H$217,2,0)</f>
        <v>KIR</v>
      </c>
      <c r="C885" s="11">
        <v>69667</v>
      </c>
      <c r="D885" s="16">
        <v>2017</v>
      </c>
      <c r="E885" s="13">
        <v>4</v>
      </c>
      <c r="F885" s="8">
        <v>5.7415993224912802E-2</v>
      </c>
    </row>
    <row r="886" spans="1:6" x14ac:dyDescent="0.25">
      <c r="A886" s="4" t="s">
        <v>84</v>
      </c>
      <c r="B886" s="4" t="str">
        <f>VLOOKUP(A886,Codes!$G$2:$H$217,2,0)</f>
        <v>KIR</v>
      </c>
      <c r="C886" s="11">
        <v>70093</v>
      </c>
      <c r="D886" s="16">
        <v>2018</v>
      </c>
      <c r="E886" s="13">
        <v>2</v>
      </c>
      <c r="F886" s="8">
        <v>2.853351975232905E-2</v>
      </c>
    </row>
    <row r="887" spans="1:6" x14ac:dyDescent="0.25">
      <c r="A887" s="3" t="s">
        <v>85</v>
      </c>
      <c r="B887" s="4" t="str">
        <f>VLOOKUP(A887,Codes!$G$2:$H$217,2,0)</f>
        <v>XKX</v>
      </c>
      <c r="C887" s="21">
        <v>1214796</v>
      </c>
      <c r="D887" s="12">
        <v>2006</v>
      </c>
      <c r="E887" s="13">
        <v>767</v>
      </c>
      <c r="F887" s="8">
        <v>0.63138172993654895</v>
      </c>
    </row>
    <row r="888" spans="1:6" x14ac:dyDescent="0.25">
      <c r="A888" s="4" t="s">
        <v>85</v>
      </c>
      <c r="B888" s="4" t="str">
        <f>VLOOKUP(A888,Codes!$G$2:$H$217,2,0)</f>
        <v>XKX</v>
      </c>
      <c r="C888" s="21">
        <v>1214796</v>
      </c>
      <c r="D888" s="12">
        <v>2007</v>
      </c>
      <c r="E888" s="13">
        <v>858</v>
      </c>
      <c r="F888" s="8">
        <v>0.70629142670868195</v>
      </c>
    </row>
    <row r="889" spans="1:6" x14ac:dyDescent="0.25">
      <c r="A889" s="4" t="s">
        <v>85</v>
      </c>
      <c r="B889" s="4" t="str">
        <f>VLOOKUP(A889,Codes!$G$2:$H$217,2,0)</f>
        <v>XKX</v>
      </c>
      <c r="C889" s="21">
        <v>1214796</v>
      </c>
      <c r="D889" s="12">
        <v>2008</v>
      </c>
      <c r="E889" s="13">
        <v>876</v>
      </c>
      <c r="F889" s="8">
        <v>0.72110872936690606</v>
      </c>
    </row>
    <row r="890" spans="1:6" x14ac:dyDescent="0.25">
      <c r="A890" s="4" t="s">
        <v>85</v>
      </c>
      <c r="B890" s="4" t="str">
        <f>VLOOKUP(A890,Codes!$G$2:$H$217,2,0)</f>
        <v>XKX</v>
      </c>
      <c r="C890" s="21">
        <v>1214796</v>
      </c>
      <c r="D890" s="12">
        <v>2009</v>
      </c>
      <c r="E890" s="13">
        <v>858</v>
      </c>
      <c r="F890" s="8">
        <v>0.70629142670868195</v>
      </c>
    </row>
    <row r="891" spans="1:6" x14ac:dyDescent="0.25">
      <c r="A891" s="4" t="s">
        <v>85</v>
      </c>
      <c r="B891" s="4" t="str">
        <f>VLOOKUP(A891,Codes!$G$2:$H$217,2,0)</f>
        <v>XKX</v>
      </c>
      <c r="C891" s="21">
        <v>1214796</v>
      </c>
      <c r="D891" s="12">
        <v>2010</v>
      </c>
      <c r="E891" s="13">
        <v>971</v>
      </c>
      <c r="F891" s="8">
        <v>0.79931116006308878</v>
      </c>
    </row>
    <row r="892" spans="1:6" x14ac:dyDescent="0.25">
      <c r="A892" s="4" t="s">
        <v>85</v>
      </c>
      <c r="B892" s="4" t="str">
        <f>VLOOKUP(A892,Codes!$G$2:$H$217,2,0)</f>
        <v>XKX</v>
      </c>
      <c r="C892" s="21">
        <v>1214796</v>
      </c>
      <c r="D892" s="12">
        <v>2011</v>
      </c>
      <c r="E892" s="13">
        <v>1106</v>
      </c>
      <c r="F892" s="8">
        <v>0.91044092999976944</v>
      </c>
    </row>
    <row r="893" spans="1:6" x14ac:dyDescent="0.25">
      <c r="A893" s="4" t="s">
        <v>85</v>
      </c>
      <c r="B893" s="4" t="str">
        <f>VLOOKUP(A893,Codes!$G$2:$H$217,2,0)</f>
        <v>XKX</v>
      </c>
      <c r="C893" s="21">
        <v>1214796</v>
      </c>
      <c r="D893" s="12">
        <v>2012</v>
      </c>
      <c r="E893" s="13">
        <v>1466</v>
      </c>
      <c r="F893" s="8">
        <v>1.2067869831642515</v>
      </c>
    </row>
    <row r="894" spans="1:6" x14ac:dyDescent="0.25">
      <c r="A894" s="4" t="s">
        <v>85</v>
      </c>
      <c r="B894" s="4" t="str">
        <f>VLOOKUP(A894,Codes!$G$2:$H$217,2,0)</f>
        <v>XKX</v>
      </c>
      <c r="C894" s="21">
        <v>1214796</v>
      </c>
      <c r="D894" s="12">
        <v>2013</v>
      </c>
      <c r="E894" s="13">
        <v>1970</v>
      </c>
      <c r="F894" s="8">
        <v>1.6216714575945261</v>
      </c>
    </row>
    <row r="895" spans="1:6" x14ac:dyDescent="0.25">
      <c r="A895" s="4" t="s">
        <v>85</v>
      </c>
      <c r="B895" s="4" t="str">
        <f>VLOOKUP(A895,Codes!$G$2:$H$217,2,0)</f>
        <v>XKX</v>
      </c>
      <c r="C895" s="21">
        <v>1214796</v>
      </c>
      <c r="D895" s="16">
        <v>2014</v>
      </c>
      <c r="E895" s="13">
        <v>2117</v>
      </c>
      <c r="F895" s="8">
        <v>1.7426794293033563</v>
      </c>
    </row>
    <row r="896" spans="1:6" x14ac:dyDescent="0.25">
      <c r="A896" s="4" t="s">
        <v>85</v>
      </c>
      <c r="B896" s="4" t="str">
        <f>VLOOKUP(A896,Codes!$G$2:$H$217,2,0)</f>
        <v>XKX</v>
      </c>
      <c r="C896" s="21">
        <v>1214796</v>
      </c>
      <c r="D896" s="16">
        <v>2015</v>
      </c>
      <c r="E896" s="13">
        <v>2539</v>
      </c>
      <c r="F896" s="8">
        <v>2.0900628582906102</v>
      </c>
    </row>
    <row r="897" spans="1:6" x14ac:dyDescent="0.25">
      <c r="A897" s="4" t="s">
        <v>85</v>
      </c>
      <c r="B897" s="4" t="str">
        <f>VLOOKUP(A897,Codes!$G$2:$H$217,2,0)</f>
        <v>XKX</v>
      </c>
      <c r="C897" s="21">
        <v>1225209</v>
      </c>
      <c r="D897" s="16">
        <v>2016</v>
      </c>
      <c r="E897" s="13">
        <v>3978</v>
      </c>
      <c r="F897" s="8">
        <v>3.2467929961337205</v>
      </c>
    </row>
    <row r="898" spans="1:6" x14ac:dyDescent="0.25">
      <c r="A898" s="4" t="s">
        <v>85</v>
      </c>
      <c r="B898" s="4" t="str">
        <f>VLOOKUP(A898,Codes!$G$2:$H$217,2,0)</f>
        <v>XKX</v>
      </c>
      <c r="C898" s="21">
        <v>1184646</v>
      </c>
      <c r="D898" s="16">
        <v>2017</v>
      </c>
      <c r="E898" s="13">
        <v>4656</v>
      </c>
      <c r="F898" s="8">
        <v>3.9302880354131107</v>
      </c>
    </row>
    <row r="899" spans="1:6" x14ac:dyDescent="0.25">
      <c r="A899" s="4" t="s">
        <v>85</v>
      </c>
      <c r="B899" s="4" t="str">
        <f>VLOOKUP(A899,Codes!$G$2:$H$217,2,0)</f>
        <v>XKX</v>
      </c>
      <c r="C899" s="21">
        <v>1338581</v>
      </c>
      <c r="D899" s="16">
        <v>2018</v>
      </c>
      <c r="E899" s="13">
        <v>5366</v>
      </c>
      <c r="F899" s="8">
        <v>4.0087226697525216</v>
      </c>
    </row>
    <row r="900" spans="1:6" x14ac:dyDescent="0.25">
      <c r="A900" s="4" t="s">
        <v>85</v>
      </c>
      <c r="B900" s="4" t="str">
        <f>VLOOKUP(A900,Codes!$G$2:$H$217,2,0)</f>
        <v>XKX</v>
      </c>
      <c r="C900" s="21">
        <v>1338581</v>
      </c>
      <c r="D900" s="16">
        <v>2019</v>
      </c>
      <c r="E900" s="13">
        <v>5586</v>
      </c>
      <c r="F900" s="8">
        <v>4.1730758168538173</v>
      </c>
    </row>
    <row r="901" spans="1:6" x14ac:dyDescent="0.25">
      <c r="A901" s="4" t="s">
        <v>85</v>
      </c>
      <c r="B901" s="4" t="str">
        <f>VLOOKUP(A901,Codes!$G$2:$H$217,2,0)</f>
        <v>XKX</v>
      </c>
      <c r="C901" s="21">
        <v>1222104</v>
      </c>
      <c r="D901" s="16">
        <v>2020</v>
      </c>
      <c r="E901" s="13">
        <v>5768</v>
      </c>
      <c r="F901" s="8">
        <v>4.719729253811459</v>
      </c>
    </row>
    <row r="902" spans="1:6" x14ac:dyDescent="0.25">
      <c r="A902" s="3" t="s">
        <v>86</v>
      </c>
      <c r="B902" s="4" t="str">
        <f>VLOOKUP(A902,Codes!$G$2:$H$217,2,0)</f>
        <v>KWT</v>
      </c>
      <c r="C902" s="11">
        <v>1725473</v>
      </c>
      <c r="D902" s="12">
        <v>2006</v>
      </c>
      <c r="E902" s="13">
        <v>3289</v>
      </c>
      <c r="F902" s="8">
        <v>1.9061439964577829</v>
      </c>
    </row>
    <row r="903" spans="1:6" x14ac:dyDescent="0.25">
      <c r="A903" s="4" t="s">
        <v>86</v>
      </c>
      <c r="B903" s="4" t="str">
        <f>VLOOKUP(A903,Codes!$G$2:$H$217,2,0)</f>
        <v>KWT</v>
      </c>
      <c r="C903" s="11">
        <v>1836532</v>
      </c>
      <c r="D903" s="12">
        <v>2007</v>
      </c>
      <c r="E903" s="13">
        <v>3408</v>
      </c>
      <c r="F903" s="8">
        <v>1.8556714503204954</v>
      </c>
    </row>
    <row r="904" spans="1:6" x14ac:dyDescent="0.25">
      <c r="A904" s="4" t="s">
        <v>86</v>
      </c>
      <c r="B904" s="4" t="str">
        <f>VLOOKUP(A904,Codes!$G$2:$H$217,2,0)</f>
        <v>KWT</v>
      </c>
      <c r="C904" s="11">
        <v>1961013</v>
      </c>
      <c r="D904" s="12">
        <v>2008</v>
      </c>
      <c r="E904" s="13">
        <v>2391</v>
      </c>
      <c r="F904" s="8">
        <v>1.2192677967968597</v>
      </c>
    </row>
    <row r="905" spans="1:6" x14ac:dyDescent="0.25">
      <c r="A905" s="4" t="s">
        <v>86</v>
      </c>
      <c r="B905" s="4" t="str">
        <f>VLOOKUP(A905,Codes!$G$2:$H$217,2,0)</f>
        <v>KWT</v>
      </c>
      <c r="C905" s="11">
        <v>2095688</v>
      </c>
      <c r="D905" s="12">
        <v>2009</v>
      </c>
      <c r="E905" s="13">
        <v>850</v>
      </c>
      <c r="F905" s="8">
        <v>0.40559472593248613</v>
      </c>
    </row>
    <row r="906" spans="1:6" x14ac:dyDescent="0.25">
      <c r="A906" s="4" t="s">
        <v>86</v>
      </c>
      <c r="B906" s="4" t="str">
        <f>VLOOKUP(A906,Codes!$G$2:$H$217,2,0)</f>
        <v>KWT</v>
      </c>
      <c r="C906" s="11">
        <v>2237493</v>
      </c>
      <c r="D906" s="12">
        <v>2010</v>
      </c>
      <c r="E906" s="13">
        <v>887</v>
      </c>
      <c r="F906" s="8">
        <v>0.39642582122044628</v>
      </c>
    </row>
    <row r="907" spans="1:6" x14ac:dyDescent="0.25">
      <c r="A907" s="4" t="s">
        <v>86</v>
      </c>
      <c r="B907" s="4" t="str">
        <f>VLOOKUP(A907,Codes!$G$2:$H$217,2,0)</f>
        <v>KWT</v>
      </c>
      <c r="C907" s="11">
        <v>2377822</v>
      </c>
      <c r="D907" s="12">
        <v>2011</v>
      </c>
      <c r="E907" s="13">
        <v>967</v>
      </c>
      <c r="F907" s="8">
        <v>0.40667467960175324</v>
      </c>
    </row>
    <row r="908" spans="1:6" x14ac:dyDescent="0.25">
      <c r="A908" s="4" t="s">
        <v>86</v>
      </c>
      <c r="B908" s="4" t="str">
        <f>VLOOKUP(A908,Codes!$G$2:$H$217,2,0)</f>
        <v>KWT</v>
      </c>
      <c r="C908" s="11">
        <v>2526878</v>
      </c>
      <c r="D908" s="12">
        <v>2012</v>
      </c>
      <c r="E908" s="13">
        <v>1080</v>
      </c>
      <c r="F908" s="8">
        <v>0.4274048846046386</v>
      </c>
    </row>
    <row r="909" spans="1:6" x14ac:dyDescent="0.25">
      <c r="A909" s="4" t="s">
        <v>86</v>
      </c>
      <c r="B909" s="4" t="str">
        <f>VLOOKUP(A909,Codes!$G$2:$H$217,2,0)</f>
        <v>KWT</v>
      </c>
      <c r="C909" s="11">
        <v>2677180</v>
      </c>
      <c r="D909" s="12">
        <v>2013</v>
      </c>
      <c r="E909" s="13">
        <v>1373</v>
      </c>
      <c r="F909" s="8">
        <v>0.51285307674493308</v>
      </c>
    </row>
    <row r="910" spans="1:6" x14ac:dyDescent="0.25">
      <c r="A910" s="4" t="s">
        <v>86</v>
      </c>
      <c r="B910" s="4" t="str">
        <f>VLOOKUP(A910,Codes!$G$2:$H$217,2,0)</f>
        <v>KWT</v>
      </c>
      <c r="C910" s="11">
        <v>2817690</v>
      </c>
      <c r="D910" s="16">
        <v>2014</v>
      </c>
      <c r="E910" s="13">
        <v>1903</v>
      </c>
      <c r="F910" s="8">
        <v>0.67537592850881401</v>
      </c>
    </row>
    <row r="911" spans="1:6" x14ac:dyDescent="0.25">
      <c r="A911" s="4" t="s">
        <v>86</v>
      </c>
      <c r="B911" s="4" t="str">
        <f>VLOOKUP(A911,Codes!$G$2:$H$217,2,0)</f>
        <v>KWT</v>
      </c>
      <c r="C911" s="11">
        <v>2941004</v>
      </c>
      <c r="D911" s="16">
        <v>2015</v>
      </c>
      <c r="E911" s="13">
        <v>3449</v>
      </c>
      <c r="F911" s="8">
        <v>1.1727287688150032</v>
      </c>
    </row>
    <row r="912" spans="1:6" x14ac:dyDescent="0.25">
      <c r="A912" s="4" t="s">
        <v>86</v>
      </c>
      <c r="B912" s="4" t="str">
        <f>VLOOKUP(A912,Codes!$G$2:$H$217,2,0)</f>
        <v>KWT</v>
      </c>
      <c r="C912" s="11">
        <v>3025452</v>
      </c>
      <c r="D912" s="16">
        <v>2016</v>
      </c>
      <c r="E912" s="13">
        <v>5370</v>
      </c>
      <c r="F912" s="8">
        <v>1.7749413971862718</v>
      </c>
    </row>
    <row r="913" spans="1:6" x14ac:dyDescent="0.25">
      <c r="A913" s="4" t="s">
        <v>86</v>
      </c>
      <c r="B913" s="4" t="str">
        <f>VLOOKUP(A913,Codes!$G$2:$H$217,2,0)</f>
        <v>KWT</v>
      </c>
      <c r="C913" s="11">
        <v>3090550</v>
      </c>
      <c r="D913" s="16">
        <v>2017</v>
      </c>
      <c r="E913" s="13">
        <v>9679</v>
      </c>
      <c r="F913" s="8">
        <v>3.131805018524211</v>
      </c>
    </row>
    <row r="914" spans="1:6" x14ac:dyDescent="0.25">
      <c r="A914" s="4" t="s">
        <v>86</v>
      </c>
      <c r="B914" s="4" t="str">
        <f>VLOOKUP(A914,Codes!$G$2:$H$217,2,0)</f>
        <v>KWT</v>
      </c>
      <c r="C914" s="11">
        <v>3140662</v>
      </c>
      <c r="D914" s="16">
        <v>2018</v>
      </c>
      <c r="E914" s="13">
        <v>18157</v>
      </c>
      <c r="F914" s="8">
        <v>5.7812652237012445</v>
      </c>
    </row>
    <row r="915" spans="1:6" x14ac:dyDescent="0.25">
      <c r="A915" s="4" t="s">
        <v>86</v>
      </c>
      <c r="B915" s="4" t="str">
        <f>VLOOKUP(A915,Codes!$G$2:$H$217,2,0)</f>
        <v>KWT</v>
      </c>
      <c r="C915" s="11">
        <v>3183340</v>
      </c>
      <c r="D915" s="16">
        <v>2019</v>
      </c>
      <c r="E915" s="13">
        <v>21926</v>
      </c>
      <c r="F915" s="8">
        <v>6.8877342665250962</v>
      </c>
    </row>
    <row r="916" spans="1:6" x14ac:dyDescent="0.25">
      <c r="A916" s="4" t="s">
        <v>86</v>
      </c>
      <c r="B916" s="4" t="str">
        <f>VLOOKUP(A916,Codes!$G$2:$H$217,2,0)</f>
        <v>KWT</v>
      </c>
      <c r="C916" s="11">
        <v>3224360</v>
      </c>
      <c r="D916" s="16">
        <v>2020</v>
      </c>
      <c r="E916" s="13">
        <v>10603</v>
      </c>
      <c r="F916" s="8">
        <v>3.2884045205870311</v>
      </c>
    </row>
    <row r="917" spans="1:6" x14ac:dyDescent="0.25">
      <c r="A917" s="3" t="s">
        <v>87</v>
      </c>
      <c r="B917" s="4" t="str">
        <f>VLOOKUP(A917,Codes!$G$2:$H$217,2,0)</f>
        <v>KGZ</v>
      </c>
      <c r="C917" s="11">
        <v>3340049</v>
      </c>
      <c r="D917" s="12">
        <v>2006</v>
      </c>
      <c r="E917" s="13">
        <v>3211</v>
      </c>
      <c r="F917" s="8">
        <v>0.96136314167846049</v>
      </c>
    </row>
    <row r="918" spans="1:6" x14ac:dyDescent="0.25">
      <c r="A918" s="4" t="s">
        <v>87</v>
      </c>
      <c r="B918" s="4" t="str">
        <f>VLOOKUP(A918,Codes!$G$2:$H$217,2,0)</f>
        <v>KGZ</v>
      </c>
      <c r="C918" s="11">
        <v>3402850</v>
      </c>
      <c r="D918" s="12">
        <v>2007</v>
      </c>
      <c r="E918" s="13">
        <v>2906</v>
      </c>
      <c r="F918" s="8">
        <v>0.85399003776246385</v>
      </c>
    </row>
    <row r="919" spans="1:6" x14ac:dyDescent="0.25">
      <c r="A919" s="4" t="s">
        <v>87</v>
      </c>
      <c r="B919" s="4" t="str">
        <f>VLOOKUP(A919,Codes!$G$2:$H$217,2,0)</f>
        <v>KGZ</v>
      </c>
      <c r="C919" s="11">
        <v>3461071</v>
      </c>
      <c r="D919" s="12">
        <v>2008</v>
      </c>
      <c r="E919" s="13">
        <v>3721</v>
      </c>
      <c r="F919" s="8">
        <v>1.0751007419379723</v>
      </c>
    </row>
    <row r="920" spans="1:6" x14ac:dyDescent="0.25">
      <c r="A920" s="4" t="s">
        <v>87</v>
      </c>
      <c r="B920" s="4" t="str">
        <f>VLOOKUP(A920,Codes!$G$2:$H$217,2,0)</f>
        <v>KGZ</v>
      </c>
      <c r="C920" s="11">
        <v>3520961</v>
      </c>
      <c r="D920" s="12">
        <v>2009</v>
      </c>
      <c r="E920" s="13">
        <v>3161</v>
      </c>
      <c r="F920" s="8">
        <v>0.89776626324460851</v>
      </c>
    </row>
    <row r="921" spans="1:6" x14ac:dyDescent="0.25">
      <c r="A921" s="4" t="s">
        <v>87</v>
      </c>
      <c r="B921" s="4" t="str">
        <f>VLOOKUP(A921,Codes!$G$2:$H$217,2,0)</f>
        <v>KGZ</v>
      </c>
      <c r="C921" s="11">
        <v>3572715</v>
      </c>
      <c r="D921" s="12">
        <v>2010</v>
      </c>
      <c r="E921" s="13">
        <v>2905</v>
      </c>
      <c r="F921" s="8">
        <v>0.81310711881580255</v>
      </c>
    </row>
    <row r="922" spans="1:6" x14ac:dyDescent="0.25">
      <c r="A922" s="4" t="s">
        <v>87</v>
      </c>
      <c r="B922" s="4" t="str">
        <f>VLOOKUP(A922,Codes!$G$2:$H$217,2,0)</f>
        <v>KGZ</v>
      </c>
      <c r="C922" s="11">
        <v>3613051</v>
      </c>
      <c r="D922" s="12">
        <v>2011</v>
      </c>
      <c r="E922" s="13">
        <v>3433</v>
      </c>
      <c r="F922" s="8">
        <v>0.95016649363654149</v>
      </c>
    </row>
    <row r="923" spans="1:6" x14ac:dyDescent="0.25">
      <c r="A923" s="4" t="s">
        <v>87</v>
      </c>
      <c r="B923" s="4" t="str">
        <f>VLOOKUP(A923,Codes!$G$2:$H$217,2,0)</f>
        <v>KGZ</v>
      </c>
      <c r="C923" s="11">
        <v>3661332</v>
      </c>
      <c r="D923" s="12">
        <v>2012</v>
      </c>
      <c r="E923" s="13">
        <v>3379</v>
      </c>
      <c r="F923" s="8">
        <v>0.92288817293815473</v>
      </c>
    </row>
    <row r="924" spans="1:6" x14ac:dyDescent="0.25">
      <c r="A924" s="4" t="s">
        <v>87</v>
      </c>
      <c r="B924" s="4" t="str">
        <f>VLOOKUP(A924,Codes!$G$2:$H$217,2,0)</f>
        <v>KGZ</v>
      </c>
      <c r="C924" s="11">
        <v>3715169</v>
      </c>
      <c r="D924" s="12">
        <v>2013</v>
      </c>
      <c r="E924" s="13">
        <v>4035</v>
      </c>
      <c r="F924" s="8">
        <v>1.0860878737952433</v>
      </c>
    </row>
    <row r="925" spans="1:6" x14ac:dyDescent="0.25">
      <c r="A925" s="4" t="s">
        <v>87</v>
      </c>
      <c r="B925" s="4" t="str">
        <f>VLOOKUP(A925,Codes!$G$2:$H$217,2,0)</f>
        <v>KGZ</v>
      </c>
      <c r="C925" s="11">
        <v>3767382</v>
      </c>
      <c r="D925" s="16">
        <v>2014</v>
      </c>
      <c r="E925" s="13">
        <v>4100</v>
      </c>
      <c r="F925" s="8">
        <v>1.0882888966396294</v>
      </c>
    </row>
    <row r="926" spans="1:6" x14ac:dyDescent="0.25">
      <c r="A926" s="4" t="s">
        <v>87</v>
      </c>
      <c r="B926" s="4" t="str">
        <f>VLOOKUP(A926,Codes!$G$2:$H$217,2,0)</f>
        <v>KGZ</v>
      </c>
      <c r="C926" s="11">
        <v>3822237</v>
      </c>
      <c r="D926" s="16">
        <v>2015</v>
      </c>
      <c r="E926" s="13">
        <v>4499</v>
      </c>
      <c r="F926" s="8">
        <v>1.1770594026482397</v>
      </c>
    </row>
    <row r="927" spans="1:6" x14ac:dyDescent="0.25">
      <c r="A927" s="4" t="s">
        <v>87</v>
      </c>
      <c r="B927" s="4" t="str">
        <f>VLOOKUP(A927,Codes!$G$2:$H$217,2,0)</f>
        <v>KGZ</v>
      </c>
      <c r="C927" s="11">
        <v>3874021</v>
      </c>
      <c r="D927" s="16">
        <v>2016</v>
      </c>
      <c r="E927" s="13">
        <v>4936</v>
      </c>
      <c r="F927" s="8">
        <v>1.2741283539763981</v>
      </c>
    </row>
    <row r="928" spans="1:6" x14ac:dyDescent="0.25">
      <c r="A928" s="3" t="s">
        <v>88</v>
      </c>
      <c r="B928" s="4" t="str">
        <f>VLOOKUP(A928,Codes!$G$2:$H$217,2,0)</f>
        <v>LAO</v>
      </c>
      <c r="C928" s="11">
        <v>3532584</v>
      </c>
      <c r="D928" s="12">
        <v>2008</v>
      </c>
      <c r="E928" s="13">
        <v>40</v>
      </c>
      <c r="F928" s="8">
        <v>1.1323156080648046E-2</v>
      </c>
    </row>
    <row r="929" spans="1:6" x14ac:dyDescent="0.25">
      <c r="A929" s="4" t="s">
        <v>88</v>
      </c>
      <c r="B929" s="4" t="str">
        <f>VLOOKUP(A929,Codes!$G$2:$H$217,2,0)</f>
        <v>LAO</v>
      </c>
      <c r="C929" s="11">
        <v>3638574</v>
      </c>
      <c r="D929" s="12">
        <v>2009</v>
      </c>
      <c r="E929" s="13">
        <v>173</v>
      </c>
      <c r="F929" s="8">
        <v>4.7546099103659839E-2</v>
      </c>
    </row>
    <row r="930" spans="1:6" x14ac:dyDescent="0.25">
      <c r="A930" s="4" t="s">
        <v>88</v>
      </c>
      <c r="B930" s="4" t="str">
        <f>VLOOKUP(A930,Codes!$G$2:$H$217,2,0)</f>
        <v>LAO</v>
      </c>
      <c r="C930" s="11">
        <v>3742510</v>
      </c>
      <c r="D930" s="12">
        <v>2010</v>
      </c>
      <c r="E930" s="13">
        <v>149</v>
      </c>
      <c r="F930" s="8">
        <v>3.9812852871468615E-2</v>
      </c>
    </row>
    <row r="931" spans="1:6" x14ac:dyDescent="0.25">
      <c r="A931" s="4" t="s">
        <v>88</v>
      </c>
      <c r="B931" s="4" t="str">
        <f>VLOOKUP(A931,Codes!$G$2:$H$217,2,0)</f>
        <v>LAO</v>
      </c>
      <c r="C931" s="11">
        <v>3840371</v>
      </c>
      <c r="D931" s="12">
        <v>2011</v>
      </c>
      <c r="E931" s="13">
        <v>209</v>
      </c>
      <c r="F931" s="8">
        <v>5.4421825391348912E-2</v>
      </c>
    </row>
    <row r="932" spans="1:6" x14ac:dyDescent="0.25">
      <c r="A932" s="4" t="s">
        <v>88</v>
      </c>
      <c r="B932" s="4" t="str">
        <f>VLOOKUP(A932,Codes!$G$2:$H$217,2,0)</f>
        <v>LAO</v>
      </c>
      <c r="C932" s="11">
        <v>3938141</v>
      </c>
      <c r="D932" s="12">
        <v>2012</v>
      </c>
      <c r="E932" s="13">
        <v>212</v>
      </c>
      <c r="F932" s="8">
        <v>5.383250625104586E-2</v>
      </c>
    </row>
    <row r="933" spans="1:6" x14ac:dyDescent="0.25">
      <c r="A933" s="4" t="s">
        <v>88</v>
      </c>
      <c r="B933" s="4" t="str">
        <f>VLOOKUP(A933,Codes!$G$2:$H$217,2,0)</f>
        <v>LAO</v>
      </c>
      <c r="C933" s="11">
        <v>4034528</v>
      </c>
      <c r="D933" s="12">
        <v>2013</v>
      </c>
      <c r="E933" s="13">
        <v>215</v>
      </c>
      <c r="F933" s="8">
        <v>5.3290000713838145E-2</v>
      </c>
    </row>
    <row r="934" spans="1:6" x14ac:dyDescent="0.25">
      <c r="A934" s="4" t="s">
        <v>88</v>
      </c>
      <c r="B934" s="4" t="str">
        <f>VLOOKUP(A934,Codes!$G$2:$H$217,2,0)</f>
        <v>LAO</v>
      </c>
      <c r="C934" s="11">
        <v>4127597</v>
      </c>
      <c r="D934" s="16">
        <v>2014</v>
      </c>
      <c r="E934" s="13">
        <v>203</v>
      </c>
      <c r="F934" s="8">
        <v>4.9181157947348057E-2</v>
      </c>
    </row>
    <row r="935" spans="1:6" x14ac:dyDescent="0.25">
      <c r="A935" s="4" t="s">
        <v>88</v>
      </c>
      <c r="B935" s="4" t="str">
        <f>VLOOKUP(A935,Codes!$G$2:$H$217,2,0)</f>
        <v>LAO</v>
      </c>
      <c r="C935" s="11">
        <v>4216695</v>
      </c>
      <c r="D935" s="16">
        <v>2015</v>
      </c>
      <c r="E935" s="13">
        <v>223</v>
      </c>
      <c r="F935" s="8">
        <v>5.2885020140180879E-2</v>
      </c>
    </row>
    <row r="936" spans="1:6" x14ac:dyDescent="0.25">
      <c r="A936" s="4" t="s">
        <v>88</v>
      </c>
      <c r="B936" s="4" t="str">
        <f>VLOOKUP(A936,Codes!$G$2:$H$217,2,0)</f>
        <v>LAO</v>
      </c>
      <c r="C936" s="11">
        <v>4304814</v>
      </c>
      <c r="D936" s="16">
        <v>2016</v>
      </c>
      <c r="E936" s="13">
        <v>263</v>
      </c>
      <c r="F936" s="8">
        <v>6.1094393393071114E-2</v>
      </c>
    </row>
    <row r="937" spans="1:6" x14ac:dyDescent="0.25">
      <c r="A937" s="4" t="s">
        <v>88</v>
      </c>
      <c r="B937" s="4" t="str">
        <f>VLOOKUP(A937,Codes!$G$2:$H$217,2,0)</f>
        <v>LAO</v>
      </c>
      <c r="C937" s="11">
        <v>4389136</v>
      </c>
      <c r="D937" s="16">
        <v>2017</v>
      </c>
      <c r="E937" s="13">
        <v>315</v>
      </c>
      <c r="F937" s="8">
        <v>7.1768111081543157E-2</v>
      </c>
    </row>
    <row r="938" spans="1:6" x14ac:dyDescent="0.25">
      <c r="A938" s="4" t="s">
        <v>88</v>
      </c>
      <c r="B938" s="4" t="str">
        <f>VLOOKUP(A938,Codes!$G$2:$H$217,2,0)</f>
        <v>LAO</v>
      </c>
      <c r="C938" s="11">
        <v>4471406</v>
      </c>
      <c r="D938" s="16">
        <v>2018</v>
      </c>
      <c r="E938" s="13">
        <v>427</v>
      </c>
      <c r="F938" s="8">
        <v>9.5495689722651003E-2</v>
      </c>
    </row>
    <row r="939" spans="1:6" x14ac:dyDescent="0.25">
      <c r="A939" s="4" t="s">
        <v>88</v>
      </c>
      <c r="B939" s="4" t="str">
        <f>VLOOKUP(A939,Codes!$G$2:$H$217,2,0)</f>
        <v>LAO</v>
      </c>
      <c r="C939" s="11">
        <v>4554972</v>
      </c>
      <c r="D939" s="16">
        <v>2019</v>
      </c>
      <c r="E939" s="13">
        <v>901</v>
      </c>
      <c r="F939" s="9">
        <v>0.19780582624876727</v>
      </c>
    </row>
    <row r="940" spans="1:6" x14ac:dyDescent="0.25">
      <c r="A940" s="4" t="s">
        <v>88</v>
      </c>
      <c r="B940" s="4" t="str">
        <f>VLOOKUP(A940,Codes!$G$2:$H$217,2,0)</f>
        <v>LAO</v>
      </c>
      <c r="C940" s="11">
        <v>4641338</v>
      </c>
      <c r="D940" s="16">
        <v>2020</v>
      </c>
      <c r="E940" s="13">
        <v>699</v>
      </c>
      <c r="F940" s="8">
        <v>0.150603123495854</v>
      </c>
    </row>
    <row r="941" spans="1:6" x14ac:dyDescent="0.25">
      <c r="A941" s="3" t="s">
        <v>89</v>
      </c>
      <c r="B941" s="4" t="str">
        <f>VLOOKUP(A941,Codes!$G$2:$H$217,2,0)</f>
        <v>LVA</v>
      </c>
      <c r="C941" s="11">
        <v>1515875</v>
      </c>
      <c r="D941" s="12">
        <v>2006</v>
      </c>
      <c r="E941" s="13">
        <v>11231</v>
      </c>
      <c r="F941" s="8">
        <v>7.4089222396305772</v>
      </c>
    </row>
    <row r="942" spans="1:6" x14ac:dyDescent="0.25">
      <c r="A942" s="4" t="s">
        <v>89</v>
      </c>
      <c r="B942" s="4" t="str">
        <f>VLOOKUP(A942,Codes!$G$2:$H$217,2,0)</f>
        <v>LVA</v>
      </c>
      <c r="C942" s="11">
        <v>1501639</v>
      </c>
      <c r="D942" s="12">
        <v>2007</v>
      </c>
      <c r="E942" s="13">
        <v>11970</v>
      </c>
      <c r="F942" s="8">
        <v>7.9712900370861437</v>
      </c>
    </row>
    <row r="943" spans="1:6" x14ac:dyDescent="0.25">
      <c r="A943" s="4" t="s">
        <v>89</v>
      </c>
      <c r="B943" s="4" t="str">
        <f>VLOOKUP(A943,Codes!$G$2:$H$217,2,0)</f>
        <v>LVA</v>
      </c>
      <c r="C943" s="11">
        <v>1483833</v>
      </c>
      <c r="D943" s="12">
        <v>2008</v>
      </c>
      <c r="E943" s="13">
        <v>8931</v>
      </c>
      <c r="F943" s="8">
        <v>6.018871395905065</v>
      </c>
    </row>
    <row r="944" spans="1:6" x14ac:dyDescent="0.25">
      <c r="A944" s="4" t="s">
        <v>89</v>
      </c>
      <c r="B944" s="4" t="str">
        <f>VLOOKUP(A944,Codes!$G$2:$H$217,2,0)</f>
        <v>LVA</v>
      </c>
      <c r="C944" s="11">
        <v>1455985</v>
      </c>
      <c r="D944" s="12">
        <v>2009</v>
      </c>
      <c r="E944" s="13">
        <v>7171</v>
      </c>
      <c r="F944" s="8">
        <v>4.925188102899412</v>
      </c>
    </row>
    <row r="945" spans="1:6" x14ac:dyDescent="0.25">
      <c r="A945" s="4" t="s">
        <v>89</v>
      </c>
      <c r="B945" s="4" t="str">
        <f>VLOOKUP(A945,Codes!$G$2:$H$217,2,0)</f>
        <v>LVA</v>
      </c>
      <c r="C945" s="11">
        <v>1420719</v>
      </c>
      <c r="D945" s="12">
        <v>2010</v>
      </c>
      <c r="E945" s="13">
        <v>11898</v>
      </c>
      <c r="F945" s="8">
        <v>8.3746328443555704</v>
      </c>
    </row>
    <row r="946" spans="1:6" x14ac:dyDescent="0.25">
      <c r="A946" s="4" t="s">
        <v>89</v>
      </c>
      <c r="B946" s="4" t="str">
        <f>VLOOKUP(A946,Codes!$G$2:$H$217,2,0)</f>
        <v>LVA</v>
      </c>
      <c r="C946" s="11">
        <v>1386771</v>
      </c>
      <c r="D946" s="12">
        <v>2011</v>
      </c>
      <c r="E946" s="13">
        <v>16840</v>
      </c>
      <c r="F946" s="8">
        <v>12.143317101381555</v>
      </c>
    </row>
    <row r="947" spans="1:6" x14ac:dyDescent="0.25">
      <c r="A947" s="4" t="s">
        <v>89</v>
      </c>
      <c r="B947" s="4" t="str">
        <f>VLOOKUP(A947,Codes!$G$2:$H$217,2,0)</f>
        <v>LVA</v>
      </c>
      <c r="C947" s="11">
        <v>1360772</v>
      </c>
      <c r="D947" s="12">
        <v>2012</v>
      </c>
      <c r="E947" s="13">
        <v>15752</v>
      </c>
      <c r="F947" s="8">
        <v>11.575781982580475</v>
      </c>
    </row>
    <row r="948" spans="1:6" x14ac:dyDescent="0.25">
      <c r="A948" s="4" t="s">
        <v>89</v>
      </c>
      <c r="B948" s="4" t="str">
        <f>VLOOKUP(A948,Codes!$G$2:$H$217,2,0)</f>
        <v>LVA</v>
      </c>
      <c r="C948" s="11">
        <v>1336809</v>
      </c>
      <c r="D948" s="12">
        <v>2013</v>
      </c>
      <c r="E948" s="13">
        <v>15352</v>
      </c>
      <c r="F948" s="8">
        <v>11.484063916385962</v>
      </c>
    </row>
    <row r="949" spans="1:6" x14ac:dyDescent="0.25">
      <c r="A949" s="4" t="s">
        <v>89</v>
      </c>
      <c r="B949" s="4" t="str">
        <f>VLOOKUP(A949,Codes!$G$2:$H$217,2,0)</f>
        <v>LVA</v>
      </c>
      <c r="C949" s="11">
        <v>1314303</v>
      </c>
      <c r="D949" s="16">
        <v>2014</v>
      </c>
      <c r="E949" s="13">
        <v>13995</v>
      </c>
      <c r="F949" s="8">
        <v>10.648229517850906</v>
      </c>
    </row>
    <row r="950" spans="1:6" x14ac:dyDescent="0.25">
      <c r="A950" s="4" t="s">
        <v>89</v>
      </c>
      <c r="B950" s="4" t="str">
        <f>VLOOKUP(A950,Codes!$G$2:$H$217,2,0)</f>
        <v>LVA</v>
      </c>
      <c r="C950" s="11">
        <v>1293047</v>
      </c>
      <c r="D950" s="16">
        <v>2015</v>
      </c>
      <c r="E950" s="13">
        <v>12551</v>
      </c>
      <c r="F950" s="8">
        <v>9.7065303890732508</v>
      </c>
    </row>
    <row r="951" spans="1:6" x14ac:dyDescent="0.25">
      <c r="A951" s="4" t="s">
        <v>89</v>
      </c>
      <c r="B951" s="4" t="str">
        <f>VLOOKUP(A951,Codes!$G$2:$H$217,2,0)</f>
        <v>LVA</v>
      </c>
      <c r="C951" s="11">
        <v>1275493</v>
      </c>
      <c r="D951" s="16">
        <v>2016</v>
      </c>
      <c r="E951" s="13">
        <v>10319</v>
      </c>
      <c r="F951" s="8">
        <v>8.0902051206866687</v>
      </c>
    </row>
    <row r="952" spans="1:6" x14ac:dyDescent="0.25">
      <c r="A952" s="4" t="s">
        <v>89</v>
      </c>
      <c r="B952" s="4" t="str">
        <f>VLOOKUP(A952,Codes!$G$2:$H$217,2,0)</f>
        <v>LVA</v>
      </c>
      <c r="C952" s="11">
        <v>1254506</v>
      </c>
      <c r="D952" s="16">
        <v>2017</v>
      </c>
      <c r="E952" s="13">
        <v>9340</v>
      </c>
      <c r="F952" s="8">
        <v>7.4451616811717125</v>
      </c>
    </row>
    <row r="953" spans="1:6" x14ac:dyDescent="0.25">
      <c r="A953" s="4" t="s">
        <v>89</v>
      </c>
      <c r="B953" s="4" t="str">
        <f>VLOOKUP(A953,Codes!$G$2:$H$217,2,0)</f>
        <v>LVA</v>
      </c>
      <c r="C953" s="11">
        <v>1232632</v>
      </c>
      <c r="D953" s="16">
        <v>2018</v>
      </c>
      <c r="E953" s="13">
        <v>9864</v>
      </c>
      <c r="F953" s="8">
        <v>8.0023883851790316</v>
      </c>
    </row>
    <row r="954" spans="1:6" x14ac:dyDescent="0.25">
      <c r="A954" s="4" t="s">
        <v>89</v>
      </c>
      <c r="B954" s="4" t="str">
        <f>VLOOKUP(A954,Codes!$G$2:$H$217,2,0)</f>
        <v>LVA</v>
      </c>
      <c r="C954" s="11">
        <v>1212516</v>
      </c>
      <c r="D954" s="16">
        <v>2019</v>
      </c>
      <c r="E954" s="13">
        <v>9595</v>
      </c>
      <c r="F954" s="8">
        <v>7.9132976389589915</v>
      </c>
    </row>
    <row r="955" spans="1:6" x14ac:dyDescent="0.25">
      <c r="A955" s="4" t="s">
        <v>89</v>
      </c>
      <c r="B955" s="4" t="str">
        <f>VLOOKUP(A955,Codes!$G$2:$H$217,2,0)</f>
        <v>LVA</v>
      </c>
      <c r="C955" s="11">
        <v>1195703</v>
      </c>
      <c r="D955" s="16">
        <v>2020</v>
      </c>
      <c r="E955" s="13">
        <v>8234</v>
      </c>
      <c r="F955" s="8">
        <v>6.8863254503835813</v>
      </c>
    </row>
    <row r="956" spans="1:6" x14ac:dyDescent="0.25">
      <c r="A956" s="3" t="s">
        <v>90</v>
      </c>
      <c r="B956" s="4" t="str">
        <f>VLOOKUP(A956,Codes!$G$2:$H$217,2,0)</f>
        <v>LSO</v>
      </c>
      <c r="C956" s="11">
        <v>1169206</v>
      </c>
      <c r="D956" s="12">
        <v>2006</v>
      </c>
      <c r="E956" s="13">
        <v>875</v>
      </c>
      <c r="F956" s="8">
        <v>0.748371116809185</v>
      </c>
    </row>
    <row r="957" spans="1:6" x14ac:dyDescent="0.25">
      <c r="A957" s="4" t="s">
        <v>90</v>
      </c>
      <c r="B957" s="4" t="str">
        <f>VLOOKUP(A957,Codes!$G$2:$H$217,2,0)</f>
        <v>LSO</v>
      </c>
      <c r="C957" s="11">
        <v>1175640</v>
      </c>
      <c r="D957" s="12">
        <v>2007</v>
      </c>
      <c r="E957" s="13">
        <v>1042</v>
      </c>
      <c r="F957" s="8">
        <v>0.88632574597665958</v>
      </c>
    </row>
    <row r="958" spans="1:6" x14ac:dyDescent="0.25">
      <c r="A958" s="4" t="s">
        <v>90</v>
      </c>
      <c r="B958" s="4" t="str">
        <f>VLOOKUP(A958,Codes!$G$2:$H$217,2,0)</f>
        <v>LSO</v>
      </c>
      <c r="C958" s="11">
        <v>1184602</v>
      </c>
      <c r="D958" s="12">
        <v>2008</v>
      </c>
      <c r="E958" s="13">
        <v>1397</v>
      </c>
      <c r="F958" s="8">
        <v>1.179299038833296</v>
      </c>
    </row>
    <row r="959" spans="1:6" x14ac:dyDescent="0.25">
      <c r="A959" s="4" t="s">
        <v>90</v>
      </c>
      <c r="B959" s="4" t="str">
        <f>VLOOKUP(A959,Codes!$G$2:$H$217,2,0)</f>
        <v>LSO</v>
      </c>
      <c r="C959" s="11">
        <v>1194897</v>
      </c>
      <c r="D959" s="12">
        <v>2009</v>
      </c>
      <c r="E959" s="13">
        <v>1501</v>
      </c>
      <c r="F959" s="8">
        <v>1.256175218449791</v>
      </c>
    </row>
    <row r="960" spans="1:6" x14ac:dyDescent="0.25">
      <c r="A960" s="4" t="s">
        <v>90</v>
      </c>
      <c r="B960" s="4" t="str">
        <f>VLOOKUP(A960,Codes!$G$2:$H$217,2,0)</f>
        <v>LSO</v>
      </c>
      <c r="C960" s="11">
        <v>1205899</v>
      </c>
      <c r="D960" s="12">
        <v>2010</v>
      </c>
      <c r="E960" s="13">
        <v>1720</v>
      </c>
      <c r="F960" s="8">
        <v>1.4263217732164966</v>
      </c>
    </row>
    <row r="961" spans="1:6" x14ac:dyDescent="0.25">
      <c r="A961" s="4" t="s">
        <v>90</v>
      </c>
      <c r="B961" s="4" t="str">
        <f>VLOOKUP(A961,Codes!$G$2:$H$217,2,0)</f>
        <v>LSO</v>
      </c>
      <c r="C961" s="11">
        <v>1214902</v>
      </c>
      <c r="D961" s="12">
        <v>2011</v>
      </c>
      <c r="E961" s="13">
        <v>1575</v>
      </c>
      <c r="F961" s="8">
        <v>1.2964008619625287</v>
      </c>
    </row>
    <row r="962" spans="1:6" x14ac:dyDescent="0.25">
      <c r="A962" s="4" t="s">
        <v>90</v>
      </c>
      <c r="B962" s="4" t="str">
        <f>VLOOKUP(A962,Codes!$G$2:$H$217,2,0)</f>
        <v>LSO</v>
      </c>
      <c r="C962" s="11">
        <v>1225835</v>
      </c>
      <c r="D962" s="12">
        <v>2012</v>
      </c>
      <c r="E962" s="13">
        <v>1795</v>
      </c>
      <c r="F962" s="8">
        <v>1.4643080023004726</v>
      </c>
    </row>
    <row r="963" spans="1:6" x14ac:dyDescent="0.25">
      <c r="A963" s="4" t="s">
        <v>90</v>
      </c>
      <c r="B963" s="4" t="str">
        <f>VLOOKUP(A963,Codes!$G$2:$H$217,2,0)</f>
        <v>LSO</v>
      </c>
      <c r="C963" s="11">
        <v>1239098</v>
      </c>
      <c r="D963" s="12">
        <v>2013</v>
      </c>
      <c r="E963" s="13">
        <v>2032</v>
      </c>
      <c r="F963" s="8">
        <v>1.6399025742919446</v>
      </c>
    </row>
    <row r="964" spans="1:6" x14ac:dyDescent="0.25">
      <c r="A964" s="4" t="s">
        <v>90</v>
      </c>
      <c r="B964" s="4" t="str">
        <f>VLOOKUP(A964,Codes!$G$2:$H$217,2,0)</f>
        <v>LSO</v>
      </c>
      <c r="C964" s="11">
        <v>1254813</v>
      </c>
      <c r="D964" s="16">
        <v>2014</v>
      </c>
      <c r="E964" s="13">
        <v>1933</v>
      </c>
      <c r="F964" s="8">
        <v>1.5404685797804134</v>
      </c>
    </row>
    <row r="965" spans="1:6" x14ac:dyDescent="0.25">
      <c r="A965" s="4" t="s">
        <v>90</v>
      </c>
      <c r="B965" s="4" t="str">
        <f>VLOOKUP(A965,Codes!$G$2:$H$217,2,0)</f>
        <v>LSO</v>
      </c>
      <c r="C965" s="11">
        <v>1272385</v>
      </c>
      <c r="D965" s="16">
        <v>2015</v>
      </c>
      <c r="E965" s="13">
        <v>2572</v>
      </c>
      <c r="F965" s="8">
        <v>2.0214007552745437</v>
      </c>
    </row>
    <row r="966" spans="1:6" x14ac:dyDescent="0.25">
      <c r="A966" s="4" t="s">
        <v>90</v>
      </c>
      <c r="B966" s="4" t="str">
        <f>VLOOKUP(A966,Codes!$G$2:$H$217,2,0)</f>
        <v>LSO</v>
      </c>
      <c r="C966" s="11">
        <v>1285193</v>
      </c>
      <c r="D966" s="16">
        <v>2016</v>
      </c>
      <c r="E966" s="13">
        <v>2301</v>
      </c>
      <c r="F966" s="8">
        <v>1.7903925713881106</v>
      </c>
    </row>
    <row r="967" spans="1:6" x14ac:dyDescent="0.25">
      <c r="A967" s="4" t="s">
        <v>90</v>
      </c>
      <c r="B967" s="4" t="str">
        <f>VLOOKUP(A967,Codes!$G$2:$H$217,2,0)</f>
        <v>LSO</v>
      </c>
      <c r="C967" s="11">
        <v>1299803</v>
      </c>
      <c r="D967" s="16">
        <v>2017</v>
      </c>
      <c r="E967" s="13">
        <v>2443</v>
      </c>
      <c r="F967" s="8">
        <v>1.8795155881314323</v>
      </c>
    </row>
    <row r="968" spans="1:6" x14ac:dyDescent="0.25">
      <c r="A968" s="4" t="s">
        <v>90</v>
      </c>
      <c r="B968" s="4" t="str">
        <f>VLOOKUP(A968,Codes!$G$2:$H$217,2,0)</f>
        <v>LSO</v>
      </c>
      <c r="C968" s="11">
        <v>1315228</v>
      </c>
      <c r="D968" s="16">
        <v>2018</v>
      </c>
      <c r="E968" s="13">
        <v>3725</v>
      </c>
      <c r="F968" s="8">
        <v>2.8322085600367388</v>
      </c>
    </row>
    <row r="969" spans="1:6" x14ac:dyDescent="0.25">
      <c r="A969" s="4" t="s">
        <v>90</v>
      </c>
      <c r="B969" s="4" t="str">
        <f>VLOOKUP(A969,Codes!$G$2:$H$217,2,0)</f>
        <v>LSO</v>
      </c>
      <c r="C969" s="11">
        <v>1330571</v>
      </c>
      <c r="D969" s="16">
        <v>2019</v>
      </c>
      <c r="E969" s="13">
        <v>2872</v>
      </c>
      <c r="F969" s="8">
        <v>2.1584718139806141</v>
      </c>
    </row>
    <row r="970" spans="1:6" x14ac:dyDescent="0.25">
      <c r="A970" s="4" t="s">
        <v>90</v>
      </c>
      <c r="B970" s="4" t="str">
        <f>VLOOKUP(A970,Codes!$G$2:$H$217,2,0)</f>
        <v>LSO</v>
      </c>
      <c r="C970" s="11">
        <v>1345616</v>
      </c>
      <c r="D970" s="16">
        <v>2020</v>
      </c>
      <c r="E970" s="13">
        <v>1981</v>
      </c>
      <c r="F970" s="8">
        <v>1.4721882022805912</v>
      </c>
    </row>
    <row r="971" spans="1:6" x14ac:dyDescent="0.25">
      <c r="A971" s="3" t="s">
        <v>91</v>
      </c>
      <c r="B971" s="4" t="str">
        <f>VLOOKUP(A971,Codes!$G$2:$H$217,2,0)</f>
        <v>LBR</v>
      </c>
      <c r="C971" s="11">
        <v>2158036</v>
      </c>
      <c r="D971" s="12">
        <v>2011</v>
      </c>
      <c r="E971" s="13">
        <v>15</v>
      </c>
      <c r="F971" s="8">
        <v>6.9507644914171968E-3</v>
      </c>
    </row>
    <row r="972" spans="1:6" x14ac:dyDescent="0.25">
      <c r="A972" s="4" t="s">
        <v>91</v>
      </c>
      <c r="B972" s="4" t="str">
        <f>VLOOKUP(A972,Codes!$G$2:$H$217,2,0)</f>
        <v>LBR</v>
      </c>
      <c r="C972" s="11">
        <v>2228463</v>
      </c>
      <c r="D972" s="12">
        <v>2012</v>
      </c>
      <c r="E972" s="13">
        <v>30</v>
      </c>
      <c r="F972" s="8">
        <v>1.3462193449027424E-2</v>
      </c>
    </row>
    <row r="973" spans="1:6" x14ac:dyDescent="0.25">
      <c r="A973" s="4" t="s">
        <v>91</v>
      </c>
      <c r="B973" s="4" t="str">
        <f>VLOOKUP(A973,Codes!$G$2:$H$217,2,0)</f>
        <v>LBR</v>
      </c>
      <c r="C973" s="11">
        <v>2299276</v>
      </c>
      <c r="D973" s="12">
        <v>2013</v>
      </c>
      <c r="E973" s="13">
        <v>34</v>
      </c>
      <c r="F973" s="8">
        <v>1.4787263469022423E-2</v>
      </c>
    </row>
    <row r="974" spans="1:6" x14ac:dyDescent="0.25">
      <c r="A974" s="4" t="s">
        <v>91</v>
      </c>
      <c r="B974" s="4" t="str">
        <f>VLOOKUP(A974,Codes!$G$2:$H$217,2,0)</f>
        <v>LBR</v>
      </c>
      <c r="C974" s="11">
        <v>2372020</v>
      </c>
      <c r="D974" s="16">
        <v>2014</v>
      </c>
      <c r="E974" s="13">
        <v>39</v>
      </c>
      <c r="F974" s="8">
        <v>1.6441682616504076E-2</v>
      </c>
    </row>
    <row r="975" spans="1:6" x14ac:dyDescent="0.25">
      <c r="A975" s="4" t="s">
        <v>91</v>
      </c>
      <c r="B975" s="4" t="str">
        <f>VLOOKUP(A975,Codes!$G$2:$H$217,2,0)</f>
        <v>LBR</v>
      </c>
      <c r="C975" s="11">
        <v>2447750</v>
      </c>
      <c r="D975" s="16">
        <v>2015</v>
      </c>
      <c r="E975" s="13">
        <v>21</v>
      </c>
      <c r="F975" s="8">
        <v>8.5793075273210093E-3</v>
      </c>
    </row>
    <row r="976" spans="1:6" x14ac:dyDescent="0.25">
      <c r="A976" s="4" t="s">
        <v>91</v>
      </c>
      <c r="B976" s="4" t="str">
        <f>VLOOKUP(A976,Codes!$G$2:$H$217,2,0)</f>
        <v>LBR</v>
      </c>
      <c r="C976" s="11">
        <v>2522749</v>
      </c>
      <c r="D976" s="16">
        <v>2016</v>
      </c>
      <c r="E976" s="13">
        <v>31</v>
      </c>
      <c r="F976" s="8">
        <v>1.2288182454933091E-2</v>
      </c>
    </row>
    <row r="977" spans="1:6" x14ac:dyDescent="0.25">
      <c r="A977" s="4" t="s">
        <v>91</v>
      </c>
      <c r="B977" s="4" t="str">
        <f>VLOOKUP(A977,Codes!$G$2:$H$217,2,0)</f>
        <v>LBR</v>
      </c>
      <c r="C977" s="11">
        <v>2600263</v>
      </c>
      <c r="D977" s="16">
        <v>2017</v>
      </c>
      <c r="E977" s="13">
        <v>32</v>
      </c>
      <c r="F977" s="8">
        <v>1.2306447463198915E-2</v>
      </c>
    </row>
    <row r="978" spans="1:6" x14ac:dyDescent="0.25">
      <c r="A978" s="4" t="s">
        <v>91</v>
      </c>
      <c r="B978" s="4" t="str">
        <f>VLOOKUP(A978,Codes!$G$2:$H$217,2,0)</f>
        <v>LBR</v>
      </c>
      <c r="C978" s="11">
        <v>2680391</v>
      </c>
      <c r="D978" s="16">
        <v>2018</v>
      </c>
      <c r="E978" s="13">
        <v>58</v>
      </c>
      <c r="F978" s="8">
        <v>2.1638634064955451E-2</v>
      </c>
    </row>
    <row r="979" spans="1:6" x14ac:dyDescent="0.25">
      <c r="A979" s="4" t="s">
        <v>91</v>
      </c>
      <c r="B979" s="4" t="str">
        <f>VLOOKUP(A979,Codes!$G$2:$H$217,2,0)</f>
        <v>LBR</v>
      </c>
      <c r="C979" s="11">
        <v>2763023</v>
      </c>
      <c r="D979" s="16">
        <v>2019</v>
      </c>
      <c r="E979" s="13">
        <v>54</v>
      </c>
      <c r="F979" s="8">
        <v>1.9543811253109368E-2</v>
      </c>
    </row>
    <row r="980" spans="1:6" x14ac:dyDescent="0.25">
      <c r="A980" s="4" t="s">
        <v>91</v>
      </c>
      <c r="B980" s="4" t="str">
        <f>VLOOKUP(A980,Codes!$G$2:$H$217,2,0)</f>
        <v>LBR</v>
      </c>
      <c r="C980" s="11">
        <v>2847943</v>
      </c>
      <c r="D980" s="16">
        <v>2020</v>
      </c>
      <c r="E980" s="13">
        <v>60</v>
      </c>
      <c r="F980" s="8">
        <v>2.1067837382981333E-2</v>
      </c>
    </row>
    <row r="981" spans="1:6" x14ac:dyDescent="0.25">
      <c r="A981" s="3" t="s">
        <v>92</v>
      </c>
      <c r="B981" s="4" t="str">
        <f>VLOOKUP(A981,Codes!$G$2:$H$217,2,0)</f>
        <v>LIE</v>
      </c>
      <c r="C981" s="13">
        <v>24088</v>
      </c>
      <c r="D981" s="12">
        <v>2008</v>
      </c>
      <c r="E981" s="13">
        <v>15</v>
      </c>
      <c r="F981" s="8">
        <v>0.6227167054134839</v>
      </c>
    </row>
    <row r="982" spans="1:6" x14ac:dyDescent="0.25">
      <c r="A982" s="4" t="s">
        <v>92</v>
      </c>
      <c r="B982" s="4" t="str">
        <f>VLOOKUP(A982,Codes!$G$2:$H$217,2,0)</f>
        <v>LIE</v>
      </c>
      <c r="C982" s="13">
        <v>24137</v>
      </c>
      <c r="D982" s="12">
        <v>2009</v>
      </c>
      <c r="E982" s="13">
        <v>7</v>
      </c>
      <c r="F982" s="8">
        <v>0.29001118614575133</v>
      </c>
    </row>
    <row r="983" spans="1:6" x14ac:dyDescent="0.25">
      <c r="A983" s="4" t="s">
        <v>92</v>
      </c>
      <c r="B983" s="4" t="str">
        <f>VLOOKUP(A983,Codes!$G$2:$H$217,2,0)</f>
        <v>LIE</v>
      </c>
      <c r="C983" s="13">
        <v>24279</v>
      </c>
      <c r="D983" s="12">
        <v>2010</v>
      </c>
      <c r="E983" s="13">
        <v>12</v>
      </c>
      <c r="F983" s="8">
        <v>0.49425429383417763</v>
      </c>
    </row>
    <row r="984" spans="1:6" x14ac:dyDescent="0.25">
      <c r="A984" s="4" t="s">
        <v>92</v>
      </c>
      <c r="B984" s="4" t="str">
        <f>VLOOKUP(A984,Codes!$G$2:$H$217,2,0)</f>
        <v>LIE</v>
      </c>
      <c r="C984" s="13">
        <v>24421</v>
      </c>
      <c r="D984" s="12">
        <v>2011</v>
      </c>
      <c r="E984" s="13">
        <v>20</v>
      </c>
      <c r="F984" s="8">
        <v>0.81896728225707383</v>
      </c>
    </row>
    <row r="985" spans="1:6" x14ac:dyDescent="0.25">
      <c r="A985" s="4" t="s">
        <v>92</v>
      </c>
      <c r="B985" s="4" t="str">
        <f>VLOOKUP(A985,Codes!$G$2:$H$217,2,0)</f>
        <v>LIE</v>
      </c>
      <c r="C985" s="13">
        <v>24565</v>
      </c>
      <c r="D985" s="12">
        <v>2012</v>
      </c>
      <c r="E985" s="13">
        <v>24</v>
      </c>
      <c r="F985" s="8">
        <v>0.97699979645837565</v>
      </c>
    </row>
    <row r="986" spans="1:6" x14ac:dyDescent="0.25">
      <c r="A986" s="4" t="s">
        <v>92</v>
      </c>
      <c r="B986" s="4" t="str">
        <f>VLOOKUP(A986,Codes!$G$2:$H$217,2,0)</f>
        <v>LIE</v>
      </c>
      <c r="C986" s="13">
        <v>24709</v>
      </c>
      <c r="D986" s="12">
        <v>2013</v>
      </c>
      <c r="E986" s="13">
        <v>30</v>
      </c>
      <c r="F986" s="8">
        <v>1.2141325023270872</v>
      </c>
    </row>
    <row r="987" spans="1:6" x14ac:dyDescent="0.25">
      <c r="A987" s="4" t="s">
        <v>92</v>
      </c>
      <c r="B987" s="4" t="str">
        <f>VLOOKUP(A987,Codes!$G$2:$H$217,2,0)</f>
        <v>LIE</v>
      </c>
      <c r="C987" s="13">
        <v>24854</v>
      </c>
      <c r="D987" s="16">
        <v>2014</v>
      </c>
      <c r="E987" s="13">
        <v>29</v>
      </c>
      <c r="F987" s="8">
        <v>1.1668141948982056</v>
      </c>
    </row>
    <row r="988" spans="1:6" x14ac:dyDescent="0.25">
      <c r="A988" s="4" t="s">
        <v>92</v>
      </c>
      <c r="B988" s="4" t="str">
        <f>VLOOKUP(A988,Codes!$G$2:$H$217,2,0)</f>
        <v>LIE</v>
      </c>
      <c r="C988" s="13">
        <v>24956</v>
      </c>
      <c r="D988" s="16">
        <v>2015</v>
      </c>
      <c r="E988" s="13">
        <v>29</v>
      </c>
      <c r="F988" s="8">
        <v>1.1620451995512102</v>
      </c>
    </row>
    <row r="989" spans="1:6" x14ac:dyDescent="0.25">
      <c r="A989" s="4" t="s">
        <v>92</v>
      </c>
      <c r="B989" s="4" t="str">
        <f>VLOOKUP(A989,Codes!$G$2:$H$217,2,0)</f>
        <v>LIE</v>
      </c>
      <c r="C989" s="13">
        <v>25670</v>
      </c>
      <c r="D989" s="16">
        <v>2016</v>
      </c>
      <c r="E989" s="13">
        <v>34</v>
      </c>
      <c r="F989" s="8">
        <v>1.3245033112582782</v>
      </c>
    </row>
    <row r="990" spans="1:6" x14ac:dyDescent="0.25">
      <c r="A990" s="4" t="s">
        <v>92</v>
      </c>
      <c r="B990" s="4" t="str">
        <f>VLOOKUP(A990,Codes!$G$2:$H$217,2,0)</f>
        <v>LIE</v>
      </c>
      <c r="C990" s="21">
        <v>25848</v>
      </c>
      <c r="D990" s="16">
        <v>2017</v>
      </c>
      <c r="E990" s="13">
        <v>127</v>
      </c>
      <c r="F990" s="8">
        <v>4.9133395233673784</v>
      </c>
    </row>
    <row r="991" spans="1:6" x14ac:dyDescent="0.25">
      <c r="A991" s="4" t="s">
        <v>92</v>
      </c>
      <c r="B991" s="4" t="str">
        <f>VLOOKUP(A991,Codes!$G$2:$H$217,2,0)</f>
        <v>LIE</v>
      </c>
      <c r="C991" s="21">
        <v>25848</v>
      </c>
      <c r="D991" s="16">
        <v>2018</v>
      </c>
      <c r="E991" s="13">
        <v>163</v>
      </c>
      <c r="F991" s="8">
        <v>6.3060971835345097</v>
      </c>
    </row>
    <row r="992" spans="1:6" x14ac:dyDescent="0.25">
      <c r="A992" s="4" t="s">
        <v>92</v>
      </c>
      <c r="B992" s="4" t="str">
        <f>VLOOKUP(A992,Codes!$G$2:$H$217,2,0)</f>
        <v>LIE</v>
      </c>
      <c r="C992" s="21"/>
      <c r="D992" s="16">
        <v>2019</v>
      </c>
      <c r="E992" s="13">
        <v>313</v>
      </c>
      <c r="F992" s="8"/>
    </row>
    <row r="993" spans="1:6" x14ac:dyDescent="0.25">
      <c r="A993" s="4" t="s">
        <v>92</v>
      </c>
      <c r="B993" s="4" t="str">
        <f>VLOOKUP(A993,Codes!$G$2:$H$217,2,0)</f>
        <v>LIE</v>
      </c>
      <c r="C993" s="21"/>
      <c r="D993" s="16">
        <v>2020</v>
      </c>
      <c r="E993" s="13">
        <v>58</v>
      </c>
      <c r="F993" s="8"/>
    </row>
    <row r="994" spans="1:6" x14ac:dyDescent="0.25">
      <c r="A994" s="3" t="s">
        <v>93</v>
      </c>
      <c r="B994" s="4" t="str">
        <f>VLOOKUP(A994,Codes!$G$2:$H$217,2,0)</f>
        <v>LTU</v>
      </c>
      <c r="C994" s="11">
        <v>2203368</v>
      </c>
      <c r="D994" s="12">
        <v>2006</v>
      </c>
      <c r="E994" s="13">
        <v>5307</v>
      </c>
      <c r="F994" s="8">
        <v>2.408585401984598</v>
      </c>
    </row>
    <row r="995" spans="1:6" x14ac:dyDescent="0.25">
      <c r="A995" s="4" t="s">
        <v>93</v>
      </c>
      <c r="B995" s="4" t="str">
        <f>VLOOKUP(A995,Codes!$G$2:$H$217,2,0)</f>
        <v>LTU</v>
      </c>
      <c r="C995" s="11">
        <v>2182569</v>
      </c>
      <c r="D995" s="12">
        <v>2007</v>
      </c>
      <c r="E995" s="13">
        <v>6578</v>
      </c>
      <c r="F995" s="8">
        <v>3.013879515378437</v>
      </c>
    </row>
    <row r="996" spans="1:6" x14ac:dyDescent="0.25">
      <c r="A996" s="4" t="s">
        <v>93</v>
      </c>
      <c r="B996" s="4" t="str">
        <f>VLOOKUP(A996,Codes!$G$2:$H$217,2,0)</f>
        <v>LTU</v>
      </c>
      <c r="C996" s="11">
        <v>2165656</v>
      </c>
      <c r="D996" s="12">
        <v>2008</v>
      </c>
      <c r="E996" s="13">
        <v>5432</v>
      </c>
      <c r="F996" s="8">
        <v>2.5082469237958382</v>
      </c>
    </row>
    <row r="997" spans="1:6" x14ac:dyDescent="0.25">
      <c r="A997" s="4" t="s">
        <v>93</v>
      </c>
      <c r="B997" s="4" t="str">
        <f>VLOOKUP(A997,Codes!$G$2:$H$217,2,0)</f>
        <v>LTU</v>
      </c>
      <c r="C997" s="11">
        <v>2146413</v>
      </c>
      <c r="D997" s="12">
        <v>2009</v>
      </c>
      <c r="E997" s="13">
        <v>5399</v>
      </c>
      <c r="F997" s="8">
        <v>2.5153593460345234</v>
      </c>
    </row>
    <row r="998" spans="1:6" x14ac:dyDescent="0.25">
      <c r="A998" s="4" t="s">
        <v>93</v>
      </c>
      <c r="B998" s="4" t="str">
        <f>VLOOKUP(A998,Codes!$G$2:$H$217,2,0)</f>
        <v>LTU</v>
      </c>
      <c r="C998" s="11">
        <v>2105015</v>
      </c>
      <c r="D998" s="12">
        <v>2010</v>
      </c>
      <c r="E998" s="13">
        <v>6522</v>
      </c>
      <c r="F998" s="8">
        <v>3.0983152139058392</v>
      </c>
    </row>
    <row r="999" spans="1:6" x14ac:dyDescent="0.25">
      <c r="A999" s="4" t="s">
        <v>93</v>
      </c>
      <c r="B999" s="4" t="str">
        <f>VLOOKUP(A999,Codes!$G$2:$H$217,2,0)</f>
        <v>LTU</v>
      </c>
      <c r="C999" s="11">
        <v>2052782</v>
      </c>
      <c r="D999" s="12">
        <v>2011</v>
      </c>
      <c r="E999" s="13">
        <v>7799</v>
      </c>
      <c r="F999" s="8">
        <v>3.7992344048223341</v>
      </c>
    </row>
    <row r="1000" spans="1:6" x14ac:dyDescent="0.25">
      <c r="A1000" s="4" t="s">
        <v>93</v>
      </c>
      <c r="B1000" s="4" t="str">
        <f>VLOOKUP(A1000,Codes!$G$2:$H$217,2,0)</f>
        <v>LTU</v>
      </c>
      <c r="C1000" s="11">
        <v>2019161</v>
      </c>
      <c r="D1000" s="12">
        <v>2012</v>
      </c>
      <c r="E1000" s="13">
        <v>10976</v>
      </c>
      <c r="F1000" s="8">
        <v>5.4359211573519888</v>
      </c>
    </row>
    <row r="1001" spans="1:6" x14ac:dyDescent="0.25">
      <c r="A1001" s="4" t="s">
        <v>93</v>
      </c>
      <c r="B1001" s="4" t="str">
        <f>VLOOKUP(A1001,Codes!$G$2:$H$217,2,0)</f>
        <v>LTU</v>
      </c>
      <c r="C1001" s="11">
        <v>1991560</v>
      </c>
      <c r="D1001" s="12">
        <v>2013</v>
      </c>
      <c r="E1001" s="13">
        <v>8057</v>
      </c>
      <c r="F1001" s="8">
        <v>4.0455723151700171</v>
      </c>
    </row>
    <row r="1002" spans="1:6" x14ac:dyDescent="0.25">
      <c r="A1002" s="4" t="s">
        <v>93</v>
      </c>
      <c r="B1002" s="4" t="str">
        <f>VLOOKUP(A1002,Codes!$G$2:$H$217,2,0)</f>
        <v>LTU</v>
      </c>
      <c r="C1002" s="11">
        <v>1966235</v>
      </c>
      <c r="D1002" s="16">
        <v>2014</v>
      </c>
      <c r="E1002" s="13">
        <v>8481</v>
      </c>
      <c r="F1002" s="8">
        <v>4.3133196184586273</v>
      </c>
    </row>
    <row r="1003" spans="1:6" x14ac:dyDescent="0.25">
      <c r="A1003" s="4" t="s">
        <v>93</v>
      </c>
      <c r="B1003" s="4" t="str">
        <f>VLOOKUP(A1003,Codes!$G$2:$H$217,2,0)</f>
        <v>LTU</v>
      </c>
      <c r="C1003" s="11">
        <v>1938149</v>
      </c>
      <c r="D1003" s="16">
        <v>2015</v>
      </c>
      <c r="E1003" s="13">
        <v>6184</v>
      </c>
      <c r="F1003" s="8">
        <v>3.1906731628992402</v>
      </c>
    </row>
    <row r="1004" spans="1:6" x14ac:dyDescent="0.25">
      <c r="A1004" s="4" t="s">
        <v>93</v>
      </c>
      <c r="B1004" s="4" t="str">
        <f>VLOOKUP(A1004,Codes!$G$2:$H$217,2,0)</f>
        <v>LTU</v>
      </c>
      <c r="C1004" s="11">
        <v>1904209</v>
      </c>
      <c r="D1004" s="16">
        <v>2016</v>
      </c>
      <c r="E1004" s="13">
        <v>6352</v>
      </c>
      <c r="F1004" s="8">
        <v>3.3357682901404204</v>
      </c>
    </row>
    <row r="1005" spans="1:6" x14ac:dyDescent="0.25">
      <c r="A1005" s="4" t="s">
        <v>93</v>
      </c>
      <c r="B1005" s="4" t="str">
        <f>VLOOKUP(A1005,Codes!$G$2:$H$217,2,0)</f>
        <v>LTU</v>
      </c>
      <c r="C1005" s="11">
        <v>1865942</v>
      </c>
      <c r="D1005" s="16">
        <v>2017</v>
      </c>
      <c r="E1005" s="13">
        <v>6578</v>
      </c>
      <c r="F1005" s="8">
        <v>3.5252971421405381</v>
      </c>
    </row>
    <row r="1006" spans="1:6" x14ac:dyDescent="0.25">
      <c r="A1006" s="4" t="s">
        <v>93</v>
      </c>
      <c r="B1006" s="4" t="str">
        <f>VLOOKUP(A1006,Codes!$G$2:$H$217,2,0)</f>
        <v>LTU</v>
      </c>
      <c r="C1006" s="11">
        <v>1832561</v>
      </c>
      <c r="D1006" s="16">
        <v>2018</v>
      </c>
      <c r="E1006" s="13">
        <v>6072</v>
      </c>
      <c r="F1006" s="8">
        <v>3.3133958433034425</v>
      </c>
    </row>
    <row r="1007" spans="1:6" x14ac:dyDescent="0.25">
      <c r="A1007" s="4" t="s">
        <v>93</v>
      </c>
      <c r="B1007" s="4" t="str">
        <f>VLOOKUP(A1007,Codes!$G$2:$H$217,2,0)</f>
        <v>LTU</v>
      </c>
      <c r="C1007" s="11">
        <v>1807978</v>
      </c>
      <c r="D1007" s="16">
        <v>2019</v>
      </c>
      <c r="E1007" s="13">
        <v>5909</v>
      </c>
      <c r="F1007" s="8">
        <v>3.2682919814289777</v>
      </c>
    </row>
    <row r="1008" spans="1:6" x14ac:dyDescent="0.25">
      <c r="A1008" s="4" t="s">
        <v>93</v>
      </c>
      <c r="B1008" s="4" t="str">
        <f>VLOOKUP(A1008,Codes!$G$2:$H$217,2,0)</f>
        <v>LTU</v>
      </c>
      <c r="C1008" s="11">
        <v>1785928</v>
      </c>
      <c r="D1008" s="16">
        <v>2020</v>
      </c>
      <c r="E1008" s="13">
        <v>5305</v>
      </c>
      <c r="F1008" s="8">
        <v>2.9704444972025748</v>
      </c>
    </row>
    <row r="1009" spans="1:6" x14ac:dyDescent="0.25">
      <c r="A1009" s="3" t="s">
        <v>94</v>
      </c>
      <c r="B1009" s="4" t="str">
        <f>VLOOKUP(A1009,Codes!$G$2:$H$217,2,0)</f>
        <v>LUX</v>
      </c>
      <c r="C1009" s="11">
        <v>339213</v>
      </c>
      <c r="D1009" s="12">
        <v>2009</v>
      </c>
      <c r="E1009" s="13">
        <v>3567</v>
      </c>
      <c r="F1009" s="8">
        <v>10.515516799179277</v>
      </c>
    </row>
    <row r="1010" spans="1:6" x14ac:dyDescent="0.25">
      <c r="A1010" s="4" t="s">
        <v>94</v>
      </c>
      <c r="B1010" s="4" t="str">
        <f>VLOOKUP(A1010,Codes!$G$2:$H$217,2,0)</f>
        <v>LUX</v>
      </c>
      <c r="C1010" s="11">
        <v>346568</v>
      </c>
      <c r="D1010" s="12">
        <v>2010</v>
      </c>
      <c r="E1010" s="13">
        <v>4397</v>
      </c>
      <c r="F1010" s="8">
        <v>12.687264836915123</v>
      </c>
    </row>
    <row r="1011" spans="1:6" x14ac:dyDescent="0.25">
      <c r="A1011" s="4" t="s">
        <v>94</v>
      </c>
      <c r="B1011" s="4" t="str">
        <f>VLOOKUP(A1011,Codes!$G$2:$H$217,2,0)</f>
        <v>LUX</v>
      </c>
      <c r="C1011" s="11">
        <v>355809</v>
      </c>
      <c r="D1011" s="12">
        <v>2011</v>
      </c>
      <c r="E1011" s="13">
        <v>1919</v>
      </c>
      <c r="F1011" s="8">
        <v>5.3933430576517178</v>
      </c>
    </row>
    <row r="1012" spans="1:6" x14ac:dyDescent="0.25">
      <c r="A1012" s="4" t="s">
        <v>94</v>
      </c>
      <c r="B1012" s="4" t="str">
        <f>VLOOKUP(A1012,Codes!$G$2:$H$217,2,0)</f>
        <v>LUX</v>
      </c>
      <c r="C1012" s="11">
        <v>365858</v>
      </c>
      <c r="D1012" s="12">
        <v>2012</v>
      </c>
      <c r="E1012" s="13">
        <v>5127</v>
      </c>
      <c r="F1012" s="8">
        <v>14.013633704880036</v>
      </c>
    </row>
    <row r="1013" spans="1:6" x14ac:dyDescent="0.25">
      <c r="A1013" s="4" t="s">
        <v>94</v>
      </c>
      <c r="B1013" s="4" t="str">
        <f>VLOOKUP(A1013,Codes!$G$2:$H$217,2,0)</f>
        <v>LUX</v>
      </c>
      <c r="C1013" s="11">
        <v>375779</v>
      </c>
      <c r="D1013" s="12">
        <v>2013</v>
      </c>
      <c r="E1013" s="13">
        <v>5937</v>
      </c>
      <c r="F1013" s="8">
        <v>15.799179837085095</v>
      </c>
    </row>
    <row r="1014" spans="1:6" x14ac:dyDescent="0.25">
      <c r="A1014" s="4" t="s">
        <v>94</v>
      </c>
      <c r="B1014" s="4" t="str">
        <f>VLOOKUP(A1014,Codes!$G$2:$H$217,2,0)</f>
        <v>LUX</v>
      </c>
      <c r="C1014" s="11">
        <v>386096</v>
      </c>
      <c r="D1014" s="16">
        <v>2014</v>
      </c>
      <c r="E1014" s="13">
        <v>6777</v>
      </c>
      <c r="F1014" s="8">
        <v>17.552629397869961</v>
      </c>
    </row>
    <row r="1015" spans="1:6" x14ac:dyDescent="0.25">
      <c r="A1015" s="4" t="s">
        <v>94</v>
      </c>
      <c r="B1015" s="4" t="str">
        <f>VLOOKUP(A1015,Codes!$G$2:$H$217,2,0)</f>
        <v>LUX</v>
      </c>
      <c r="C1015" s="11">
        <v>396603</v>
      </c>
      <c r="D1015" s="16">
        <v>2015</v>
      </c>
      <c r="E1015" s="13">
        <v>6642</v>
      </c>
      <c r="F1015" s="8">
        <v>16.74722581523589</v>
      </c>
    </row>
    <row r="1016" spans="1:6" x14ac:dyDescent="0.25">
      <c r="A1016" s="4" t="s">
        <v>94</v>
      </c>
      <c r="B1016" s="4" t="str">
        <f>VLOOKUP(A1016,Codes!$G$2:$H$217,2,0)</f>
        <v>LUX</v>
      </c>
      <c r="C1016" s="11">
        <v>405770</v>
      </c>
      <c r="D1016" s="16">
        <v>2016</v>
      </c>
      <c r="E1016" s="13">
        <v>6207</v>
      </c>
      <c r="F1016" s="8">
        <v>15.296843039160116</v>
      </c>
    </row>
    <row r="1017" spans="1:6" x14ac:dyDescent="0.25">
      <c r="A1017" s="4" t="s">
        <v>94</v>
      </c>
      <c r="B1017" s="4" t="str">
        <f>VLOOKUP(A1017,Codes!$G$2:$H$217,2,0)</f>
        <v>LUX</v>
      </c>
      <c r="C1017" s="11">
        <v>416411</v>
      </c>
      <c r="D1017" s="16">
        <v>2017</v>
      </c>
      <c r="E1017" s="13">
        <v>6636</v>
      </c>
      <c r="F1017" s="8">
        <v>15.936178439090225</v>
      </c>
    </row>
    <row r="1018" spans="1:6" x14ac:dyDescent="0.25">
      <c r="A1018" s="4" t="s">
        <v>94</v>
      </c>
      <c r="B1018" s="4" t="str">
        <f>VLOOKUP(A1018,Codes!$G$2:$H$217,2,0)</f>
        <v>LUX</v>
      </c>
      <c r="C1018" s="11">
        <v>425188</v>
      </c>
      <c r="D1018" s="16">
        <v>2018</v>
      </c>
      <c r="E1018" s="13">
        <v>7309</v>
      </c>
      <c r="F1018" s="8">
        <v>17.190042992746736</v>
      </c>
    </row>
    <row r="1019" spans="1:6" x14ac:dyDescent="0.25">
      <c r="A1019" s="3" t="s">
        <v>95</v>
      </c>
      <c r="B1019" s="4" t="str">
        <f>VLOOKUP(A1019,Codes!$G$2:$H$217,2,0)</f>
        <v>MDG</v>
      </c>
      <c r="C1019" s="11">
        <v>13012457</v>
      </c>
      <c r="D1019" s="16">
        <v>2014</v>
      </c>
      <c r="E1019" s="13">
        <v>1557</v>
      </c>
      <c r="F1019" s="8">
        <v>0.11965457407467321</v>
      </c>
    </row>
    <row r="1020" spans="1:6" x14ac:dyDescent="0.25">
      <c r="A1020" s="4" t="s">
        <v>95</v>
      </c>
      <c r="B1020" s="4" t="str">
        <f>VLOOKUP(A1020,Codes!$G$2:$H$217,2,0)</f>
        <v>MDG</v>
      </c>
      <c r="C1020" s="11">
        <v>13455384</v>
      </c>
      <c r="D1020" s="16">
        <v>2015</v>
      </c>
      <c r="E1020" s="13">
        <v>1543</v>
      </c>
      <c r="F1020" s="8">
        <v>0.11467528537275488</v>
      </c>
    </row>
    <row r="1021" spans="1:6" x14ac:dyDescent="0.25">
      <c r="A1021" s="4" t="s">
        <v>95</v>
      </c>
      <c r="B1021" s="4" t="str">
        <f>VLOOKUP(A1021,Codes!$G$2:$H$217,2,0)</f>
        <v>MDG</v>
      </c>
      <c r="C1021" s="11">
        <v>13897810</v>
      </c>
      <c r="D1021" s="16">
        <v>2016</v>
      </c>
      <c r="E1021" s="13">
        <v>1572</v>
      </c>
      <c r="F1021" s="8">
        <v>0.11311134632003171</v>
      </c>
    </row>
    <row r="1022" spans="1:6" x14ac:dyDescent="0.25">
      <c r="A1022" s="4" t="s">
        <v>95</v>
      </c>
      <c r="B1022" s="4" t="str">
        <f>VLOOKUP(A1022,Codes!$G$2:$H$217,2,0)</f>
        <v>MDG</v>
      </c>
      <c r="C1022" s="11">
        <v>14344418</v>
      </c>
      <c r="D1022" s="16">
        <v>2017</v>
      </c>
      <c r="E1022" s="13">
        <v>1904</v>
      </c>
      <c r="F1022" s="8">
        <v>0.13273455918532212</v>
      </c>
    </row>
    <row r="1023" spans="1:6" x14ac:dyDescent="0.25">
      <c r="A1023" s="4" t="s">
        <v>95</v>
      </c>
      <c r="B1023" s="4" t="str">
        <f>VLOOKUP(A1023,Codes!$G$2:$H$217,2,0)</f>
        <v>MDG</v>
      </c>
      <c r="C1023" s="11">
        <v>14797535</v>
      </c>
      <c r="D1023" s="16">
        <v>2018</v>
      </c>
      <c r="E1023" s="13">
        <v>1881</v>
      </c>
      <c r="F1023" s="8">
        <v>0.12711576624079618</v>
      </c>
    </row>
    <row r="1024" spans="1:6" x14ac:dyDescent="0.25">
      <c r="A1024" s="3" t="s">
        <v>96</v>
      </c>
      <c r="B1024" s="4" t="str">
        <f>VLOOKUP(A1024,Codes!$G$2:$H$217,2,0)</f>
        <v>MWI</v>
      </c>
      <c r="C1024" s="11">
        <v>6584878</v>
      </c>
      <c r="D1024" s="12">
        <v>2006</v>
      </c>
      <c r="E1024" s="13">
        <v>420</v>
      </c>
      <c r="F1024" s="8">
        <v>6.3782502880083733E-2</v>
      </c>
    </row>
    <row r="1025" spans="1:6" x14ac:dyDescent="0.25">
      <c r="A1025" s="4" t="s">
        <v>96</v>
      </c>
      <c r="B1025" s="4" t="str">
        <f>VLOOKUP(A1025,Codes!$G$2:$H$217,2,0)</f>
        <v>MWI</v>
      </c>
      <c r="C1025" s="11">
        <v>6772099</v>
      </c>
      <c r="D1025" s="12">
        <v>2007</v>
      </c>
      <c r="E1025" s="13">
        <v>628</v>
      </c>
      <c r="F1025" s="8">
        <v>9.2733434641165166E-2</v>
      </c>
    </row>
    <row r="1026" spans="1:6" x14ac:dyDescent="0.25">
      <c r="A1026" s="4" t="s">
        <v>96</v>
      </c>
      <c r="B1026" s="4" t="str">
        <f>VLOOKUP(A1026,Codes!$G$2:$H$217,2,0)</f>
        <v>MWI</v>
      </c>
      <c r="C1026" s="11">
        <v>6970654</v>
      </c>
      <c r="D1026" s="12">
        <v>2008</v>
      </c>
      <c r="E1026" s="13">
        <v>797</v>
      </c>
      <c r="F1026" s="8">
        <v>0.11433647402381469</v>
      </c>
    </row>
    <row r="1027" spans="1:6" x14ac:dyDescent="0.25">
      <c r="A1027" s="4" t="s">
        <v>96</v>
      </c>
      <c r="B1027" s="4" t="str">
        <f>VLOOKUP(A1027,Codes!$G$2:$H$217,2,0)</f>
        <v>MWI</v>
      </c>
      <c r="C1027" s="11">
        <v>7184012</v>
      </c>
      <c r="D1027" s="12">
        <v>2009</v>
      </c>
      <c r="E1027" s="13">
        <v>619</v>
      </c>
      <c r="F1027" s="8">
        <v>8.6163553178920077E-2</v>
      </c>
    </row>
    <row r="1028" spans="1:6" x14ac:dyDescent="0.25">
      <c r="A1028" s="3" t="s">
        <v>97</v>
      </c>
      <c r="B1028" s="4" t="str">
        <f>VLOOKUP(A1028,Codes!$G$2:$H$217,2,0)</f>
        <v>MYS</v>
      </c>
      <c r="C1028" s="11">
        <v>17145977</v>
      </c>
      <c r="D1028" s="12">
        <v>2006</v>
      </c>
      <c r="E1028" s="13">
        <v>38293</v>
      </c>
      <c r="F1028" s="8">
        <v>2.2333518819020926</v>
      </c>
    </row>
    <row r="1029" spans="1:6" x14ac:dyDescent="0.25">
      <c r="A1029" s="4" t="s">
        <v>97</v>
      </c>
      <c r="B1029" s="4" t="str">
        <f>VLOOKUP(A1029,Codes!$G$2:$H$217,2,0)</f>
        <v>MYS</v>
      </c>
      <c r="C1029" s="11">
        <v>17573459</v>
      </c>
      <c r="D1029" s="12">
        <v>2007</v>
      </c>
      <c r="E1029" s="13">
        <v>43337</v>
      </c>
      <c r="F1029" s="8">
        <v>2.4660483744264576</v>
      </c>
    </row>
    <row r="1030" spans="1:6" x14ac:dyDescent="0.25">
      <c r="A1030" s="4" t="s">
        <v>97</v>
      </c>
      <c r="B1030" s="4" t="str">
        <f>VLOOKUP(A1030,Codes!$G$2:$H$217,2,0)</f>
        <v>MYS</v>
      </c>
      <c r="C1030" s="11">
        <v>18016934</v>
      </c>
      <c r="D1030" s="12">
        <v>2008</v>
      </c>
      <c r="E1030" s="13">
        <v>41623</v>
      </c>
      <c r="F1030" s="8">
        <v>2.3102154894944946</v>
      </c>
    </row>
    <row r="1031" spans="1:6" x14ac:dyDescent="0.25">
      <c r="A1031" s="4" t="s">
        <v>97</v>
      </c>
      <c r="B1031" s="4" t="str">
        <f>VLOOKUP(A1031,Codes!$G$2:$H$217,2,0)</f>
        <v>MYS</v>
      </c>
      <c r="C1031" s="11">
        <v>18472321</v>
      </c>
      <c r="D1031" s="12">
        <v>2009</v>
      </c>
      <c r="E1031" s="13">
        <v>41638</v>
      </c>
      <c r="F1031" s="8">
        <v>2.2540751646747585</v>
      </c>
    </row>
    <row r="1032" spans="1:6" x14ac:dyDescent="0.25">
      <c r="A1032" s="4" t="s">
        <v>97</v>
      </c>
      <c r="B1032" s="4" t="str">
        <f>VLOOKUP(A1032,Codes!$G$2:$H$217,2,0)</f>
        <v>MYS</v>
      </c>
      <c r="C1032" s="11">
        <v>18927789</v>
      </c>
      <c r="D1032" s="12">
        <v>2010</v>
      </c>
      <c r="E1032" s="13">
        <v>44202</v>
      </c>
      <c r="F1032" s="8">
        <v>2.3352965314649268</v>
      </c>
    </row>
    <row r="1033" spans="1:6" x14ac:dyDescent="0.25">
      <c r="A1033" s="4" t="s">
        <v>97</v>
      </c>
      <c r="B1033" s="4" t="str">
        <f>VLOOKUP(A1033,Codes!$G$2:$H$217,2,0)</f>
        <v>MYS</v>
      </c>
      <c r="C1033" s="11">
        <v>19364284</v>
      </c>
      <c r="D1033" s="12">
        <v>2011</v>
      </c>
      <c r="E1033" s="13">
        <v>45455</v>
      </c>
      <c r="F1033" s="8">
        <v>2.3473628046355861</v>
      </c>
    </row>
    <row r="1034" spans="1:6" x14ac:dyDescent="0.25">
      <c r="A1034" s="4" t="s">
        <v>97</v>
      </c>
      <c r="B1034" s="4" t="str">
        <f>VLOOKUP(A1034,Codes!$G$2:$H$217,2,0)</f>
        <v>MYS</v>
      </c>
      <c r="C1034" s="11">
        <v>19763743</v>
      </c>
      <c r="D1034" s="12">
        <v>2012</v>
      </c>
      <c r="E1034" s="13">
        <v>45441</v>
      </c>
      <c r="F1034" s="8">
        <v>2.2992102255124447</v>
      </c>
    </row>
    <row r="1035" spans="1:6" x14ac:dyDescent="0.25">
      <c r="A1035" s="4" t="s">
        <v>97</v>
      </c>
      <c r="B1035" s="4" t="str">
        <f>VLOOKUP(A1035,Codes!$G$2:$H$217,2,0)</f>
        <v>MYS</v>
      </c>
      <c r="C1035" s="11">
        <v>20139068</v>
      </c>
      <c r="D1035" s="12">
        <v>2013</v>
      </c>
      <c r="E1035" s="13">
        <v>46321</v>
      </c>
      <c r="F1035" s="8">
        <v>2.300056785150137</v>
      </c>
    </row>
    <row r="1036" spans="1:6" x14ac:dyDescent="0.25">
      <c r="A1036" s="4" t="s">
        <v>97</v>
      </c>
      <c r="B1036" s="4" t="str">
        <f>VLOOKUP(A1036,Codes!$G$2:$H$217,2,0)</f>
        <v>MYS</v>
      </c>
      <c r="C1036" s="11">
        <v>20504718</v>
      </c>
      <c r="D1036" s="16">
        <v>2014</v>
      </c>
      <c r="E1036" s="13">
        <v>49203</v>
      </c>
      <c r="F1036" s="8">
        <v>2.3995940836640619</v>
      </c>
    </row>
    <row r="1037" spans="1:6" x14ac:dyDescent="0.25">
      <c r="A1037" s="4" t="s">
        <v>97</v>
      </c>
      <c r="B1037" s="4" t="str">
        <f>VLOOKUP(A1037,Codes!$G$2:$H$217,2,0)</f>
        <v>MYS</v>
      </c>
      <c r="C1037" s="11">
        <v>20867238</v>
      </c>
      <c r="D1037" s="16">
        <v>2015</v>
      </c>
      <c r="E1037" s="13">
        <v>49510</v>
      </c>
      <c r="F1037" s="8">
        <v>2.3726187433142805</v>
      </c>
    </row>
    <row r="1038" spans="1:6" x14ac:dyDescent="0.25">
      <c r="A1038" s="4" t="s">
        <v>97</v>
      </c>
      <c r="B1038" s="4" t="str">
        <f>VLOOKUP(A1038,Codes!$G$2:$H$217,2,0)</f>
        <v>MYS</v>
      </c>
      <c r="C1038" s="11">
        <v>21197148</v>
      </c>
      <c r="D1038" s="16">
        <v>2016</v>
      </c>
      <c r="E1038" s="13">
        <v>46555</v>
      </c>
      <c r="F1038" s="8">
        <v>2.1962860286676302</v>
      </c>
    </row>
    <row r="1039" spans="1:6" x14ac:dyDescent="0.25">
      <c r="A1039" s="4" t="s">
        <v>97</v>
      </c>
      <c r="B1039" s="4" t="str">
        <f>VLOOKUP(A1039,Codes!$G$2:$H$217,2,0)</f>
        <v>MYS</v>
      </c>
      <c r="C1039" s="11">
        <v>21531344</v>
      </c>
      <c r="D1039" s="16">
        <v>2017</v>
      </c>
      <c r="E1039" s="13">
        <v>52085</v>
      </c>
      <c r="F1039" s="8">
        <v>2.419031529104732</v>
      </c>
    </row>
    <row r="1040" spans="1:6" x14ac:dyDescent="0.25">
      <c r="A1040" s="4" t="s">
        <v>97</v>
      </c>
      <c r="B1040" s="4" t="str">
        <f>VLOOKUP(A1040,Codes!$G$2:$H$217,2,0)</f>
        <v>MYS</v>
      </c>
      <c r="C1040" s="11">
        <v>21859364</v>
      </c>
      <c r="D1040" s="16">
        <v>2018</v>
      </c>
      <c r="E1040" s="13">
        <v>51722</v>
      </c>
      <c r="F1040" s="8">
        <v>2.3661255652268749</v>
      </c>
    </row>
    <row r="1041" spans="1:6" x14ac:dyDescent="0.25">
      <c r="A1041" s="4" t="s">
        <v>97</v>
      </c>
      <c r="B1041" s="4" t="str">
        <f>VLOOKUP(A1041,Codes!$G$2:$H$217,2,0)</f>
        <v>MYS</v>
      </c>
      <c r="C1041" s="11">
        <v>22168121</v>
      </c>
      <c r="D1041" s="16">
        <v>2019</v>
      </c>
      <c r="E1041" s="13">
        <v>50932</v>
      </c>
      <c r="F1041" s="8">
        <v>2.2975334716009534</v>
      </c>
    </row>
    <row r="1042" spans="1:6" x14ac:dyDescent="0.25">
      <c r="A1042" s="4" t="s">
        <v>97</v>
      </c>
      <c r="B1042" s="4" t="str">
        <f>VLOOKUP(A1042,Codes!$G$2:$H$217,2,0)</f>
        <v>MYS</v>
      </c>
      <c r="C1042" s="11">
        <v>22451709</v>
      </c>
      <c r="D1042" s="16">
        <v>2020</v>
      </c>
      <c r="E1042" s="13">
        <v>47834</v>
      </c>
      <c r="F1042" s="8">
        <v>2.1305282372936509</v>
      </c>
    </row>
    <row r="1043" spans="1:6" x14ac:dyDescent="0.25">
      <c r="A1043" s="3" t="s">
        <v>98</v>
      </c>
      <c r="B1043" s="4" t="str">
        <f>VLOOKUP(A1043,Codes!$G$2:$H$217,2,0)</f>
        <v>MDV</v>
      </c>
      <c r="C1043" s="11">
        <v>214781</v>
      </c>
      <c r="D1043" s="12">
        <v>2006</v>
      </c>
      <c r="E1043" s="13">
        <v>910</v>
      </c>
      <c r="F1043" s="8">
        <v>4.2368738389336116</v>
      </c>
    </row>
    <row r="1044" spans="1:6" x14ac:dyDescent="0.25">
      <c r="A1044" s="4" t="s">
        <v>98</v>
      </c>
      <c r="B1044" s="4" t="str">
        <f>VLOOKUP(A1044,Codes!$G$2:$H$217,2,0)</f>
        <v>MDV</v>
      </c>
      <c r="C1044" s="11">
        <v>224346</v>
      </c>
      <c r="D1044" s="12">
        <v>2007</v>
      </c>
      <c r="E1044" s="13">
        <v>1014</v>
      </c>
      <c r="F1044" s="8">
        <v>4.5198042309646711</v>
      </c>
    </row>
    <row r="1045" spans="1:6" x14ac:dyDescent="0.25">
      <c r="A1045" s="4" t="s">
        <v>98</v>
      </c>
      <c r="B1045" s="4" t="str">
        <f>VLOOKUP(A1045,Codes!$G$2:$H$217,2,0)</f>
        <v>MDV</v>
      </c>
      <c r="C1045" s="11">
        <v>234026</v>
      </c>
      <c r="D1045" s="12">
        <v>2008</v>
      </c>
      <c r="E1045" s="13">
        <v>1068</v>
      </c>
      <c r="F1045" s="8">
        <v>4.5635954979361264</v>
      </c>
    </row>
    <row r="1046" spans="1:6" x14ac:dyDescent="0.25">
      <c r="A1046" s="4" t="s">
        <v>98</v>
      </c>
      <c r="B1046" s="4" t="str">
        <f>VLOOKUP(A1046,Codes!$G$2:$H$217,2,0)</f>
        <v>MDV</v>
      </c>
      <c r="C1046" s="11">
        <v>244585</v>
      </c>
      <c r="D1046" s="12">
        <v>2009</v>
      </c>
      <c r="E1046" s="13">
        <v>878</v>
      </c>
      <c r="F1046" s="8">
        <v>3.5897540732260769</v>
      </c>
    </row>
    <row r="1047" spans="1:6" x14ac:dyDescent="0.25">
      <c r="A1047" s="4" t="s">
        <v>98</v>
      </c>
      <c r="B1047" s="4" t="str">
        <f>VLOOKUP(A1047,Codes!$G$2:$H$217,2,0)</f>
        <v>MDV</v>
      </c>
      <c r="C1047" s="11">
        <v>256571</v>
      </c>
      <c r="D1047" s="12">
        <v>2010</v>
      </c>
      <c r="E1047" s="13">
        <v>746</v>
      </c>
      <c r="F1047" s="8">
        <v>2.9075772398283517</v>
      </c>
    </row>
    <row r="1048" spans="1:6" x14ac:dyDescent="0.25">
      <c r="A1048" s="4" t="s">
        <v>98</v>
      </c>
      <c r="B1048" s="4" t="str">
        <f>VLOOKUP(A1048,Codes!$G$2:$H$217,2,0)</f>
        <v>MDV</v>
      </c>
      <c r="C1048" s="11">
        <v>271295</v>
      </c>
      <c r="D1048" s="12">
        <v>2011</v>
      </c>
      <c r="E1048" s="13">
        <v>818</v>
      </c>
      <c r="F1048" s="8">
        <v>3.0151679905637772</v>
      </c>
    </row>
    <row r="1049" spans="1:6" x14ac:dyDescent="0.25">
      <c r="A1049" s="4" t="s">
        <v>98</v>
      </c>
      <c r="B1049" s="4" t="str">
        <f>VLOOKUP(A1049,Codes!$G$2:$H$217,2,0)</f>
        <v>MDV</v>
      </c>
      <c r="C1049" s="11">
        <v>287632</v>
      </c>
      <c r="D1049" s="12">
        <v>2012</v>
      </c>
      <c r="E1049" s="13">
        <v>763</v>
      </c>
      <c r="F1049" s="8">
        <v>2.6526951104188687</v>
      </c>
    </row>
    <row r="1050" spans="1:6" x14ac:dyDescent="0.25">
      <c r="A1050" s="4" t="s">
        <v>98</v>
      </c>
      <c r="B1050" s="4" t="str">
        <f>VLOOKUP(A1050,Codes!$G$2:$H$217,2,0)</f>
        <v>MDV</v>
      </c>
      <c r="C1050" s="11">
        <v>305023</v>
      </c>
      <c r="D1050" s="12">
        <v>2013</v>
      </c>
      <c r="E1050" s="13">
        <v>721</v>
      </c>
      <c r="F1050" s="8">
        <v>2.363756175763795</v>
      </c>
    </row>
    <row r="1051" spans="1:6" x14ac:dyDescent="0.25">
      <c r="A1051" s="4" t="s">
        <v>98</v>
      </c>
      <c r="B1051" s="4" t="str">
        <f>VLOOKUP(A1051,Codes!$G$2:$H$217,2,0)</f>
        <v>MDV</v>
      </c>
      <c r="C1051" s="11">
        <v>322806</v>
      </c>
      <c r="D1051" s="16">
        <v>2014</v>
      </c>
      <c r="E1051" s="13">
        <v>1063</v>
      </c>
      <c r="F1051" s="8">
        <v>3.2929995105419354</v>
      </c>
    </row>
    <row r="1052" spans="1:6" x14ac:dyDescent="0.25">
      <c r="A1052" s="4" t="s">
        <v>98</v>
      </c>
      <c r="B1052" s="4" t="str">
        <f>VLOOKUP(A1052,Codes!$G$2:$H$217,2,0)</f>
        <v>MDV</v>
      </c>
      <c r="C1052" s="11">
        <v>340473</v>
      </c>
      <c r="D1052" s="16">
        <v>2015</v>
      </c>
      <c r="E1052" s="13">
        <v>1184</v>
      </c>
      <c r="F1052" s="8">
        <v>3.4775151039876877</v>
      </c>
    </row>
    <row r="1053" spans="1:6" x14ac:dyDescent="0.25">
      <c r="A1053" s="4" t="s">
        <v>98</v>
      </c>
      <c r="B1053" s="4" t="str">
        <f>VLOOKUP(A1053,Codes!$G$2:$H$217,2,0)</f>
        <v>MDV</v>
      </c>
      <c r="C1053" s="11">
        <v>358509</v>
      </c>
      <c r="D1053" s="16">
        <v>2016</v>
      </c>
      <c r="E1053" s="13">
        <v>1247</v>
      </c>
      <c r="F1053" s="8">
        <v>3.478294826629178</v>
      </c>
    </row>
    <row r="1054" spans="1:6" x14ac:dyDescent="0.25">
      <c r="A1054" s="4" t="s">
        <v>98</v>
      </c>
      <c r="B1054" s="4" t="str">
        <f>VLOOKUP(A1054,Codes!$G$2:$H$217,2,0)</f>
        <v>MDV</v>
      </c>
      <c r="C1054" s="11">
        <v>376402</v>
      </c>
      <c r="D1054" s="16">
        <v>2017</v>
      </c>
      <c r="E1054" s="13">
        <v>1260</v>
      </c>
      <c r="F1054" s="8">
        <v>3.3474848698997346</v>
      </c>
    </row>
    <row r="1055" spans="1:6" x14ac:dyDescent="0.25">
      <c r="A1055" s="4" t="s">
        <v>98</v>
      </c>
      <c r="B1055" s="4" t="str">
        <f>VLOOKUP(A1055,Codes!$G$2:$H$217,2,0)</f>
        <v>MDV</v>
      </c>
      <c r="C1055" s="11">
        <v>392702</v>
      </c>
      <c r="D1055" s="16">
        <v>2018</v>
      </c>
      <c r="E1055" s="13">
        <v>1090</v>
      </c>
      <c r="F1055" s="8">
        <v>2.7756415806387542</v>
      </c>
    </row>
    <row r="1056" spans="1:6" x14ac:dyDescent="0.25">
      <c r="A1056" s="4" t="s">
        <v>98</v>
      </c>
      <c r="B1056" s="4" t="str">
        <f>VLOOKUP(A1056,Codes!$G$2:$H$217,2,0)</f>
        <v>MDV</v>
      </c>
      <c r="C1056" s="11">
        <v>405913</v>
      </c>
      <c r="D1056" s="16">
        <v>2019</v>
      </c>
      <c r="E1056" s="13">
        <v>1280</v>
      </c>
      <c r="F1056" s="8">
        <v>3.1533850849812644</v>
      </c>
    </row>
    <row r="1057" spans="1:6" x14ac:dyDescent="0.25">
      <c r="A1057" s="4" t="s">
        <v>98</v>
      </c>
      <c r="B1057" s="4" t="str">
        <f>VLOOKUP(A1057,Codes!$G$2:$H$217,2,0)</f>
        <v>MDV</v>
      </c>
      <c r="C1057" s="11">
        <v>415173</v>
      </c>
      <c r="D1057" s="16">
        <v>2020</v>
      </c>
      <c r="E1057" s="13">
        <v>1153</v>
      </c>
      <c r="F1057" s="8">
        <v>2.7771555472056226</v>
      </c>
    </row>
    <row r="1058" spans="1:6" x14ac:dyDescent="0.25">
      <c r="A1058" s="3" t="s">
        <v>99</v>
      </c>
      <c r="B1058" s="4" t="str">
        <f>VLOOKUP(A1058,Codes!$G$2:$H$217,2,0)</f>
        <v>MLI</v>
      </c>
      <c r="C1058" s="11">
        <v>7255860</v>
      </c>
      <c r="D1058" s="12">
        <v>2009</v>
      </c>
      <c r="E1058" s="13">
        <v>312</v>
      </c>
      <c r="F1058" s="8">
        <v>4.2999727117116374E-2</v>
      </c>
    </row>
    <row r="1059" spans="1:6" x14ac:dyDescent="0.25">
      <c r="A1059" s="4" t="s">
        <v>99</v>
      </c>
      <c r="B1059" s="4" t="str">
        <f>VLOOKUP(A1059,Codes!$G$2:$H$217,2,0)</f>
        <v>MLI</v>
      </c>
      <c r="C1059" s="11">
        <v>7489609</v>
      </c>
      <c r="D1059" s="12">
        <v>2010</v>
      </c>
      <c r="E1059" s="13">
        <v>864</v>
      </c>
      <c r="F1059" s="8">
        <v>0.11535982719525144</v>
      </c>
    </row>
    <row r="1060" spans="1:6" x14ac:dyDescent="0.25">
      <c r="A1060" s="4" t="s">
        <v>99</v>
      </c>
      <c r="B1060" s="4" t="str">
        <f>VLOOKUP(A1060,Codes!$G$2:$H$217,2,0)</f>
        <v>MLI</v>
      </c>
      <c r="C1060" s="11">
        <v>7690768</v>
      </c>
      <c r="D1060" s="12">
        <v>2011</v>
      </c>
      <c r="E1060" s="13">
        <v>532</v>
      </c>
      <c r="F1060" s="8">
        <v>6.9173845836982731E-2</v>
      </c>
    </row>
    <row r="1061" spans="1:6" x14ac:dyDescent="0.25">
      <c r="A1061" s="4" t="s">
        <v>99</v>
      </c>
      <c r="B1061" s="4" t="str">
        <f>VLOOKUP(A1061,Codes!$G$2:$H$217,2,0)</f>
        <v>MLI</v>
      </c>
      <c r="C1061" s="11">
        <v>7904700</v>
      </c>
      <c r="D1061" s="12">
        <v>2012</v>
      </c>
      <c r="E1061" s="13">
        <v>1501</v>
      </c>
      <c r="F1061" s="8">
        <v>0.18988702923577114</v>
      </c>
    </row>
    <row r="1062" spans="1:6" x14ac:dyDescent="0.25">
      <c r="A1062" s="4" t="s">
        <v>99</v>
      </c>
      <c r="B1062" s="4" t="str">
        <f>VLOOKUP(A1062,Codes!$G$2:$H$217,2,0)</f>
        <v>MLI</v>
      </c>
      <c r="C1062" s="11">
        <v>8132356</v>
      </c>
      <c r="D1062" s="12">
        <v>2013</v>
      </c>
      <c r="E1062" s="13">
        <v>1772</v>
      </c>
      <c r="F1062" s="8">
        <v>0.21789503558378409</v>
      </c>
    </row>
    <row r="1063" spans="1:6" x14ac:dyDescent="0.25">
      <c r="A1063" s="4" t="s">
        <v>99</v>
      </c>
      <c r="B1063" s="4" t="str">
        <f>VLOOKUP(A1063,Codes!$G$2:$H$217,2,0)</f>
        <v>MLI</v>
      </c>
      <c r="C1063" s="11">
        <v>8375334</v>
      </c>
      <c r="D1063" s="16">
        <v>2014</v>
      </c>
      <c r="E1063" s="13">
        <v>1709</v>
      </c>
      <c r="F1063" s="8">
        <v>0.20405156379435135</v>
      </c>
    </row>
    <row r="1064" spans="1:6" x14ac:dyDescent="0.25">
      <c r="A1064" s="4" t="s">
        <v>99</v>
      </c>
      <c r="B1064" s="4" t="str">
        <f>VLOOKUP(A1064,Codes!$G$2:$H$217,2,0)</f>
        <v>MLI</v>
      </c>
      <c r="C1064" s="11">
        <v>8635850</v>
      </c>
      <c r="D1064" s="16">
        <v>2015</v>
      </c>
      <c r="E1064" s="13">
        <v>1558</v>
      </c>
      <c r="F1064" s="8">
        <v>0.1804107296907658</v>
      </c>
    </row>
    <row r="1065" spans="1:6" x14ac:dyDescent="0.25">
      <c r="A1065" s="4" t="s">
        <v>99</v>
      </c>
      <c r="B1065" s="4" t="str">
        <f>VLOOKUP(A1065,Codes!$G$2:$H$217,2,0)</f>
        <v>MLI</v>
      </c>
      <c r="C1065" s="11">
        <v>8915098</v>
      </c>
      <c r="D1065" s="16">
        <v>2016</v>
      </c>
      <c r="E1065" s="13">
        <v>2382</v>
      </c>
      <c r="F1065" s="8">
        <v>0.26718719188504714</v>
      </c>
    </row>
    <row r="1066" spans="1:6" x14ac:dyDescent="0.25">
      <c r="A1066" s="4" t="s">
        <v>99</v>
      </c>
      <c r="B1066" s="4" t="str">
        <f>VLOOKUP(A1066,Codes!$G$2:$H$217,2,0)</f>
        <v>MLI</v>
      </c>
      <c r="C1066" s="11">
        <v>9212205</v>
      </c>
      <c r="D1066" s="16">
        <v>2017</v>
      </c>
      <c r="E1066" s="13">
        <v>1330</v>
      </c>
      <c r="F1066" s="8">
        <v>0.14437368686432836</v>
      </c>
    </row>
    <row r="1067" spans="1:6" x14ac:dyDescent="0.25">
      <c r="A1067" s="4" t="s">
        <v>99</v>
      </c>
      <c r="B1067" s="4" t="str">
        <f>VLOOKUP(A1067,Codes!$G$2:$H$217,2,0)</f>
        <v>MLI</v>
      </c>
      <c r="C1067" s="11">
        <v>9529202</v>
      </c>
      <c r="D1067" s="16">
        <v>2018</v>
      </c>
      <c r="E1067" s="13">
        <v>3151</v>
      </c>
      <c r="F1067" s="8">
        <v>0.33066777260047586</v>
      </c>
    </row>
    <row r="1068" spans="1:6" x14ac:dyDescent="0.25">
      <c r="A1068" s="4" t="s">
        <v>99</v>
      </c>
      <c r="B1068" s="4" t="str">
        <f>VLOOKUP(A1068,Codes!$G$2:$H$217,2,0)</f>
        <v>MLI</v>
      </c>
      <c r="C1068" s="11">
        <v>9868362</v>
      </c>
      <c r="D1068" s="16">
        <v>2019</v>
      </c>
      <c r="E1068" s="13">
        <v>4033</v>
      </c>
      <c r="F1068" s="8">
        <v>0.40867977887313012</v>
      </c>
    </row>
    <row r="1069" spans="1:6" x14ac:dyDescent="0.25">
      <c r="A1069" s="4" t="s">
        <v>99</v>
      </c>
      <c r="B1069" s="4" t="str">
        <f>VLOOKUP(A1069,Codes!$G$2:$H$217,2,0)</f>
        <v>MLI</v>
      </c>
      <c r="C1069" s="11">
        <v>10229820</v>
      </c>
      <c r="D1069" s="16">
        <v>2020</v>
      </c>
      <c r="E1069" s="13">
        <v>2741</v>
      </c>
      <c r="F1069" s="8">
        <v>0.2679421534298746</v>
      </c>
    </row>
    <row r="1070" spans="1:6" x14ac:dyDescent="0.25">
      <c r="A1070" s="3" t="s">
        <v>100</v>
      </c>
      <c r="B1070" s="4" t="str">
        <f>VLOOKUP(A1070,Codes!$G$2:$H$217,2,0)</f>
        <v>MLT</v>
      </c>
      <c r="C1070" s="11">
        <v>280404</v>
      </c>
      <c r="D1070" s="12">
        <v>2006</v>
      </c>
      <c r="E1070" s="13">
        <v>2830</v>
      </c>
      <c r="F1070" s="8">
        <v>10.09258070498281</v>
      </c>
    </row>
    <row r="1071" spans="1:6" x14ac:dyDescent="0.25">
      <c r="A1071" s="4" t="s">
        <v>100</v>
      </c>
      <c r="B1071" s="4" t="str">
        <f>VLOOKUP(A1071,Codes!$G$2:$H$217,2,0)</f>
        <v>MLT</v>
      </c>
      <c r="C1071" s="11">
        <v>282419</v>
      </c>
      <c r="D1071" s="12">
        <v>2007</v>
      </c>
      <c r="E1071" s="13">
        <v>2663</v>
      </c>
      <c r="F1071" s="8">
        <v>9.4292522811850485</v>
      </c>
    </row>
    <row r="1072" spans="1:6" x14ac:dyDescent="0.25">
      <c r="A1072" s="4" t="s">
        <v>100</v>
      </c>
      <c r="B1072" s="4" t="str">
        <f>VLOOKUP(A1072,Codes!$G$2:$H$217,2,0)</f>
        <v>MLT</v>
      </c>
      <c r="C1072" s="11">
        <v>284800</v>
      </c>
      <c r="D1072" s="12">
        <v>2008</v>
      </c>
      <c r="E1072" s="13">
        <v>2740</v>
      </c>
      <c r="F1072" s="8">
        <v>9.6207865168539328</v>
      </c>
    </row>
    <row r="1073" spans="1:6" x14ac:dyDescent="0.25">
      <c r="A1073" s="4" t="s">
        <v>100</v>
      </c>
      <c r="B1073" s="4" t="str">
        <f>VLOOKUP(A1073,Codes!$G$2:$H$217,2,0)</f>
        <v>MLT</v>
      </c>
      <c r="C1073" s="11">
        <v>286804</v>
      </c>
      <c r="D1073" s="12">
        <v>2009</v>
      </c>
      <c r="E1073" s="13">
        <v>2582</v>
      </c>
      <c r="F1073" s="8">
        <v>9.0026638401138062</v>
      </c>
    </row>
    <row r="1074" spans="1:6" x14ac:dyDescent="0.25">
      <c r="A1074" s="4" t="s">
        <v>100</v>
      </c>
      <c r="B1074" s="4" t="str">
        <f>VLOOKUP(A1074,Codes!$G$2:$H$217,2,0)</f>
        <v>MLT</v>
      </c>
      <c r="C1074" s="11">
        <v>287325</v>
      </c>
      <c r="D1074" s="12">
        <v>2010</v>
      </c>
      <c r="E1074" s="13">
        <v>3005</v>
      </c>
      <c r="F1074" s="8">
        <v>10.458539980857914</v>
      </c>
    </row>
    <row r="1075" spans="1:6" x14ac:dyDescent="0.25">
      <c r="A1075" s="4" t="s">
        <v>100</v>
      </c>
      <c r="B1075" s="4" t="str">
        <f>VLOOKUP(A1075,Codes!$G$2:$H$217,2,0)</f>
        <v>MLT</v>
      </c>
      <c r="C1075" s="11">
        <v>287186</v>
      </c>
      <c r="D1075" s="12">
        <v>2011</v>
      </c>
      <c r="E1075" s="13">
        <v>3325</v>
      </c>
      <c r="F1075" s="8">
        <v>11.577862430619877</v>
      </c>
    </row>
    <row r="1076" spans="1:6" x14ac:dyDescent="0.25">
      <c r="A1076" s="4" t="s">
        <v>100</v>
      </c>
      <c r="B1076" s="4" t="str">
        <f>VLOOKUP(A1076,Codes!$G$2:$H$217,2,0)</f>
        <v>MLT</v>
      </c>
      <c r="C1076" s="11">
        <v>288023</v>
      </c>
      <c r="D1076" s="12">
        <v>2012</v>
      </c>
      <c r="E1076" s="13">
        <v>3936</v>
      </c>
      <c r="F1076" s="8">
        <v>13.665575318637748</v>
      </c>
    </row>
    <row r="1077" spans="1:6" x14ac:dyDescent="0.25">
      <c r="A1077" s="4" t="s">
        <v>100</v>
      </c>
      <c r="B1077" s="4" t="str">
        <f>VLOOKUP(A1077,Codes!$G$2:$H$217,2,0)</f>
        <v>MLT</v>
      </c>
      <c r="C1077" s="11">
        <v>289937</v>
      </c>
      <c r="D1077" s="12">
        <v>2013</v>
      </c>
      <c r="E1077" s="13">
        <v>4477</v>
      </c>
      <c r="F1077" s="8">
        <v>15.441285520647588</v>
      </c>
    </row>
    <row r="1078" spans="1:6" x14ac:dyDescent="0.25">
      <c r="A1078" s="4" t="s">
        <v>100</v>
      </c>
      <c r="B1078" s="4" t="str">
        <f>VLOOKUP(A1078,Codes!$G$2:$H$217,2,0)</f>
        <v>MLT</v>
      </c>
      <c r="C1078" s="11">
        <v>293398</v>
      </c>
      <c r="D1078" s="16">
        <v>2014</v>
      </c>
      <c r="E1078" s="13">
        <v>5014</v>
      </c>
      <c r="F1078" s="8">
        <v>17.089414379102788</v>
      </c>
    </row>
    <row r="1079" spans="1:6" x14ac:dyDescent="0.25">
      <c r="A1079" s="4" t="s">
        <v>100</v>
      </c>
      <c r="B1079" s="4" t="str">
        <f>VLOOKUP(A1079,Codes!$G$2:$H$217,2,0)</f>
        <v>MLT</v>
      </c>
      <c r="C1079" s="11">
        <v>298101</v>
      </c>
      <c r="D1079" s="16">
        <v>2015</v>
      </c>
      <c r="E1079" s="13">
        <v>5372</v>
      </c>
      <c r="F1079" s="8">
        <v>18.020737937813024</v>
      </c>
    </row>
    <row r="1080" spans="1:6" x14ac:dyDescent="0.25">
      <c r="A1080" s="4" t="s">
        <v>100</v>
      </c>
      <c r="B1080" s="4" t="str">
        <f>VLOOKUP(A1080,Codes!$G$2:$H$217,2,0)</f>
        <v>MLT</v>
      </c>
      <c r="C1080" s="11">
        <v>302415</v>
      </c>
      <c r="D1080" s="16">
        <v>2016</v>
      </c>
      <c r="E1080" s="13">
        <v>5125</v>
      </c>
      <c r="F1080" s="8">
        <v>16.946910702180777</v>
      </c>
    </row>
    <row r="1081" spans="1:6" x14ac:dyDescent="0.25">
      <c r="A1081" s="4" t="s">
        <v>100</v>
      </c>
      <c r="B1081" s="4" t="str">
        <f>VLOOKUP(A1081,Codes!$G$2:$H$217,2,0)</f>
        <v>MLT</v>
      </c>
      <c r="C1081" s="11">
        <v>308331</v>
      </c>
      <c r="D1081" s="16">
        <v>2017</v>
      </c>
      <c r="E1081" s="13">
        <v>5276</v>
      </c>
      <c r="F1081" s="8">
        <v>17.111480843638816</v>
      </c>
    </row>
    <row r="1082" spans="1:6" x14ac:dyDescent="0.25">
      <c r="A1082" s="4" t="s">
        <v>100</v>
      </c>
      <c r="B1082" s="4" t="str">
        <f>VLOOKUP(A1082,Codes!$G$2:$H$217,2,0)</f>
        <v>MLT</v>
      </c>
      <c r="C1082" s="11">
        <v>316821</v>
      </c>
      <c r="D1082" s="16">
        <v>2018</v>
      </c>
      <c r="E1082" s="13">
        <v>5527</v>
      </c>
      <c r="F1082" s="8">
        <v>17.445181979729877</v>
      </c>
    </row>
    <row r="1083" spans="1:6" x14ac:dyDescent="0.25">
      <c r="A1083" s="4" t="s">
        <v>100</v>
      </c>
      <c r="B1083" s="4" t="str">
        <f>VLOOKUP(A1083,Codes!$G$2:$H$217,2,0)</f>
        <v>MLT</v>
      </c>
      <c r="C1083" s="11">
        <v>326905</v>
      </c>
      <c r="D1083" s="16">
        <v>2019</v>
      </c>
      <c r="E1083" s="13">
        <v>4172</v>
      </c>
      <c r="F1083" s="8">
        <v>12.762117434728744</v>
      </c>
    </row>
    <row r="1084" spans="1:6" x14ac:dyDescent="0.25">
      <c r="A1084" s="4" t="s">
        <v>100</v>
      </c>
      <c r="B1084" s="4" t="str">
        <f>VLOOKUP(A1084,Codes!$G$2:$H$217,2,0)</f>
        <v>MLT</v>
      </c>
      <c r="C1084" s="11">
        <v>337770</v>
      </c>
      <c r="D1084" s="16">
        <v>2020</v>
      </c>
      <c r="E1084" s="13">
        <v>3396</v>
      </c>
      <c r="F1084" s="8">
        <v>10.054178879118927</v>
      </c>
    </row>
    <row r="1085" spans="1:6" x14ac:dyDescent="0.25">
      <c r="A1085" s="3" t="s">
        <v>101</v>
      </c>
      <c r="B1085" s="4" t="str">
        <f>VLOOKUP(A1085,Codes!$G$2:$H$217,2,0)</f>
        <v>MRT</v>
      </c>
      <c r="C1085" s="11">
        <v>2351039</v>
      </c>
      <c r="D1085" s="16">
        <v>2016</v>
      </c>
      <c r="E1085" s="13">
        <v>994</v>
      </c>
      <c r="F1085" s="8">
        <v>0.42279179545724249</v>
      </c>
    </row>
    <row r="1086" spans="1:6" x14ac:dyDescent="0.25">
      <c r="A1086" s="4" t="s">
        <v>101</v>
      </c>
      <c r="B1086" s="4" t="str">
        <f>VLOOKUP(A1086,Codes!$G$2:$H$217,2,0)</f>
        <v>MRT</v>
      </c>
      <c r="C1086" s="11">
        <v>2424230</v>
      </c>
      <c r="D1086" s="16">
        <v>2017</v>
      </c>
      <c r="E1086" s="13">
        <v>1122</v>
      </c>
      <c r="F1086" s="8">
        <v>0.4628273719902814</v>
      </c>
    </row>
    <row r="1087" spans="1:6" x14ac:dyDescent="0.25">
      <c r="A1087" s="4" t="s">
        <v>101</v>
      </c>
      <c r="B1087" s="4" t="str">
        <f>VLOOKUP(A1087,Codes!$G$2:$H$217,2,0)</f>
        <v>MRT</v>
      </c>
      <c r="C1087" s="11">
        <v>2500011</v>
      </c>
      <c r="D1087" s="16">
        <v>2018</v>
      </c>
      <c r="E1087" s="13">
        <v>959</v>
      </c>
      <c r="F1087" s="8">
        <v>0.38359831216742646</v>
      </c>
    </row>
    <row r="1088" spans="1:6" x14ac:dyDescent="0.25">
      <c r="A1088" s="3" t="s">
        <v>102</v>
      </c>
      <c r="B1088" s="4" t="str">
        <f>VLOOKUP(A1088,Codes!$G$2:$H$217,2,0)</f>
        <v>MUS</v>
      </c>
      <c r="C1088" s="11">
        <v>850041</v>
      </c>
      <c r="D1088" s="12">
        <v>2006</v>
      </c>
      <c r="E1088" s="13">
        <v>7435</v>
      </c>
      <c r="F1088" s="8">
        <v>8.7466369269247011</v>
      </c>
    </row>
    <row r="1089" spans="1:6" x14ac:dyDescent="0.25">
      <c r="A1089" s="4" t="s">
        <v>102</v>
      </c>
      <c r="B1089" s="4" t="str">
        <f>VLOOKUP(A1089,Codes!$G$2:$H$217,2,0)</f>
        <v>MUS</v>
      </c>
      <c r="C1089" s="11">
        <v>858837</v>
      </c>
      <c r="D1089" s="12">
        <v>2007</v>
      </c>
      <c r="E1089" s="13">
        <v>8888</v>
      </c>
      <c r="F1089" s="8">
        <v>10.348878774435661</v>
      </c>
    </row>
    <row r="1090" spans="1:6" x14ac:dyDescent="0.25">
      <c r="A1090" s="4" t="s">
        <v>102</v>
      </c>
      <c r="B1090" s="4" t="str">
        <f>VLOOKUP(A1090,Codes!$G$2:$H$217,2,0)</f>
        <v>MUS</v>
      </c>
      <c r="C1090" s="11">
        <v>867995</v>
      </c>
      <c r="D1090" s="12">
        <v>2008</v>
      </c>
      <c r="E1090" s="13">
        <v>9012</v>
      </c>
      <c r="F1090" s="8">
        <v>10.38254828656847</v>
      </c>
    </row>
    <row r="1091" spans="1:6" x14ac:dyDescent="0.25">
      <c r="A1091" s="4" t="s">
        <v>102</v>
      </c>
      <c r="B1091" s="4" t="str">
        <f>VLOOKUP(A1091,Codes!$G$2:$H$217,2,0)</f>
        <v>MUS</v>
      </c>
      <c r="C1091" s="11">
        <v>875401</v>
      </c>
      <c r="D1091" s="12">
        <v>2009</v>
      </c>
      <c r="E1091" s="13">
        <v>6631</v>
      </c>
      <c r="F1091" s="10">
        <v>7.57481428511048</v>
      </c>
    </row>
    <row r="1092" spans="1:6" x14ac:dyDescent="0.25">
      <c r="A1092" s="4" t="s">
        <v>102</v>
      </c>
      <c r="B1092" s="4" t="str">
        <f>VLOOKUP(A1092,Codes!$G$2:$H$217,2,0)</f>
        <v>MUS</v>
      </c>
      <c r="C1092" s="11">
        <v>880629</v>
      </c>
      <c r="D1092" s="12">
        <v>2010</v>
      </c>
      <c r="E1092" s="13">
        <v>7442</v>
      </c>
      <c r="F1092" s="8">
        <v>8.4507777963251272</v>
      </c>
    </row>
    <row r="1093" spans="1:6" x14ac:dyDescent="0.25">
      <c r="A1093" s="4" t="s">
        <v>102</v>
      </c>
      <c r="B1093" s="4" t="str">
        <f>VLOOKUP(A1093,Codes!$G$2:$H$217,2,0)</f>
        <v>MUS</v>
      </c>
      <c r="C1093" s="11">
        <v>885203</v>
      </c>
      <c r="D1093" s="12">
        <v>2011</v>
      </c>
      <c r="E1093" s="13">
        <v>7239</v>
      </c>
      <c r="F1093" s="8">
        <v>8.1777852085905725</v>
      </c>
    </row>
    <row r="1094" spans="1:6" x14ac:dyDescent="0.25">
      <c r="A1094" s="4" t="s">
        <v>102</v>
      </c>
      <c r="B1094" s="4" t="str">
        <f>VLOOKUP(A1094,Codes!$G$2:$H$217,2,0)</f>
        <v>MUS</v>
      </c>
      <c r="C1094" s="11">
        <v>888850</v>
      </c>
      <c r="D1094" s="12">
        <v>2012</v>
      </c>
      <c r="E1094" s="13">
        <v>6817</v>
      </c>
      <c r="F1094" s="8">
        <v>7.6694605388985773</v>
      </c>
    </row>
    <row r="1095" spans="1:6" x14ac:dyDescent="0.25">
      <c r="A1095" s="4" t="s">
        <v>102</v>
      </c>
      <c r="B1095" s="4" t="str">
        <f>VLOOKUP(A1095,Codes!$G$2:$H$217,2,0)</f>
        <v>MUS</v>
      </c>
      <c r="C1095" s="11">
        <v>890511</v>
      </c>
      <c r="D1095" s="12">
        <v>2013</v>
      </c>
      <c r="E1095" s="13">
        <v>6353</v>
      </c>
      <c r="F1095" s="8">
        <v>7.1341061480430898</v>
      </c>
    </row>
    <row r="1096" spans="1:6" x14ac:dyDescent="0.25">
      <c r="A1096" s="4" t="s">
        <v>102</v>
      </c>
      <c r="B1096" s="4" t="str">
        <f>VLOOKUP(A1096,Codes!$G$2:$H$217,2,0)</f>
        <v>MUS</v>
      </c>
      <c r="C1096" s="11">
        <v>891403</v>
      </c>
      <c r="D1096" s="16">
        <v>2014</v>
      </c>
      <c r="E1096" s="13">
        <v>7091</v>
      </c>
      <c r="F1096" s="8">
        <v>7.9548756286438351</v>
      </c>
    </row>
    <row r="1097" spans="1:6" x14ac:dyDescent="0.25">
      <c r="A1097" s="4" t="s">
        <v>102</v>
      </c>
      <c r="B1097" s="4" t="str">
        <f>VLOOKUP(A1097,Codes!$G$2:$H$217,2,0)</f>
        <v>MUS</v>
      </c>
      <c r="C1097" s="11">
        <v>891976</v>
      </c>
      <c r="D1097" s="16">
        <v>2015</v>
      </c>
      <c r="E1097" s="13">
        <v>7845</v>
      </c>
      <c r="F1097" s="8">
        <v>8.7950796882427333</v>
      </c>
    </row>
    <row r="1098" spans="1:6" x14ac:dyDescent="0.25">
      <c r="A1098" s="4" t="s">
        <v>102</v>
      </c>
      <c r="B1098" s="4" t="str">
        <f>VLOOKUP(A1098,Codes!$G$2:$H$217,2,0)</f>
        <v>MUS</v>
      </c>
      <c r="C1098" s="11">
        <v>892710</v>
      </c>
      <c r="D1098" s="16">
        <v>2016</v>
      </c>
      <c r="E1098" s="13">
        <v>8851</v>
      </c>
      <c r="F1098" s="8">
        <v>9.9147539514511998</v>
      </c>
    </row>
    <row r="1099" spans="1:6" x14ac:dyDescent="0.25">
      <c r="A1099" s="4" t="s">
        <v>102</v>
      </c>
      <c r="B1099" s="4" t="str">
        <f>VLOOKUP(A1099,Codes!$G$2:$H$217,2,0)</f>
        <v>MUS</v>
      </c>
      <c r="C1099" s="11">
        <v>893967</v>
      </c>
      <c r="D1099" s="16">
        <v>2017</v>
      </c>
      <c r="E1099" s="13">
        <v>8757</v>
      </c>
      <c r="F1099" s="8">
        <v>9.7956635983207434</v>
      </c>
    </row>
    <row r="1100" spans="1:6" x14ac:dyDescent="0.25">
      <c r="A1100" s="4" t="s">
        <v>102</v>
      </c>
      <c r="B1100" s="4" t="str">
        <f>VLOOKUP(A1100,Codes!$G$2:$H$217,2,0)</f>
        <v>MUS</v>
      </c>
      <c r="C1100" s="11">
        <v>894976</v>
      </c>
      <c r="D1100" s="16">
        <v>2018</v>
      </c>
      <c r="E1100" s="13">
        <v>8285</v>
      </c>
      <c r="F1100" s="9">
        <v>7.0539567381145964</v>
      </c>
    </row>
    <row r="1101" spans="1:6" x14ac:dyDescent="0.25">
      <c r="A1101" s="4" t="s">
        <v>102</v>
      </c>
      <c r="B1101" s="4" t="str">
        <f>VLOOKUP(A1101,Codes!$G$2:$H$217,2,0)</f>
        <v>MUS</v>
      </c>
      <c r="C1101" s="11">
        <v>895384</v>
      </c>
      <c r="D1101" s="16">
        <v>2019</v>
      </c>
      <c r="E1101" s="13">
        <v>6316</v>
      </c>
      <c r="F1101" s="8">
        <v>7.0539567381145964</v>
      </c>
    </row>
    <row r="1102" spans="1:6" x14ac:dyDescent="0.25">
      <c r="A1102" s="4" t="s">
        <v>102</v>
      </c>
      <c r="B1102" s="4" t="str">
        <f>VLOOKUP(A1102,Codes!$G$2:$H$217,2,0)</f>
        <v>MUS</v>
      </c>
      <c r="C1102" s="11">
        <v>894816</v>
      </c>
      <c r="D1102" s="16">
        <v>2020</v>
      </c>
      <c r="E1102" s="13">
        <v>6312</v>
      </c>
      <c r="F1102" s="8">
        <v>7.0539641669348789</v>
      </c>
    </row>
    <row r="1103" spans="1:6" x14ac:dyDescent="0.25">
      <c r="A1103" s="3" t="s">
        <v>103</v>
      </c>
      <c r="B1103" s="4" t="str">
        <f>VLOOKUP(A1103,Codes!$G$2:$H$217,2,0)</f>
        <v>MEX</v>
      </c>
      <c r="C1103" s="11">
        <v>67617392</v>
      </c>
      <c r="D1103" s="12">
        <v>2006</v>
      </c>
      <c r="E1103" s="13">
        <v>22116</v>
      </c>
      <c r="F1103" s="8">
        <v>0.32707561391897516</v>
      </c>
    </row>
    <row r="1104" spans="1:6" x14ac:dyDescent="0.25">
      <c r="A1104" s="4" t="s">
        <v>103</v>
      </c>
      <c r="B1104" s="4" t="str">
        <f>VLOOKUP(A1104,Codes!$G$2:$H$217,2,0)</f>
        <v>MEX</v>
      </c>
      <c r="C1104" s="11">
        <v>69038033</v>
      </c>
      <c r="D1104" s="12">
        <v>2007</v>
      </c>
      <c r="E1104" s="13">
        <v>26337</v>
      </c>
      <c r="F1104" s="8">
        <v>0.38148537632872592</v>
      </c>
    </row>
    <row r="1105" spans="1:6" x14ac:dyDescent="0.25">
      <c r="A1105" s="4" t="s">
        <v>103</v>
      </c>
      <c r="B1105" s="4" t="str">
        <f>VLOOKUP(A1105,Codes!$G$2:$H$217,2,0)</f>
        <v>MEX</v>
      </c>
      <c r="C1105" s="11">
        <v>70515912</v>
      </c>
      <c r="D1105" s="12">
        <v>2008</v>
      </c>
      <c r="E1105" s="13">
        <v>27226</v>
      </c>
      <c r="F1105" s="8">
        <v>0.38609725419136603</v>
      </c>
    </row>
    <row r="1106" spans="1:6" x14ac:dyDescent="0.25">
      <c r="A1106" s="4" t="s">
        <v>103</v>
      </c>
      <c r="B1106" s="4" t="str">
        <f>VLOOKUP(A1106,Codes!$G$2:$H$217,2,0)</f>
        <v>MEX</v>
      </c>
      <c r="C1106" s="11">
        <v>71989500</v>
      </c>
      <c r="D1106" s="12">
        <v>2009</v>
      </c>
      <c r="E1106" s="13">
        <v>38581</v>
      </c>
      <c r="F1106" s="8">
        <v>0.53592537800651474</v>
      </c>
    </row>
    <row r="1107" spans="1:6" x14ac:dyDescent="0.25">
      <c r="A1107" s="4" t="s">
        <v>103</v>
      </c>
      <c r="B1107" s="4" t="str">
        <f>VLOOKUP(A1107,Codes!$G$2:$H$217,2,0)</f>
        <v>MEX</v>
      </c>
      <c r="C1107" s="11">
        <v>73417829</v>
      </c>
      <c r="D1107" s="12">
        <v>2010</v>
      </c>
      <c r="E1107" s="13">
        <v>45321</v>
      </c>
      <c r="F1107" s="8">
        <v>0.61730237215268235</v>
      </c>
    </row>
    <row r="1108" spans="1:6" x14ac:dyDescent="0.25">
      <c r="A1108" s="4" t="s">
        <v>103</v>
      </c>
      <c r="B1108" s="4" t="str">
        <f>VLOOKUP(A1108,Codes!$G$2:$H$217,2,0)</f>
        <v>MEX</v>
      </c>
      <c r="C1108" s="11">
        <v>74830472</v>
      </c>
      <c r="D1108" s="12">
        <v>2011</v>
      </c>
      <c r="E1108" s="13">
        <v>44786</v>
      </c>
      <c r="F1108" s="8">
        <v>0.59849949897416121</v>
      </c>
    </row>
    <row r="1109" spans="1:6" x14ac:dyDescent="0.25">
      <c r="A1109" s="4" t="s">
        <v>103</v>
      </c>
      <c r="B1109" s="4" t="str">
        <f>VLOOKUP(A1109,Codes!$G$2:$H$217,2,0)</f>
        <v>MEX</v>
      </c>
      <c r="C1109" s="11">
        <v>76177534</v>
      </c>
      <c r="D1109" s="12">
        <v>2012</v>
      </c>
      <c r="E1109" s="13">
        <v>31028</v>
      </c>
      <c r="F1109" s="8">
        <v>0.40731168850910821</v>
      </c>
    </row>
    <row r="1110" spans="1:6" x14ac:dyDescent="0.25">
      <c r="A1110" s="4" t="s">
        <v>103</v>
      </c>
      <c r="B1110" s="4" t="str">
        <f>VLOOKUP(A1110,Codes!$G$2:$H$217,2,0)</f>
        <v>MEX</v>
      </c>
      <c r="C1110" s="11">
        <v>77469712</v>
      </c>
      <c r="D1110" s="12">
        <v>2013</v>
      </c>
      <c r="E1110" s="13">
        <v>42562</v>
      </c>
      <c r="F1110" s="8">
        <v>0.5494018100906326</v>
      </c>
    </row>
    <row r="1111" spans="1:6" x14ac:dyDescent="0.25">
      <c r="A1111" s="4" t="s">
        <v>103</v>
      </c>
      <c r="B1111" s="4" t="str">
        <f>VLOOKUP(A1111,Codes!$G$2:$H$217,2,0)</f>
        <v>MEX</v>
      </c>
      <c r="C1111" s="11">
        <v>78734900</v>
      </c>
      <c r="D1111" s="16">
        <v>2014</v>
      </c>
      <c r="E1111" s="13">
        <v>43617</v>
      </c>
      <c r="F1111" s="8">
        <v>0.55397288876978312</v>
      </c>
    </row>
    <row r="1112" spans="1:6" x14ac:dyDescent="0.25">
      <c r="A1112" s="4" t="s">
        <v>103</v>
      </c>
      <c r="B1112" s="4" t="str">
        <f>VLOOKUP(A1112,Codes!$G$2:$H$217,2,0)</f>
        <v>MEX</v>
      </c>
      <c r="C1112" s="11">
        <v>79986921</v>
      </c>
      <c r="D1112" s="16">
        <v>2015</v>
      </c>
      <c r="E1112" s="13">
        <v>46174</v>
      </c>
      <c r="F1112" s="8">
        <v>0.57726937632716224</v>
      </c>
    </row>
    <row r="1113" spans="1:6" x14ac:dyDescent="0.25">
      <c r="A1113" s="4" t="s">
        <v>103</v>
      </c>
      <c r="B1113" s="4" t="str">
        <f>VLOOKUP(A1113,Codes!$G$2:$H$217,2,0)</f>
        <v>MEX</v>
      </c>
      <c r="C1113" s="11">
        <v>81180237</v>
      </c>
      <c r="D1113" s="16">
        <v>2016</v>
      </c>
      <c r="E1113" s="13">
        <v>45256</v>
      </c>
      <c r="F1113" s="8">
        <v>0.55747558362018579</v>
      </c>
    </row>
    <row r="1114" spans="1:6" x14ac:dyDescent="0.25">
      <c r="A1114" s="4" t="s">
        <v>103</v>
      </c>
      <c r="B1114" s="4" t="str">
        <f>VLOOKUP(A1114,Codes!$G$2:$H$217,2,0)</f>
        <v>MEX</v>
      </c>
      <c r="C1114" s="11">
        <v>82377996</v>
      </c>
      <c r="D1114" s="16">
        <v>2017</v>
      </c>
      <c r="E1114" s="13">
        <v>82948</v>
      </c>
      <c r="F1114" s="8">
        <v>1.0069193720128855</v>
      </c>
    </row>
    <row r="1115" spans="1:6" x14ac:dyDescent="0.25">
      <c r="A1115" s="4" t="s">
        <v>103</v>
      </c>
      <c r="B1115" s="4" t="str">
        <f>VLOOKUP(A1115,Codes!$G$2:$H$217,2,0)</f>
        <v>MEX</v>
      </c>
      <c r="C1115" s="11">
        <v>83562863</v>
      </c>
      <c r="D1115" s="16">
        <v>2018</v>
      </c>
      <c r="E1115" s="13">
        <v>83903</v>
      </c>
      <c r="F1115" s="8">
        <v>1.0040704325796019</v>
      </c>
    </row>
    <row r="1116" spans="1:6" x14ac:dyDescent="0.25">
      <c r="A1116" s="4" t="s">
        <v>103</v>
      </c>
      <c r="B1116" s="4" t="str">
        <f>VLOOKUP(A1116,Codes!$G$2:$H$217,2,0)</f>
        <v>MEX</v>
      </c>
      <c r="C1116" s="11">
        <v>84707882</v>
      </c>
      <c r="D1116" s="16">
        <v>2019</v>
      </c>
      <c r="E1116" s="13">
        <v>84320</v>
      </c>
      <c r="F1116" s="8">
        <v>0.99542094559748284</v>
      </c>
    </row>
    <row r="1117" spans="1:6" x14ac:dyDescent="0.25">
      <c r="A1117" s="4" t="s">
        <v>103</v>
      </c>
      <c r="B1117" s="4" t="str">
        <f>VLOOKUP(A1117,Codes!$G$2:$H$217,2,0)</f>
        <v>MEX</v>
      </c>
      <c r="C1117" s="11">
        <v>85800403</v>
      </c>
      <c r="D1117" s="16">
        <v>2020</v>
      </c>
      <c r="E1117" s="13">
        <v>68114</v>
      </c>
      <c r="F1117" s="8">
        <v>0.79386573510616265</v>
      </c>
    </row>
    <row r="1118" spans="1:6" x14ac:dyDescent="0.25">
      <c r="A1118" s="3" t="s">
        <v>104</v>
      </c>
      <c r="B1118" s="4" t="str">
        <f>VLOOKUP(A1118,Codes!$G$2:$H$217,2,0)</f>
        <v>FSM</v>
      </c>
      <c r="C1118" s="19">
        <v>72423</v>
      </c>
      <c r="D1118" s="16">
        <v>2018</v>
      </c>
      <c r="E1118" s="13">
        <v>25</v>
      </c>
      <c r="F1118" s="8">
        <v>0.34519420626044212</v>
      </c>
    </row>
    <row r="1119" spans="1:6" x14ac:dyDescent="0.25">
      <c r="A1119" s="3" t="s">
        <v>105</v>
      </c>
      <c r="B1119" s="4" t="str">
        <f>VLOOKUP(A1119,Codes!$G$2:$H$217,2,0)</f>
        <v>MNG</v>
      </c>
      <c r="C1119" s="11">
        <v>1742807</v>
      </c>
      <c r="D1119" s="12">
        <v>2006</v>
      </c>
      <c r="E1119" s="27">
        <v>12529</v>
      </c>
      <c r="F1119" s="8">
        <v>7.1889773222164015</v>
      </c>
    </row>
    <row r="1120" spans="1:6" x14ac:dyDescent="0.25">
      <c r="A1120" s="4" t="s">
        <v>105</v>
      </c>
      <c r="B1120" s="4" t="str">
        <f>VLOOKUP(A1120,Codes!$G$2:$H$217,2,0)</f>
        <v>MNG</v>
      </c>
      <c r="C1120" s="11">
        <v>1780279</v>
      </c>
      <c r="D1120" s="12">
        <v>2007</v>
      </c>
      <c r="E1120" s="27">
        <v>11840</v>
      </c>
      <c r="F1120" s="8">
        <v>6.650642961019031</v>
      </c>
    </row>
    <row r="1121" spans="1:6" x14ac:dyDescent="0.25">
      <c r="A1121" s="4" t="s">
        <v>105</v>
      </c>
      <c r="B1121" s="4" t="str">
        <f>VLOOKUP(A1121,Codes!$G$2:$H$217,2,0)</f>
        <v>MNG</v>
      </c>
      <c r="C1121" s="11">
        <v>1814728</v>
      </c>
      <c r="D1121" s="12">
        <v>2008</v>
      </c>
      <c r="E1121" s="27">
        <v>10137</v>
      </c>
      <c r="F1121" s="8">
        <v>5.5859610916897742</v>
      </c>
    </row>
    <row r="1122" spans="1:6" x14ac:dyDescent="0.25">
      <c r="A1122" s="4" t="s">
        <v>105</v>
      </c>
      <c r="B1122" s="4" t="str">
        <f>VLOOKUP(A1122,Codes!$G$2:$H$217,2,0)</f>
        <v>MNG</v>
      </c>
      <c r="C1122" s="11">
        <v>1848130</v>
      </c>
      <c r="D1122" s="12">
        <v>2009</v>
      </c>
      <c r="E1122" s="27">
        <v>7796</v>
      </c>
      <c r="F1122" s="8">
        <v>4.2183179754670936</v>
      </c>
    </row>
    <row r="1123" spans="1:6" x14ac:dyDescent="0.25">
      <c r="A1123" s="4" t="s">
        <v>105</v>
      </c>
      <c r="B1123" s="4" t="str">
        <f>VLOOKUP(A1123,Codes!$G$2:$H$217,2,0)</f>
        <v>MNG</v>
      </c>
      <c r="C1123" s="11">
        <v>1881449</v>
      </c>
      <c r="D1123" s="12">
        <v>2010</v>
      </c>
      <c r="E1123" s="27">
        <v>9215</v>
      </c>
      <c r="F1123" s="8">
        <v>4.8978207753704721</v>
      </c>
    </row>
    <row r="1124" spans="1:6" x14ac:dyDescent="0.25">
      <c r="A1124" s="4" t="s">
        <v>105</v>
      </c>
      <c r="B1124" s="4" t="str">
        <f>VLOOKUP(A1124,Codes!$G$2:$H$217,2,0)</f>
        <v>MNG</v>
      </c>
      <c r="C1124" s="11">
        <v>1909673</v>
      </c>
      <c r="D1124" s="12">
        <v>2011</v>
      </c>
      <c r="E1124" s="27">
        <v>11305</v>
      </c>
      <c r="F1124" s="8">
        <v>5.919861672652857</v>
      </c>
    </row>
    <row r="1125" spans="1:6" x14ac:dyDescent="0.25">
      <c r="A1125" s="4" t="s">
        <v>105</v>
      </c>
      <c r="B1125" s="4" t="str">
        <f>VLOOKUP(A1125,Codes!$G$2:$H$217,2,0)</f>
        <v>MNG</v>
      </c>
      <c r="C1125" s="11">
        <v>1938532</v>
      </c>
      <c r="D1125" s="12">
        <v>2012</v>
      </c>
      <c r="E1125" s="27">
        <v>11255</v>
      </c>
      <c r="F1125" s="8">
        <v>5.8059397523486842</v>
      </c>
    </row>
    <row r="1126" spans="1:6" x14ac:dyDescent="0.25">
      <c r="A1126" s="4" t="s">
        <v>105</v>
      </c>
      <c r="B1126" s="4" t="str">
        <f>VLOOKUP(A1126,Codes!$G$2:$H$217,2,0)</f>
        <v>MNG</v>
      </c>
      <c r="C1126" s="11">
        <v>1966716</v>
      </c>
      <c r="D1126" s="12">
        <v>2013</v>
      </c>
      <c r="E1126" s="27">
        <v>12804</v>
      </c>
      <c r="F1126" s="8">
        <v>6.5103451642229988</v>
      </c>
    </row>
    <row r="1127" spans="1:6" x14ac:dyDescent="0.25">
      <c r="A1127" s="4" t="s">
        <v>105</v>
      </c>
      <c r="B1127" s="4" t="str">
        <f>VLOOKUP(A1127,Codes!$G$2:$H$217,2,0)</f>
        <v>MNG</v>
      </c>
      <c r="C1127" s="11">
        <v>1993018</v>
      </c>
      <c r="D1127" s="16">
        <v>2014</v>
      </c>
      <c r="E1127" s="27">
        <v>12930</v>
      </c>
      <c r="F1127" s="8">
        <v>6.4876483804963128</v>
      </c>
    </row>
    <row r="1128" spans="1:6" x14ac:dyDescent="0.25">
      <c r="A1128" s="4" t="s">
        <v>105</v>
      </c>
      <c r="B1128" s="4" t="str">
        <f>VLOOKUP(A1128,Codes!$G$2:$H$217,2,0)</f>
        <v>MNG</v>
      </c>
      <c r="C1128" s="11">
        <v>2017159</v>
      </c>
      <c r="D1128" s="16">
        <v>2015</v>
      </c>
      <c r="E1128" s="27">
        <v>11035</v>
      </c>
      <c r="F1128" s="8">
        <v>5.4705652851361748</v>
      </c>
    </row>
    <row r="1129" spans="1:6" x14ac:dyDescent="0.25">
      <c r="A1129" s="4" t="s">
        <v>105</v>
      </c>
      <c r="B1129" s="4" t="str">
        <f>VLOOKUP(A1129,Codes!$G$2:$H$217,2,0)</f>
        <v>MNG</v>
      </c>
      <c r="C1129" s="11">
        <v>2036934</v>
      </c>
      <c r="D1129" s="16">
        <v>2016</v>
      </c>
      <c r="E1129" s="27">
        <v>10009</v>
      </c>
      <c r="F1129" s="8">
        <v>4.9137576377045109</v>
      </c>
    </row>
    <row r="1130" spans="1:6" x14ac:dyDescent="0.25">
      <c r="A1130" s="4" t="s">
        <v>105</v>
      </c>
      <c r="B1130" s="4" t="str">
        <f>VLOOKUP(A1130,Codes!$G$2:$H$217,2,0)</f>
        <v>MNG</v>
      </c>
      <c r="C1130" s="11">
        <v>2056856</v>
      </c>
      <c r="D1130" s="16">
        <v>2017</v>
      </c>
      <c r="E1130" s="27">
        <v>12322</v>
      </c>
      <c r="F1130" s="8">
        <v>5.9906964804536633</v>
      </c>
    </row>
    <row r="1131" spans="1:6" x14ac:dyDescent="0.25">
      <c r="A1131" s="4" t="s">
        <v>105</v>
      </c>
      <c r="B1131" s="4" t="str">
        <f>VLOOKUP(A1131,Codes!$G$2:$H$217,2,0)</f>
        <v>MNG</v>
      </c>
      <c r="C1131" s="11">
        <v>2076709</v>
      </c>
      <c r="D1131" s="16">
        <v>2018</v>
      </c>
      <c r="E1131" s="27">
        <v>11524</v>
      </c>
      <c r="F1131" s="8">
        <v>5.5491645675922818</v>
      </c>
    </row>
    <row r="1132" spans="1:6" x14ac:dyDescent="0.25">
      <c r="A1132" s="4" t="s">
        <v>105</v>
      </c>
      <c r="B1132" s="4" t="str">
        <f>VLOOKUP(A1132,Codes!$G$2:$H$217,2,0)</f>
        <v>MNG</v>
      </c>
      <c r="C1132" s="11">
        <v>2096757</v>
      </c>
      <c r="D1132" s="16">
        <v>2019</v>
      </c>
      <c r="E1132" s="27">
        <v>12455</v>
      </c>
      <c r="F1132" s="8">
        <v>5.9401256321071063</v>
      </c>
    </row>
    <row r="1133" spans="1:6" x14ac:dyDescent="0.25">
      <c r="A1133" s="4" t="s">
        <v>105</v>
      </c>
      <c r="B1133" s="4" t="str">
        <f>VLOOKUP(A1133,Codes!$G$2:$H$217,2,0)</f>
        <v>MNG</v>
      </c>
      <c r="C1133" s="11">
        <v>2117604</v>
      </c>
      <c r="D1133" s="16">
        <v>2020</v>
      </c>
      <c r="E1133" s="27">
        <v>12532</v>
      </c>
      <c r="F1133" s="8">
        <v>5.9180092217430644</v>
      </c>
    </row>
    <row r="1134" spans="1:6" x14ac:dyDescent="0.25">
      <c r="A1134" s="3" t="s">
        <v>106</v>
      </c>
      <c r="B1134" s="4" t="str">
        <f>VLOOKUP(A1134,Codes!$G$2:$H$217,2,0)</f>
        <v>MNE</v>
      </c>
      <c r="C1134" s="11">
        <v>411232</v>
      </c>
      <c r="D1134" s="12">
        <v>2006</v>
      </c>
      <c r="E1134" s="13">
        <v>3051</v>
      </c>
      <c r="F1134" s="8">
        <v>7.4191697144191115</v>
      </c>
    </row>
    <row r="1135" spans="1:6" x14ac:dyDescent="0.25">
      <c r="A1135" s="4" t="s">
        <v>106</v>
      </c>
      <c r="B1135" s="4" t="str">
        <f>VLOOKUP(A1135,Codes!$G$2:$H$217,2,0)</f>
        <v>MNE</v>
      </c>
      <c r="C1135" s="11">
        <v>412999</v>
      </c>
      <c r="D1135" s="12">
        <v>2007</v>
      </c>
      <c r="E1135" s="13">
        <v>4276</v>
      </c>
      <c r="F1135" s="8">
        <v>10.353535964978123</v>
      </c>
    </row>
    <row r="1136" spans="1:6" x14ac:dyDescent="0.25">
      <c r="A1136" s="4" t="s">
        <v>106</v>
      </c>
      <c r="B1136" s="4" t="str">
        <f>VLOOKUP(A1136,Codes!$G$2:$H$217,2,0)</f>
        <v>MNE</v>
      </c>
      <c r="C1136" s="11">
        <v>415282</v>
      </c>
      <c r="D1136" s="12">
        <v>2008</v>
      </c>
      <c r="E1136" s="13">
        <v>3399</v>
      </c>
      <c r="F1136" s="8">
        <v>8.184799726450942</v>
      </c>
    </row>
    <row r="1137" spans="1:6" x14ac:dyDescent="0.25">
      <c r="A1137" s="4" t="s">
        <v>106</v>
      </c>
      <c r="B1137" s="4" t="str">
        <f>VLOOKUP(A1137,Codes!$G$2:$H$217,2,0)</f>
        <v>MNE</v>
      </c>
      <c r="C1137" s="11">
        <v>417760</v>
      </c>
      <c r="D1137" s="12">
        <v>2009</v>
      </c>
      <c r="E1137" s="13">
        <v>2334</v>
      </c>
      <c r="F1137" s="8">
        <v>5.586939869781693</v>
      </c>
    </row>
    <row r="1138" spans="1:6" x14ac:dyDescent="0.25">
      <c r="A1138" s="4" t="s">
        <v>106</v>
      </c>
      <c r="B1138" s="4" t="str">
        <f>VLOOKUP(A1138,Codes!$G$2:$H$217,2,0)</f>
        <v>MNE</v>
      </c>
      <c r="C1138" s="11">
        <v>419905</v>
      </c>
      <c r="D1138" s="12">
        <v>2010</v>
      </c>
      <c r="E1138" s="13">
        <v>2370</v>
      </c>
      <c r="F1138" s="8">
        <v>5.6441337921672758</v>
      </c>
    </row>
    <row r="1139" spans="1:6" x14ac:dyDescent="0.25">
      <c r="A1139" s="4" t="s">
        <v>106</v>
      </c>
      <c r="B1139" s="4" t="str">
        <f>VLOOKUP(A1139,Codes!$G$2:$H$217,2,0)</f>
        <v>MNE</v>
      </c>
      <c r="C1139" s="11">
        <v>420637</v>
      </c>
      <c r="D1139" s="12">
        <v>2011</v>
      </c>
      <c r="E1139" s="13">
        <v>2356</v>
      </c>
      <c r="F1139" s="8">
        <v>5.6010289156683788</v>
      </c>
    </row>
    <row r="1140" spans="1:6" x14ac:dyDescent="0.25">
      <c r="A1140" s="4" t="s">
        <v>106</v>
      </c>
      <c r="B1140" s="4" t="str">
        <f>VLOOKUP(A1140,Codes!$G$2:$H$217,2,0)</f>
        <v>MNE</v>
      </c>
      <c r="C1140" s="11">
        <v>421284</v>
      </c>
      <c r="D1140" s="12">
        <v>2012</v>
      </c>
      <c r="E1140" s="13">
        <v>2491</v>
      </c>
      <c r="F1140" s="8">
        <v>5.9128758747068479</v>
      </c>
    </row>
    <row r="1141" spans="1:6" x14ac:dyDescent="0.25">
      <c r="A1141" s="4" t="s">
        <v>106</v>
      </c>
      <c r="B1141" s="4" t="str">
        <f>VLOOKUP(A1141,Codes!$G$2:$H$217,2,0)</f>
        <v>MNE</v>
      </c>
      <c r="C1141" s="11">
        <v>421830</v>
      </c>
      <c r="D1141" s="12">
        <v>2013</v>
      </c>
      <c r="E1141" s="13">
        <v>2900</v>
      </c>
      <c r="F1141" s="8">
        <v>6.8748073868620061</v>
      </c>
    </row>
    <row r="1142" spans="1:6" x14ac:dyDescent="0.25">
      <c r="A1142" s="4" t="s">
        <v>106</v>
      </c>
      <c r="B1142" s="4" t="str">
        <f>VLOOKUP(A1142,Codes!$G$2:$H$217,2,0)</f>
        <v>MNE</v>
      </c>
      <c r="C1142" s="11">
        <v>421953</v>
      </c>
      <c r="D1142" s="16">
        <v>2014</v>
      </c>
      <c r="E1142" s="13">
        <v>3080</v>
      </c>
      <c r="F1142" s="8">
        <v>7.2993911644187852</v>
      </c>
    </row>
    <row r="1143" spans="1:6" x14ac:dyDescent="0.25">
      <c r="A1143" s="4" t="s">
        <v>106</v>
      </c>
      <c r="B1143" s="4" t="str">
        <f>VLOOKUP(A1143,Codes!$G$2:$H$217,2,0)</f>
        <v>MNE</v>
      </c>
      <c r="C1143" s="11">
        <v>421318</v>
      </c>
      <c r="D1143" s="16">
        <v>2015</v>
      </c>
      <c r="E1143" s="13">
        <v>3013</v>
      </c>
      <c r="F1143" s="8">
        <v>7.151367850412278</v>
      </c>
    </row>
    <row r="1144" spans="1:6" x14ac:dyDescent="0.25">
      <c r="A1144" s="4" t="s">
        <v>106</v>
      </c>
      <c r="B1144" s="4" t="str">
        <f>VLOOKUP(A1144,Codes!$G$2:$H$217,2,0)</f>
        <v>MNE</v>
      </c>
      <c r="C1144" s="11">
        <v>420209</v>
      </c>
      <c r="D1144" s="16">
        <v>2016</v>
      </c>
      <c r="E1144" s="13">
        <v>2818</v>
      </c>
      <c r="F1144" s="8">
        <v>6.7061866832933141</v>
      </c>
    </row>
    <row r="1145" spans="1:6" x14ac:dyDescent="0.25">
      <c r="A1145" s="4" t="s">
        <v>106</v>
      </c>
      <c r="B1145" s="4" t="str">
        <f>VLOOKUP(A1145,Codes!$G$2:$H$217,2,0)</f>
        <v>MNE</v>
      </c>
      <c r="C1145" s="11">
        <v>418247</v>
      </c>
      <c r="D1145" s="16">
        <v>2017</v>
      </c>
      <c r="E1145" s="13">
        <v>3182</v>
      </c>
      <c r="F1145" s="8">
        <v>7.6079445877675154</v>
      </c>
    </row>
    <row r="1146" spans="1:6" x14ac:dyDescent="0.25">
      <c r="A1146" s="4" t="s">
        <v>106</v>
      </c>
      <c r="B1146" s="4" t="str">
        <f>VLOOKUP(A1146,Codes!$G$2:$H$217,2,0)</f>
        <v>MNE</v>
      </c>
      <c r="C1146" s="11">
        <v>415744</v>
      </c>
      <c r="D1146" s="16">
        <v>2018</v>
      </c>
      <c r="E1146" s="13">
        <v>4694</v>
      </c>
      <c r="F1146" s="8">
        <v>11.290601908866995</v>
      </c>
    </row>
    <row r="1147" spans="1:6" x14ac:dyDescent="0.25">
      <c r="A1147" s="4" t="s">
        <v>106</v>
      </c>
      <c r="B1147" s="4" t="str">
        <f>VLOOKUP(A1147,Codes!$G$2:$H$217,2,0)</f>
        <v>MNE</v>
      </c>
      <c r="C1147" s="11">
        <v>413404</v>
      </c>
      <c r="D1147" s="16">
        <v>2019</v>
      </c>
      <c r="E1147" s="13">
        <v>4131</v>
      </c>
      <c r="F1147" s="8">
        <v>9.9926464185155446</v>
      </c>
    </row>
    <row r="1148" spans="1:6" x14ac:dyDescent="0.25">
      <c r="A1148" s="4" t="s">
        <v>106</v>
      </c>
      <c r="B1148" s="4" t="str">
        <f>VLOOKUP(A1148,Codes!$G$2:$H$217,2,0)</f>
        <v>MNE</v>
      </c>
      <c r="C1148" s="11">
        <v>411488</v>
      </c>
      <c r="D1148" s="16">
        <v>2020</v>
      </c>
      <c r="E1148" s="13">
        <v>3270</v>
      </c>
      <c r="F1148" s="8">
        <v>7.9467688000622125</v>
      </c>
    </row>
    <row r="1149" spans="1:6" x14ac:dyDescent="0.25">
      <c r="A1149" s="3" t="s">
        <v>107</v>
      </c>
      <c r="B1149" s="4" t="str">
        <f>VLOOKUP(A1149,Codes!$G$2:$H$217,2,0)</f>
        <v>MAR</v>
      </c>
      <c r="C1149" s="11">
        <v>19673838</v>
      </c>
      <c r="D1149" s="12">
        <v>2006</v>
      </c>
      <c r="E1149" s="13">
        <v>17601</v>
      </c>
      <c r="F1149" s="8">
        <v>0.89463987657110933</v>
      </c>
    </row>
    <row r="1150" spans="1:6" x14ac:dyDescent="0.25">
      <c r="A1150" s="4" t="s">
        <v>107</v>
      </c>
      <c r="B1150" s="4" t="str">
        <f>VLOOKUP(A1150,Codes!$G$2:$H$217,2,0)</f>
        <v>MAR</v>
      </c>
      <c r="C1150" s="11">
        <v>20034751</v>
      </c>
      <c r="D1150" s="12">
        <v>2007</v>
      </c>
      <c r="E1150" s="13">
        <v>24734</v>
      </c>
      <c r="F1150" s="8">
        <v>1.2345548991350079</v>
      </c>
    </row>
    <row r="1151" spans="1:6" x14ac:dyDescent="0.25">
      <c r="A1151" s="4" t="s">
        <v>107</v>
      </c>
      <c r="B1151" s="4" t="str">
        <f>VLOOKUP(A1151,Codes!$G$2:$H$217,2,0)</f>
        <v>MAR</v>
      </c>
      <c r="C1151" s="11">
        <v>20409134</v>
      </c>
      <c r="D1151" s="12">
        <v>2008</v>
      </c>
      <c r="E1151" s="13">
        <v>26531</v>
      </c>
      <c r="F1151" s="8">
        <v>1.2999571662374307</v>
      </c>
    </row>
    <row r="1152" spans="1:6" x14ac:dyDescent="0.25">
      <c r="A1152" s="4" t="s">
        <v>107</v>
      </c>
      <c r="B1152" s="4" t="str">
        <f>VLOOKUP(A1152,Codes!$G$2:$H$217,2,0)</f>
        <v>MAR</v>
      </c>
      <c r="C1152" s="11">
        <v>20778933</v>
      </c>
      <c r="D1152" s="12">
        <v>2009</v>
      </c>
      <c r="E1152" s="13">
        <v>27221</v>
      </c>
      <c r="F1152" s="8">
        <v>1.3100287680796698</v>
      </c>
    </row>
    <row r="1153" spans="1:6" x14ac:dyDescent="0.25">
      <c r="A1153" s="4" t="s">
        <v>107</v>
      </c>
      <c r="B1153" s="4" t="str">
        <f>VLOOKUP(A1153,Codes!$G$2:$H$217,2,0)</f>
        <v>MAR</v>
      </c>
      <c r="C1153" s="11">
        <v>21134003</v>
      </c>
      <c r="D1153" s="12">
        <v>2010</v>
      </c>
      <c r="E1153" s="13">
        <v>27892</v>
      </c>
      <c r="F1153" s="8">
        <v>1.3197689051146628</v>
      </c>
    </row>
    <row r="1154" spans="1:6" x14ac:dyDescent="0.25">
      <c r="A1154" s="4" t="s">
        <v>107</v>
      </c>
      <c r="B1154" s="4" t="str">
        <f>VLOOKUP(A1154,Codes!$G$2:$H$217,2,0)</f>
        <v>MAR</v>
      </c>
      <c r="C1154" s="11">
        <v>21506040</v>
      </c>
      <c r="D1154" s="12">
        <v>2011</v>
      </c>
      <c r="E1154" s="13">
        <v>30157</v>
      </c>
      <c r="F1154" s="8">
        <v>1.4022572263419952</v>
      </c>
    </row>
    <row r="1155" spans="1:6" x14ac:dyDescent="0.25">
      <c r="A1155" s="4" t="s">
        <v>107</v>
      </c>
      <c r="B1155" s="4" t="str">
        <f>VLOOKUP(A1155,Codes!$G$2:$H$217,2,0)</f>
        <v>MAR</v>
      </c>
      <c r="C1155" s="11">
        <v>21860228</v>
      </c>
      <c r="D1155" s="12">
        <v>2012</v>
      </c>
      <c r="E1155" s="13">
        <v>32951</v>
      </c>
      <c r="F1155" s="8">
        <v>1.5073493286529309</v>
      </c>
    </row>
    <row r="1156" spans="1:6" x14ac:dyDescent="0.25">
      <c r="A1156" s="4" t="s">
        <v>107</v>
      </c>
      <c r="B1156" s="4" t="str">
        <f>VLOOKUP(A1156,Codes!$G$2:$H$217,2,0)</f>
        <v>MAR</v>
      </c>
      <c r="C1156" s="11">
        <v>22196314</v>
      </c>
      <c r="D1156" s="12">
        <v>2013</v>
      </c>
      <c r="E1156" s="13">
        <v>33278</v>
      </c>
      <c r="F1156" s="8">
        <v>1.499257939854338</v>
      </c>
    </row>
    <row r="1157" spans="1:6" x14ac:dyDescent="0.25">
      <c r="A1157" s="4" t="s">
        <v>107</v>
      </c>
      <c r="B1157" s="4" t="str">
        <f>VLOOKUP(A1157,Codes!$G$2:$H$217,2,0)</f>
        <v>MAR</v>
      </c>
      <c r="C1157" s="11">
        <v>22521348</v>
      </c>
      <c r="D1157" s="16">
        <v>2014</v>
      </c>
      <c r="E1157" s="13">
        <v>34766</v>
      </c>
      <c r="F1157" s="8">
        <v>1.5436909016280909</v>
      </c>
    </row>
    <row r="1158" spans="1:6" x14ac:dyDescent="0.25">
      <c r="A1158" s="4" t="s">
        <v>107</v>
      </c>
      <c r="B1158" s="4" t="str">
        <f>VLOOKUP(A1158,Codes!$G$2:$H$217,2,0)</f>
        <v>MAR</v>
      </c>
      <c r="C1158" s="11">
        <v>22838672</v>
      </c>
      <c r="D1158" s="16">
        <v>2015</v>
      </c>
      <c r="E1158" s="13">
        <v>35840</v>
      </c>
      <c r="F1158" s="8">
        <v>1.5692681255722749</v>
      </c>
    </row>
    <row r="1159" spans="1:6" x14ac:dyDescent="0.25">
      <c r="A1159" s="4" t="s">
        <v>107</v>
      </c>
      <c r="B1159" s="4" t="str">
        <f>VLOOKUP(A1159,Codes!$G$2:$H$217,2,0)</f>
        <v>MAR</v>
      </c>
      <c r="C1159" s="11">
        <v>23119709</v>
      </c>
      <c r="D1159" s="16">
        <v>2016</v>
      </c>
      <c r="E1159" s="13">
        <v>39030</v>
      </c>
      <c r="F1159" s="8">
        <v>1.6881700370882697</v>
      </c>
    </row>
    <row r="1160" spans="1:6" x14ac:dyDescent="0.25">
      <c r="A1160" s="4" t="s">
        <v>107</v>
      </c>
      <c r="B1160" s="4" t="str">
        <f>VLOOKUP(A1160,Codes!$G$2:$H$217,2,0)</f>
        <v>MAR</v>
      </c>
      <c r="C1160" s="11">
        <v>23410351</v>
      </c>
      <c r="D1160" s="16">
        <v>2017</v>
      </c>
      <c r="E1160" s="13">
        <v>40088</v>
      </c>
      <c r="F1160" s="8">
        <v>1.7124049101186054</v>
      </c>
    </row>
    <row r="1161" spans="1:6" x14ac:dyDescent="0.25">
      <c r="A1161" s="4" t="s">
        <v>107</v>
      </c>
      <c r="B1161" s="4" t="str">
        <f>VLOOKUP(A1161,Codes!$G$2:$H$217,2,0)</f>
        <v>MAR</v>
      </c>
      <c r="C1161" s="11">
        <v>23700192</v>
      </c>
      <c r="D1161" s="16">
        <v>2018</v>
      </c>
      <c r="E1161" s="13">
        <v>45399</v>
      </c>
      <c r="F1161" s="8">
        <v>1.9155541018401876</v>
      </c>
    </row>
    <row r="1162" spans="1:6" x14ac:dyDescent="0.25">
      <c r="A1162" s="4" t="s">
        <v>107</v>
      </c>
      <c r="B1162" s="4" t="str">
        <f>VLOOKUP(A1162,Codes!$G$2:$H$217,2,0)</f>
        <v>MAR</v>
      </c>
      <c r="C1162" s="11">
        <v>23972902</v>
      </c>
      <c r="D1162" s="16">
        <v>2019</v>
      </c>
      <c r="E1162" s="13">
        <v>49909</v>
      </c>
      <c r="F1162" s="8">
        <v>2.081892296560508</v>
      </c>
    </row>
    <row r="1163" spans="1:6" x14ac:dyDescent="0.25">
      <c r="A1163" s="4" t="s">
        <v>107</v>
      </c>
      <c r="B1163" s="4" t="str">
        <f>VLOOKUP(A1163,Codes!$G$2:$H$217,2,0)</f>
        <v>MAR</v>
      </c>
      <c r="C1163" s="11">
        <v>24222688</v>
      </c>
      <c r="D1163" s="16">
        <v>2020</v>
      </c>
      <c r="E1163" s="13">
        <v>54250</v>
      </c>
      <c r="F1163" s="8">
        <v>2.2396358323238115</v>
      </c>
    </row>
    <row r="1164" spans="1:6" x14ac:dyDescent="0.25">
      <c r="A1164" s="3" t="s">
        <v>108</v>
      </c>
      <c r="B1164" s="4" t="str">
        <f>VLOOKUP(A1164,Codes!$G$2:$H$217,2,0)</f>
        <v>MOZ</v>
      </c>
      <c r="C1164" s="11">
        <v>13533864</v>
      </c>
      <c r="D1164" s="12">
        <v>2014</v>
      </c>
      <c r="E1164" s="13">
        <v>2595</v>
      </c>
      <c r="F1164" s="8">
        <v>0.19174124994901678</v>
      </c>
    </row>
    <row r="1165" spans="1:6" x14ac:dyDescent="0.25">
      <c r="A1165" s="4" t="s">
        <v>108</v>
      </c>
      <c r="B1165" s="4" t="str">
        <f>VLOOKUP(A1165,Codes!$G$2:$H$217,2,0)</f>
        <v>MOZ</v>
      </c>
      <c r="C1165" s="11">
        <v>13975280</v>
      </c>
      <c r="D1165" s="12">
        <v>2015</v>
      </c>
      <c r="E1165" s="13">
        <v>3168</v>
      </c>
      <c r="F1165" s="8">
        <v>0.22668597695359233</v>
      </c>
    </row>
    <row r="1166" spans="1:6" x14ac:dyDescent="0.25">
      <c r="A1166" s="4" t="s">
        <v>108</v>
      </c>
      <c r="B1166" s="4" t="str">
        <f>VLOOKUP(A1166,Codes!$G$2:$H$217,2,0)</f>
        <v>MOZ</v>
      </c>
      <c r="C1166" s="11">
        <v>14439469</v>
      </c>
      <c r="D1166" s="12">
        <v>2016</v>
      </c>
      <c r="E1166" s="13">
        <v>3607</v>
      </c>
      <c r="F1166" s="8">
        <v>0.24980142967861216</v>
      </c>
    </row>
    <row r="1167" spans="1:6" x14ac:dyDescent="0.25">
      <c r="A1167" s="4" t="s">
        <v>108</v>
      </c>
      <c r="B1167" s="4" t="str">
        <f>VLOOKUP(A1167,Codes!$G$2:$H$217,2,0)</f>
        <v>MOZ</v>
      </c>
      <c r="C1167" s="11">
        <v>14938224</v>
      </c>
      <c r="D1167" s="12">
        <v>2017</v>
      </c>
      <c r="E1167" s="13">
        <v>3554</v>
      </c>
      <c r="F1167" s="8">
        <v>0.23791315487035139</v>
      </c>
    </row>
    <row r="1168" spans="1:6" x14ac:dyDescent="0.25">
      <c r="A1168" s="4" t="s">
        <v>108</v>
      </c>
      <c r="B1168" s="4" t="str">
        <f>VLOOKUP(A1168,Codes!$G$2:$H$217,2,0)</f>
        <v>MOZ</v>
      </c>
      <c r="C1168" s="11">
        <v>15467246</v>
      </c>
      <c r="D1168" s="12">
        <v>2018</v>
      </c>
      <c r="E1168" s="13">
        <v>3300</v>
      </c>
      <c r="F1168" s="8">
        <v>0.21335407738391179</v>
      </c>
    </row>
    <row r="1169" spans="1:6" x14ac:dyDescent="0.25">
      <c r="A1169" s="4" t="s">
        <v>108</v>
      </c>
      <c r="B1169" s="4" t="str">
        <f>VLOOKUP(A1169,Codes!$G$2:$H$217,2,0)</f>
        <v>MOZ</v>
      </c>
      <c r="C1169" s="11">
        <v>16019167</v>
      </c>
      <c r="D1169" s="12">
        <v>2019</v>
      </c>
      <c r="E1169" s="13">
        <v>4699</v>
      </c>
      <c r="F1169" s="8">
        <v>0.29333610168368929</v>
      </c>
    </row>
    <row r="1170" spans="1:6" x14ac:dyDescent="0.25">
      <c r="A1170" s="4" t="s">
        <v>108</v>
      </c>
      <c r="B1170" s="4" t="str">
        <f>VLOOKUP(A1170,Codes!$G$2:$H$217,2,0)</f>
        <v>MOZ</v>
      </c>
      <c r="C1170" s="11">
        <v>16588943</v>
      </c>
      <c r="D1170" s="12">
        <v>2020</v>
      </c>
      <c r="E1170" s="13">
        <v>3925</v>
      </c>
      <c r="F1170" s="8">
        <v>0.23660338093873734</v>
      </c>
    </row>
    <row r="1171" spans="1:6" x14ac:dyDescent="0.25">
      <c r="A1171" s="3" t="s">
        <v>109</v>
      </c>
      <c r="B1171" s="4" t="str">
        <f>VLOOKUP(A1171,Codes!$G$2:$H$217,2,0)</f>
        <v>MMR</v>
      </c>
      <c r="C1171" s="11">
        <v>31710390</v>
      </c>
      <c r="D1171" s="12">
        <v>2006</v>
      </c>
      <c r="E1171" s="13">
        <v>530</v>
      </c>
      <c r="F1171" s="8">
        <v>1.6713764794441189E-2</v>
      </c>
    </row>
    <row r="1172" spans="1:6" x14ac:dyDescent="0.25">
      <c r="A1172" s="4" t="s">
        <v>109</v>
      </c>
      <c r="B1172" s="4" t="str">
        <f>VLOOKUP(A1172,Codes!$G$2:$H$217,2,0)</f>
        <v>MMR</v>
      </c>
      <c r="C1172" s="11">
        <v>31997695</v>
      </c>
      <c r="D1172" s="12">
        <v>2007</v>
      </c>
      <c r="E1172" s="13">
        <v>538</v>
      </c>
      <c r="F1172" s="8">
        <v>1.6813711112628579E-2</v>
      </c>
    </row>
    <row r="1173" spans="1:6" x14ac:dyDescent="0.25">
      <c r="A1173" s="4" t="s">
        <v>109</v>
      </c>
      <c r="B1173" s="4" t="str">
        <f>VLOOKUP(A1173,Codes!$G$2:$H$217,2,0)</f>
        <v>MMR</v>
      </c>
      <c r="C1173" s="11">
        <v>32294220</v>
      </c>
      <c r="D1173" s="12">
        <v>2008</v>
      </c>
      <c r="E1173" s="13">
        <v>704</v>
      </c>
      <c r="F1173" s="8">
        <v>2.1799566609752456E-2</v>
      </c>
    </row>
    <row r="1174" spans="1:6" x14ac:dyDescent="0.25">
      <c r="A1174" s="4" t="s">
        <v>109</v>
      </c>
      <c r="B1174" s="4" t="str">
        <f>VLOOKUP(A1174,Codes!$G$2:$H$217,2,0)</f>
        <v>MMR</v>
      </c>
      <c r="C1174" s="11">
        <v>32613841</v>
      </c>
      <c r="D1174" s="12">
        <v>2009</v>
      </c>
      <c r="E1174" s="13">
        <v>757</v>
      </c>
      <c r="F1174" s="8">
        <v>2.3211004186842025E-2</v>
      </c>
    </row>
    <row r="1175" spans="1:6" x14ac:dyDescent="0.25">
      <c r="A1175" s="4" t="s">
        <v>109</v>
      </c>
      <c r="B1175" s="4" t="str">
        <f>VLOOKUP(A1175,Codes!$G$2:$H$217,2,0)</f>
        <v>MMR</v>
      </c>
      <c r="C1175" s="11">
        <v>32965688</v>
      </c>
      <c r="D1175" s="12">
        <v>2010</v>
      </c>
      <c r="E1175" s="13">
        <v>1186</v>
      </c>
      <c r="F1175" s="8">
        <v>3.5976801090879702E-2</v>
      </c>
    </row>
    <row r="1176" spans="1:6" x14ac:dyDescent="0.25">
      <c r="A1176" s="4" t="s">
        <v>109</v>
      </c>
      <c r="B1176" s="4" t="str">
        <f>VLOOKUP(A1176,Codes!$G$2:$H$217,2,0)</f>
        <v>MMR</v>
      </c>
      <c r="C1176" s="11">
        <v>33408573</v>
      </c>
      <c r="D1176" s="12">
        <v>2011</v>
      </c>
      <c r="E1176" s="13">
        <v>1944</v>
      </c>
      <c r="F1176" s="8">
        <v>5.8188657144978929E-2</v>
      </c>
    </row>
    <row r="1177" spans="1:6" x14ac:dyDescent="0.25">
      <c r="A1177" s="4" t="s">
        <v>109</v>
      </c>
      <c r="B1177" s="4" t="str">
        <f>VLOOKUP(A1177,Codes!$G$2:$H$217,2,0)</f>
        <v>MMR</v>
      </c>
      <c r="C1177" s="11">
        <v>33876291</v>
      </c>
      <c r="D1177" s="12">
        <v>2012</v>
      </c>
      <c r="E1177" s="13">
        <v>3078</v>
      </c>
      <c r="F1177" s="8">
        <v>9.0860005896159057E-2</v>
      </c>
    </row>
    <row r="1178" spans="1:6" x14ac:dyDescent="0.25">
      <c r="A1178" s="4" t="s">
        <v>109</v>
      </c>
      <c r="B1178" s="4" t="str">
        <f>VLOOKUP(A1178,Codes!$G$2:$H$217,2,0)</f>
        <v>MMR</v>
      </c>
      <c r="C1178" s="11">
        <v>34359029</v>
      </c>
      <c r="D1178" s="12">
        <v>2013</v>
      </c>
      <c r="E1178" s="13">
        <v>4076</v>
      </c>
      <c r="F1178" s="8">
        <v>0.1186296620896941</v>
      </c>
    </row>
    <row r="1179" spans="1:6" x14ac:dyDescent="0.25">
      <c r="A1179" s="4" t="s">
        <v>109</v>
      </c>
      <c r="B1179" s="4" t="str">
        <f>VLOOKUP(A1179,Codes!$G$2:$H$217,2,0)</f>
        <v>MMR</v>
      </c>
      <c r="C1179" s="11">
        <v>34840105</v>
      </c>
      <c r="D1179" s="16">
        <v>2014</v>
      </c>
      <c r="E1179" s="13">
        <v>4521</v>
      </c>
      <c r="F1179" s="8">
        <v>0.12976424726618938</v>
      </c>
    </row>
    <row r="1180" spans="1:6" x14ac:dyDescent="0.25">
      <c r="A1180" s="4" t="s">
        <v>109</v>
      </c>
      <c r="B1180" s="4" t="str">
        <f>VLOOKUP(A1180,Codes!$G$2:$H$217,2,0)</f>
        <v>MMR</v>
      </c>
      <c r="C1180" s="11">
        <v>35303511</v>
      </c>
      <c r="D1180" s="16">
        <v>2015</v>
      </c>
      <c r="E1180" s="13">
        <v>4765</v>
      </c>
      <c r="F1180" s="8">
        <v>0.13497241110098085</v>
      </c>
    </row>
    <row r="1181" spans="1:6" x14ac:dyDescent="0.25">
      <c r="A1181" s="4" t="s">
        <v>109</v>
      </c>
      <c r="B1181" s="4" t="str">
        <f>VLOOKUP(A1181,Codes!$G$2:$H$217,2,0)</f>
        <v>MMR</v>
      </c>
      <c r="C1181" s="11">
        <v>35708535</v>
      </c>
      <c r="D1181" s="16">
        <v>2016</v>
      </c>
      <c r="E1181" s="13">
        <v>6663</v>
      </c>
      <c r="F1181" s="8">
        <v>0.186594045373186</v>
      </c>
    </row>
    <row r="1182" spans="1:6" x14ac:dyDescent="0.25">
      <c r="A1182" s="4" t="s">
        <v>109</v>
      </c>
      <c r="B1182" s="4" t="str">
        <f>VLOOKUP(A1182,Codes!$G$2:$H$217,2,0)</f>
        <v>MMR</v>
      </c>
      <c r="C1182" s="11">
        <v>36082447</v>
      </c>
      <c r="D1182" s="16">
        <v>2017</v>
      </c>
      <c r="E1182" s="13">
        <v>7558</v>
      </c>
      <c r="F1182" s="8">
        <v>0.2094647294846716</v>
      </c>
    </row>
    <row r="1183" spans="1:6" x14ac:dyDescent="0.25">
      <c r="A1183" s="4" t="s">
        <v>109</v>
      </c>
      <c r="B1183" s="4" t="str">
        <f>VLOOKUP(A1183,Codes!$G$2:$H$217,2,0)</f>
        <v>MMR</v>
      </c>
      <c r="C1183" s="11">
        <v>36438038</v>
      </c>
      <c r="D1183" s="16">
        <v>2018</v>
      </c>
      <c r="E1183" s="13">
        <v>14051</v>
      </c>
      <c r="F1183" s="8">
        <v>0.38561351739081012</v>
      </c>
    </row>
    <row r="1184" spans="1:6" x14ac:dyDescent="0.25">
      <c r="A1184" s="3" t="s">
        <v>110</v>
      </c>
      <c r="B1184" s="4" t="str">
        <f>VLOOKUP(A1184,Codes!$G$2:$H$217,2,0)</f>
        <v>NAM</v>
      </c>
      <c r="C1184" s="11">
        <v>1129202</v>
      </c>
      <c r="D1184" s="12">
        <v>2006</v>
      </c>
      <c r="E1184" s="13">
        <v>672</v>
      </c>
      <c r="F1184" s="8">
        <v>0.59511052938269682</v>
      </c>
    </row>
    <row r="1185" spans="1:6" x14ac:dyDescent="0.25">
      <c r="A1185" s="4" t="s">
        <v>110</v>
      </c>
      <c r="B1185" s="4" t="str">
        <f>VLOOKUP(A1185,Codes!$G$2:$H$217,2,0)</f>
        <v>NAM</v>
      </c>
      <c r="C1185" s="11">
        <v>1156567</v>
      </c>
      <c r="D1185" s="12">
        <v>2007</v>
      </c>
      <c r="E1185" s="13">
        <v>708</v>
      </c>
      <c r="F1185" s="8">
        <v>0.61215649417629936</v>
      </c>
    </row>
    <row r="1186" spans="1:6" x14ac:dyDescent="0.25">
      <c r="A1186" s="4" t="s">
        <v>110</v>
      </c>
      <c r="B1186" s="4" t="str">
        <f>VLOOKUP(A1186,Codes!$G$2:$H$217,2,0)</f>
        <v>NAM</v>
      </c>
      <c r="C1186" s="11">
        <v>1183554</v>
      </c>
      <c r="D1186" s="12">
        <v>2008</v>
      </c>
      <c r="E1186" s="13">
        <v>981</v>
      </c>
      <c r="F1186" s="8">
        <v>0.82885951971773142</v>
      </c>
    </row>
    <row r="1187" spans="1:6" x14ac:dyDescent="0.25">
      <c r="A1187" s="4" t="s">
        <v>110</v>
      </c>
      <c r="B1187" s="4" t="str">
        <f>VLOOKUP(A1187,Codes!$G$2:$H$217,2,0)</f>
        <v>NAM</v>
      </c>
      <c r="C1187" s="11">
        <v>1210919</v>
      </c>
      <c r="D1187" s="12">
        <v>2009</v>
      </c>
      <c r="E1187" s="13">
        <v>875</v>
      </c>
      <c r="F1187" s="8">
        <v>0.72259168449747668</v>
      </c>
    </row>
    <row r="1188" spans="1:6" x14ac:dyDescent="0.25">
      <c r="A1188" s="4" t="s">
        <v>110</v>
      </c>
      <c r="B1188" s="4" t="str">
        <f>VLOOKUP(A1188,Codes!$G$2:$H$217,2,0)</f>
        <v>NAM</v>
      </c>
      <c r="C1188" s="11">
        <v>1238780</v>
      </c>
      <c r="D1188" s="12">
        <v>2010</v>
      </c>
      <c r="E1188" s="13">
        <v>747</v>
      </c>
      <c r="F1188" s="8">
        <v>0.60301264146983324</v>
      </c>
    </row>
    <row r="1189" spans="1:6" x14ac:dyDescent="0.25">
      <c r="A1189" s="4" t="s">
        <v>110</v>
      </c>
      <c r="B1189" s="4" t="str">
        <f>VLOOKUP(A1189,Codes!$G$2:$H$217,2,0)</f>
        <v>NAM</v>
      </c>
      <c r="C1189" s="11">
        <v>1264118</v>
      </c>
      <c r="D1189" s="12">
        <v>2011</v>
      </c>
      <c r="E1189" s="13">
        <v>829</v>
      </c>
      <c r="F1189" s="8">
        <v>0.65579320917825712</v>
      </c>
    </row>
    <row r="1190" spans="1:6" x14ac:dyDescent="0.25">
      <c r="A1190" s="4" t="s">
        <v>110</v>
      </c>
      <c r="B1190" s="4" t="str">
        <f>VLOOKUP(A1190,Codes!$G$2:$H$217,2,0)</f>
        <v>NAM</v>
      </c>
      <c r="C1190" s="11">
        <v>1291305</v>
      </c>
      <c r="D1190" s="12">
        <v>2012</v>
      </c>
      <c r="E1190" s="13">
        <v>1050</v>
      </c>
      <c r="F1190" s="8">
        <v>0.81313090245914021</v>
      </c>
    </row>
    <row r="1191" spans="1:6" x14ac:dyDescent="0.25">
      <c r="A1191" s="4" t="s">
        <v>110</v>
      </c>
      <c r="B1191" s="4" t="str">
        <f>VLOOKUP(A1191,Codes!$G$2:$H$217,2,0)</f>
        <v>NAM</v>
      </c>
      <c r="C1191" s="11">
        <v>1319406</v>
      </c>
      <c r="D1191" s="12">
        <v>2013</v>
      </c>
      <c r="E1191" s="13">
        <v>1044</v>
      </c>
      <c r="F1191" s="8">
        <v>0.79126516023119498</v>
      </c>
    </row>
    <row r="1192" spans="1:6" x14ac:dyDescent="0.25">
      <c r="A1192" s="4" t="s">
        <v>110</v>
      </c>
      <c r="B1192" s="4" t="str">
        <f>VLOOKUP(A1192,Codes!$G$2:$H$217,2,0)</f>
        <v>NAM</v>
      </c>
      <c r="C1192" s="11">
        <v>1347092</v>
      </c>
      <c r="D1192" s="16">
        <v>2014</v>
      </c>
      <c r="E1192" s="13">
        <v>1112</v>
      </c>
      <c r="F1192" s="8">
        <v>0.82548185276135555</v>
      </c>
    </row>
    <row r="1193" spans="1:6" x14ac:dyDescent="0.25">
      <c r="A1193" s="4" t="s">
        <v>110</v>
      </c>
      <c r="B1193" s="4" t="str">
        <f>VLOOKUP(A1193,Codes!$G$2:$H$217,2,0)</f>
        <v>NAM</v>
      </c>
      <c r="C1193" s="11">
        <v>1373974</v>
      </c>
      <c r="D1193" s="16">
        <v>2015</v>
      </c>
      <c r="E1193" s="13">
        <v>1226</v>
      </c>
      <c r="F1193" s="8">
        <v>0.8923021833018675</v>
      </c>
    </row>
    <row r="1194" spans="1:6" x14ac:dyDescent="0.25">
      <c r="A1194" s="4" t="s">
        <v>110</v>
      </c>
      <c r="B1194" s="4" t="str">
        <f>VLOOKUP(A1194,Codes!$G$2:$H$217,2,0)</f>
        <v>NAM</v>
      </c>
      <c r="C1194" s="11">
        <v>1401235</v>
      </c>
      <c r="D1194" s="16">
        <v>2016</v>
      </c>
      <c r="E1194" s="13">
        <v>1409</v>
      </c>
      <c r="F1194" s="8">
        <v>1.0055415401413752</v>
      </c>
    </row>
    <row r="1195" spans="1:6" x14ac:dyDescent="0.25">
      <c r="A1195" s="4" t="s">
        <v>110</v>
      </c>
      <c r="B1195" s="4" t="str">
        <f>VLOOKUP(A1195,Codes!$G$2:$H$217,2,0)</f>
        <v>NAM</v>
      </c>
      <c r="C1195" s="11">
        <v>1428325</v>
      </c>
      <c r="D1195" s="16">
        <v>2017</v>
      </c>
      <c r="E1195" s="13">
        <v>1140</v>
      </c>
      <c r="F1195" s="8">
        <v>0.7981376787495843</v>
      </c>
    </row>
    <row r="1196" spans="1:6" x14ac:dyDescent="0.25">
      <c r="A1196" s="4" t="s">
        <v>110</v>
      </c>
      <c r="B1196" s="4" t="str">
        <f>VLOOKUP(A1196,Codes!$G$2:$H$217,2,0)</f>
        <v>NAM</v>
      </c>
      <c r="C1196" s="11">
        <v>1455605</v>
      </c>
      <c r="D1196" s="16">
        <v>2018</v>
      </c>
      <c r="E1196" s="13">
        <v>2850</v>
      </c>
      <c r="F1196" s="8">
        <v>1.9579487567025393</v>
      </c>
    </row>
    <row r="1197" spans="1:6" x14ac:dyDescent="0.25">
      <c r="A1197" s="4" t="s">
        <v>110</v>
      </c>
      <c r="B1197" s="4" t="str">
        <f>VLOOKUP(A1197,Codes!$G$2:$H$217,2,0)</f>
        <v>NAM</v>
      </c>
      <c r="C1197" s="11">
        <v>1483893</v>
      </c>
      <c r="D1197" s="16">
        <v>2019</v>
      </c>
      <c r="E1197" s="13">
        <v>1155</v>
      </c>
      <c r="F1197" s="8">
        <v>0.7783580082930508</v>
      </c>
    </row>
    <row r="1198" spans="1:6" x14ac:dyDescent="0.25">
      <c r="A1198" s="4" t="s">
        <v>110</v>
      </c>
      <c r="B1198" s="4" t="str">
        <f>VLOOKUP(A1198,Codes!$G$2:$H$217,2,0)</f>
        <v>NAM</v>
      </c>
      <c r="C1198" s="11">
        <v>1513698</v>
      </c>
      <c r="D1198" s="16">
        <v>2020</v>
      </c>
      <c r="E1198" s="13">
        <v>852</v>
      </c>
      <c r="F1198" s="8">
        <v>0.5628599628195321</v>
      </c>
    </row>
    <row r="1199" spans="1:6" x14ac:dyDescent="0.25">
      <c r="A1199" s="3" t="s">
        <v>111</v>
      </c>
      <c r="B1199" s="4" t="str">
        <f>VLOOKUP(A1199,Codes!$G$2:$H$217,2,0)</f>
        <v>NPL</v>
      </c>
      <c r="C1199" s="11">
        <v>14844766</v>
      </c>
      <c r="D1199" s="12">
        <v>2006</v>
      </c>
      <c r="E1199" s="13">
        <v>5596</v>
      </c>
      <c r="F1199" s="8">
        <v>0.37696788214782234</v>
      </c>
    </row>
    <row r="1200" spans="1:6" x14ac:dyDescent="0.25">
      <c r="A1200" s="4" t="s">
        <v>111</v>
      </c>
      <c r="B1200" s="4" t="str">
        <f>VLOOKUP(A1200,Codes!$G$2:$H$217,2,0)</f>
        <v>NPL</v>
      </c>
      <c r="C1200" s="11">
        <v>15142058</v>
      </c>
      <c r="D1200" s="12">
        <v>2007</v>
      </c>
      <c r="E1200" s="13">
        <v>7178</v>
      </c>
      <c r="F1200" s="8">
        <v>0.47404388491973815</v>
      </c>
    </row>
    <row r="1201" spans="1:6" x14ac:dyDescent="0.25">
      <c r="A1201" s="4" t="s">
        <v>111</v>
      </c>
      <c r="B1201" s="4" t="str">
        <f>VLOOKUP(A1201,Codes!$G$2:$H$217,2,0)</f>
        <v>NPL</v>
      </c>
      <c r="C1201" s="11">
        <v>15412293</v>
      </c>
      <c r="D1201" s="12">
        <v>2008</v>
      </c>
      <c r="E1201" s="13">
        <v>8510</v>
      </c>
      <c r="F1201" s="8">
        <v>0.55215664534796993</v>
      </c>
    </row>
    <row r="1202" spans="1:6" x14ac:dyDescent="0.25">
      <c r="A1202" s="4" t="s">
        <v>111</v>
      </c>
      <c r="B1202" s="4" t="str">
        <f>VLOOKUP(A1202,Codes!$G$2:$H$217,2,0)</f>
        <v>NPL</v>
      </c>
      <c r="C1202" s="11">
        <v>15650887</v>
      </c>
      <c r="D1202" s="12">
        <v>2009</v>
      </c>
      <c r="E1202" s="13">
        <v>9893</v>
      </c>
      <c r="F1202" s="8">
        <v>0.63210474907907777</v>
      </c>
    </row>
    <row r="1203" spans="1:6" x14ac:dyDescent="0.25">
      <c r="A1203" s="4" t="s">
        <v>111</v>
      </c>
      <c r="B1203" s="4" t="str">
        <f>VLOOKUP(A1203,Codes!$G$2:$H$217,2,0)</f>
        <v>NPL</v>
      </c>
      <c r="C1203" s="11">
        <v>15856476</v>
      </c>
      <c r="D1203" s="12">
        <v>2010</v>
      </c>
      <c r="E1203" s="13">
        <v>9750</v>
      </c>
      <c r="F1203" s="8">
        <v>0.61489072351258878</v>
      </c>
    </row>
    <row r="1204" spans="1:6" x14ac:dyDescent="0.25">
      <c r="A1204" s="4" t="s">
        <v>111</v>
      </c>
      <c r="B1204" s="4" t="str">
        <f>VLOOKUP(A1204,Codes!$G$2:$H$217,2,0)</f>
        <v>NPL</v>
      </c>
      <c r="C1204" s="11">
        <v>15965957</v>
      </c>
      <c r="D1204" s="12">
        <v>2011</v>
      </c>
      <c r="E1204" s="13">
        <v>10000</v>
      </c>
      <c r="F1204" s="8">
        <v>0.62633264012924506</v>
      </c>
    </row>
    <row r="1205" spans="1:6" x14ac:dyDescent="0.25">
      <c r="A1205" s="4" t="s">
        <v>111</v>
      </c>
      <c r="B1205" s="4" t="str">
        <f>VLOOKUP(A1205,Codes!$G$2:$H$217,2,0)</f>
        <v>NPL</v>
      </c>
      <c r="C1205" s="11">
        <v>16059411</v>
      </c>
      <c r="D1205" s="12">
        <v>2012</v>
      </c>
      <c r="E1205" s="13">
        <v>10456</v>
      </c>
      <c r="F1205" s="8">
        <v>0.65108240893766278</v>
      </c>
    </row>
    <row r="1206" spans="1:6" x14ac:dyDescent="0.25">
      <c r="A1206" s="4" t="s">
        <v>111</v>
      </c>
      <c r="B1206" s="4" t="str">
        <f>VLOOKUP(A1206,Codes!$G$2:$H$217,2,0)</f>
        <v>NPL</v>
      </c>
      <c r="C1206" s="11">
        <v>16162565</v>
      </c>
      <c r="D1206" s="12">
        <v>2013</v>
      </c>
      <c r="E1206" s="13">
        <v>9359</v>
      </c>
      <c r="F1206" s="8">
        <v>0.57905412909398968</v>
      </c>
    </row>
    <row r="1207" spans="1:6" x14ac:dyDescent="0.25">
      <c r="A1207" s="4" t="s">
        <v>111</v>
      </c>
      <c r="B1207" s="4" t="str">
        <f>VLOOKUP(A1207,Codes!$G$2:$H$217,2,0)</f>
        <v>NPL</v>
      </c>
      <c r="C1207" s="11">
        <v>16304563</v>
      </c>
      <c r="D1207" s="16">
        <v>2014</v>
      </c>
      <c r="E1207" s="13">
        <v>11971</v>
      </c>
      <c r="F1207" s="8">
        <v>0.73421164369753422</v>
      </c>
    </row>
    <row r="1208" spans="1:6" x14ac:dyDescent="0.25">
      <c r="A1208" s="4" t="s">
        <v>111</v>
      </c>
      <c r="B1208" s="4" t="str">
        <f>VLOOKUP(A1208,Codes!$G$2:$H$217,2,0)</f>
        <v>NPL</v>
      </c>
      <c r="C1208" s="11">
        <v>16507814</v>
      </c>
      <c r="D1208" s="16">
        <v>2015</v>
      </c>
      <c r="E1208" s="13">
        <v>12446</v>
      </c>
      <c r="F1208" s="8">
        <v>0.75394597976449207</v>
      </c>
    </row>
    <row r="1209" spans="1:6" x14ac:dyDescent="0.25">
      <c r="A1209" s="4" t="s">
        <v>111</v>
      </c>
      <c r="B1209" s="4" t="str">
        <f>VLOOKUP(A1209,Codes!$G$2:$H$217,2,0)</f>
        <v>NPL</v>
      </c>
      <c r="C1209" s="11">
        <v>16924304</v>
      </c>
      <c r="D1209" s="16">
        <v>2016</v>
      </c>
      <c r="E1209" s="13">
        <v>17222</v>
      </c>
      <c r="F1209" s="8">
        <v>1.0175898518485607</v>
      </c>
    </row>
    <row r="1210" spans="1:6" x14ac:dyDescent="0.25">
      <c r="A1210" s="4" t="s">
        <v>111</v>
      </c>
      <c r="B1210" s="4" t="str">
        <f>VLOOKUP(A1210,Codes!$G$2:$H$217,2,0)</f>
        <v>NPL</v>
      </c>
      <c r="C1210" s="11">
        <v>17408259</v>
      </c>
      <c r="D1210" s="16">
        <v>2017</v>
      </c>
      <c r="E1210" s="13">
        <v>19268</v>
      </c>
      <c r="F1210" s="8">
        <v>1.1068309587994987</v>
      </c>
    </row>
    <row r="1211" spans="1:6" x14ac:dyDescent="0.25">
      <c r="A1211" s="4" t="s">
        <v>111</v>
      </c>
      <c r="B1211" s="4" t="str">
        <f>VLOOKUP(A1211,Codes!$G$2:$H$217,2,0)</f>
        <v>NPL</v>
      </c>
      <c r="C1211" s="11">
        <v>17941378</v>
      </c>
      <c r="D1211" s="16">
        <v>2018</v>
      </c>
      <c r="E1211" s="13">
        <v>24088</v>
      </c>
      <c r="F1211" s="8">
        <v>1.3425947549848178</v>
      </c>
    </row>
    <row r="1212" spans="1:6" x14ac:dyDescent="0.25">
      <c r="A1212" s="4" t="s">
        <v>111</v>
      </c>
      <c r="B1212" s="4" t="str">
        <f>VLOOKUP(A1212,Codes!$G$2:$H$217,2,0)</f>
        <v>NPL</v>
      </c>
      <c r="C1212" s="11">
        <v>18494692</v>
      </c>
      <c r="D1212" s="16">
        <v>2019</v>
      </c>
      <c r="E1212" s="13">
        <v>18085</v>
      </c>
      <c r="F1212" s="8">
        <v>0.97784813069609389</v>
      </c>
    </row>
    <row r="1213" spans="1:6" x14ac:dyDescent="0.25">
      <c r="A1213" s="4" t="s">
        <v>111</v>
      </c>
      <c r="B1213" s="4" t="str">
        <f>VLOOKUP(A1213,Codes!$G$2:$H$217,2,0)</f>
        <v>NPL</v>
      </c>
      <c r="C1213" s="11">
        <v>19044441</v>
      </c>
      <c r="D1213" s="16">
        <v>2020</v>
      </c>
      <c r="E1213" s="13">
        <v>25859</v>
      </c>
      <c r="F1213" s="8">
        <v>1.3578240495481071</v>
      </c>
    </row>
    <row r="1214" spans="1:6" x14ac:dyDescent="0.25">
      <c r="A1214" s="3" t="s">
        <v>112</v>
      </c>
      <c r="B1214" s="4" t="str">
        <f>VLOOKUP(A1214,Codes!$G$2:$H$217,2,0)</f>
        <v>NLD</v>
      </c>
      <c r="C1214" s="11">
        <v>11078548</v>
      </c>
      <c r="D1214" s="16">
        <v>2016</v>
      </c>
      <c r="E1214" s="18">
        <v>31509</v>
      </c>
      <c r="F1214" s="8">
        <v>2.8441452796882767</v>
      </c>
    </row>
    <row r="1215" spans="1:6" x14ac:dyDescent="0.25">
      <c r="A1215" s="4" t="s">
        <v>112</v>
      </c>
      <c r="B1215" s="4" t="str">
        <f>VLOOKUP(A1215,Codes!$G$2:$H$217,2,0)</f>
        <v>NLD</v>
      </c>
      <c r="C1215" s="11">
        <v>11110457</v>
      </c>
      <c r="D1215" s="16">
        <v>2017</v>
      </c>
      <c r="E1215" s="18">
        <v>31981</v>
      </c>
      <c r="F1215" s="8">
        <v>2.8784594549081106</v>
      </c>
    </row>
    <row r="1216" spans="1:6" x14ac:dyDescent="0.25">
      <c r="A1216" s="4" t="s">
        <v>112</v>
      </c>
      <c r="B1216" s="4" t="str">
        <f>VLOOKUP(A1216,Codes!$G$2:$H$217,2,0)</f>
        <v>NLD</v>
      </c>
      <c r="C1216" s="11">
        <v>11148111</v>
      </c>
      <c r="D1216" s="16">
        <v>2018</v>
      </c>
      <c r="E1216" s="18">
        <v>33084</v>
      </c>
      <c r="F1216" s="8">
        <v>2.9676776630587907</v>
      </c>
    </row>
    <row r="1217" spans="1:6" x14ac:dyDescent="0.25">
      <c r="A1217" s="4" t="s">
        <v>112</v>
      </c>
      <c r="B1217" s="4" t="str">
        <f>VLOOKUP(A1217,Codes!$G$2:$H$217,2,0)</f>
        <v>NLD</v>
      </c>
      <c r="C1217" s="11">
        <v>11189384</v>
      </c>
      <c r="D1217" s="16">
        <v>2019</v>
      </c>
      <c r="E1217" s="18">
        <v>33284</v>
      </c>
      <c r="F1217" s="8">
        <v>2.9746052150860138</v>
      </c>
    </row>
    <row r="1218" spans="1:6" x14ac:dyDescent="0.25">
      <c r="A1218" s="4" t="s">
        <v>112</v>
      </c>
      <c r="B1218" s="4" t="str">
        <f>VLOOKUP(A1218,Codes!$G$2:$H$217,2,0)</f>
        <v>NLD</v>
      </c>
      <c r="C1218" s="11">
        <v>11208290</v>
      </c>
      <c r="D1218" s="16">
        <v>2020</v>
      </c>
      <c r="E1218" s="18">
        <v>34777</v>
      </c>
      <c r="F1218" s="8">
        <v>3.1027926650720135</v>
      </c>
    </row>
    <row r="1219" spans="1:6" x14ac:dyDescent="0.25">
      <c r="A1219" s="3" t="s">
        <v>113</v>
      </c>
      <c r="B1219" s="4" t="e">
        <f>VLOOKUP(A1219,Codes!$G$2:$H$217,2,0)</f>
        <v>#N/A</v>
      </c>
      <c r="C1219" s="19">
        <v>149358</v>
      </c>
      <c r="D1219" s="12">
        <v>2006</v>
      </c>
      <c r="E1219" s="18">
        <v>1297</v>
      </c>
      <c r="F1219" s="8">
        <v>8.683833473935108</v>
      </c>
    </row>
    <row r="1220" spans="1:6" x14ac:dyDescent="0.25">
      <c r="A1220" s="4" t="s">
        <v>113</v>
      </c>
      <c r="B1220" s="4" t="e">
        <f>VLOOKUP(A1220,Codes!$G$2:$H$217,2,0)</f>
        <v>#N/A</v>
      </c>
      <c r="C1220" s="19">
        <v>150708</v>
      </c>
      <c r="D1220" s="12">
        <v>2007</v>
      </c>
      <c r="E1220" s="18">
        <v>1418</v>
      </c>
      <c r="F1220" s="8">
        <v>9.4089232157549691</v>
      </c>
    </row>
    <row r="1221" spans="1:6" x14ac:dyDescent="0.25">
      <c r="A1221" s="4" t="s">
        <v>113</v>
      </c>
      <c r="B1221" s="4" t="e">
        <f>VLOOKUP(A1221,Codes!$G$2:$H$217,2,0)</f>
        <v>#N/A</v>
      </c>
      <c r="C1221" s="19">
        <v>152161</v>
      </c>
      <c r="D1221" s="12">
        <v>2008</v>
      </c>
      <c r="E1221" s="18">
        <v>1535</v>
      </c>
      <c r="F1221" s="8">
        <v>10.08799889590631</v>
      </c>
    </row>
    <row r="1222" spans="1:6" x14ac:dyDescent="0.25">
      <c r="A1222" s="4" t="s">
        <v>113</v>
      </c>
      <c r="B1222" s="4" t="e">
        <f>VLOOKUP(A1222,Codes!$G$2:$H$217,2,0)</f>
        <v>#N/A</v>
      </c>
      <c r="C1222" s="19">
        <v>153617</v>
      </c>
      <c r="D1222" s="12">
        <v>2009</v>
      </c>
      <c r="E1222" s="18">
        <v>1227</v>
      </c>
      <c r="F1222" s="8">
        <v>7.9873972281713606</v>
      </c>
    </row>
    <row r="1223" spans="1:6" x14ac:dyDescent="0.25">
      <c r="A1223" s="4" t="s">
        <v>113</v>
      </c>
      <c r="B1223" s="4" t="e">
        <f>VLOOKUP(A1223,Codes!$G$2:$H$217,2,0)</f>
        <v>#N/A</v>
      </c>
      <c r="C1223" s="19">
        <v>154723</v>
      </c>
      <c r="D1223" s="12">
        <v>2010</v>
      </c>
      <c r="E1223" s="18">
        <v>1342</v>
      </c>
      <c r="F1223" s="8">
        <v>8.6735650161902242</v>
      </c>
    </row>
    <row r="1224" spans="1:6" x14ac:dyDescent="0.25">
      <c r="A1224" s="4" t="s">
        <v>113</v>
      </c>
      <c r="B1224" s="4" t="e">
        <f>VLOOKUP(A1224,Codes!$G$2:$H$217,2,0)</f>
        <v>#N/A</v>
      </c>
      <c r="C1224" s="19">
        <v>155837</v>
      </c>
      <c r="D1224" s="12">
        <v>2011</v>
      </c>
      <c r="E1224" s="18">
        <v>1265</v>
      </c>
      <c r="F1224" s="8">
        <v>8.1174560598574139</v>
      </c>
    </row>
    <row r="1225" spans="1:6" x14ac:dyDescent="0.25">
      <c r="A1225" s="4" t="s">
        <v>113</v>
      </c>
      <c r="B1225" s="4" t="e">
        <f>VLOOKUP(A1225,Codes!$G$2:$H$217,2,0)</f>
        <v>#N/A</v>
      </c>
      <c r="C1225" s="19">
        <v>156959</v>
      </c>
      <c r="D1225" s="12">
        <v>2012</v>
      </c>
      <c r="E1225" s="18">
        <v>1292</v>
      </c>
      <c r="F1225" s="8">
        <v>8.2314489771214134</v>
      </c>
    </row>
    <row r="1226" spans="1:6" x14ac:dyDescent="0.25">
      <c r="A1226" s="4" t="s">
        <v>113</v>
      </c>
      <c r="B1226" s="4" t="e">
        <f>VLOOKUP(A1226,Codes!$G$2:$H$217,2,0)</f>
        <v>#N/A</v>
      </c>
      <c r="C1226" s="19">
        <v>158089</v>
      </c>
      <c r="D1226" s="12">
        <v>2013</v>
      </c>
      <c r="E1226" s="18">
        <v>1237</v>
      </c>
      <c r="F1226" s="8">
        <v>7.8247063363042333</v>
      </c>
    </row>
    <row r="1227" spans="1:6" x14ac:dyDescent="0.25">
      <c r="A1227" s="4" t="s">
        <v>113</v>
      </c>
      <c r="B1227" s="4" t="e">
        <f>VLOOKUP(A1227,Codes!$G$2:$H$217,2,0)</f>
        <v>#N/A</v>
      </c>
      <c r="C1227" s="19">
        <v>159227</v>
      </c>
      <c r="D1227" s="16">
        <v>2014</v>
      </c>
      <c r="E1227" s="18">
        <v>1236</v>
      </c>
      <c r="F1227" s="8">
        <v>7.7625025906410343</v>
      </c>
    </row>
    <row r="1228" spans="1:6" x14ac:dyDescent="0.25">
      <c r="A1228" s="4" t="s">
        <v>113</v>
      </c>
      <c r="B1228" s="4" t="e">
        <f>VLOOKUP(A1228,Codes!$G$2:$H$217,2,0)</f>
        <v>#N/A</v>
      </c>
      <c r="C1228" s="19">
        <v>160373</v>
      </c>
      <c r="D1228" s="16">
        <v>2015</v>
      </c>
      <c r="E1228" s="18">
        <v>1302</v>
      </c>
      <c r="F1228" s="8">
        <v>8.1185735753524586</v>
      </c>
    </row>
    <row r="1229" spans="1:6" x14ac:dyDescent="0.25">
      <c r="A1229" s="4" t="s">
        <v>113</v>
      </c>
      <c r="B1229" s="4" t="e">
        <f>VLOOKUP(A1229,Codes!$G$2:$H$217,2,0)</f>
        <v>#N/A</v>
      </c>
      <c r="C1229" s="19">
        <v>161528</v>
      </c>
      <c r="D1229" s="16">
        <v>2016</v>
      </c>
      <c r="E1229" s="18">
        <v>1279</v>
      </c>
      <c r="F1229" s="8">
        <v>7.9181318409192212</v>
      </c>
    </row>
    <row r="1230" spans="1:6" x14ac:dyDescent="0.25">
      <c r="A1230" s="3" t="s">
        <v>114</v>
      </c>
      <c r="B1230" s="4" t="str">
        <f>VLOOKUP(A1230,Codes!$G$2:$H$217,2,0)</f>
        <v>NZL</v>
      </c>
      <c r="C1230" s="11">
        <v>2781336</v>
      </c>
      <c r="D1230" s="12">
        <v>2006</v>
      </c>
      <c r="E1230" s="18">
        <v>67842</v>
      </c>
      <c r="F1230" s="8">
        <v>24.391874983820724</v>
      </c>
    </row>
    <row r="1231" spans="1:6" x14ac:dyDescent="0.25">
      <c r="A1231" s="4" t="s">
        <v>114</v>
      </c>
      <c r="B1231" s="4" t="str">
        <f>VLOOKUP(A1231,Codes!$G$2:$H$217,2,0)</f>
        <v>NZL</v>
      </c>
      <c r="C1231" s="11">
        <v>2809736</v>
      </c>
      <c r="D1231" s="12">
        <v>2007</v>
      </c>
      <c r="E1231" s="18">
        <v>70351</v>
      </c>
      <c r="F1231" s="8">
        <v>25.038295412807468</v>
      </c>
    </row>
    <row r="1232" spans="1:6" x14ac:dyDescent="0.25">
      <c r="A1232" s="4" t="s">
        <v>114</v>
      </c>
      <c r="B1232" s="4" t="str">
        <f>VLOOKUP(A1232,Codes!$G$2:$H$217,2,0)</f>
        <v>NZL</v>
      </c>
      <c r="C1232" s="11">
        <v>2834758</v>
      </c>
      <c r="D1232" s="12">
        <v>2008</v>
      </c>
      <c r="E1232" s="18">
        <v>53401</v>
      </c>
      <c r="F1232" s="8">
        <v>18.837939605426637</v>
      </c>
    </row>
    <row r="1233" spans="1:6" x14ac:dyDescent="0.25">
      <c r="A1233" s="4" t="s">
        <v>114</v>
      </c>
      <c r="B1233" s="4" t="str">
        <f>VLOOKUP(A1233,Codes!$G$2:$H$217,2,0)</f>
        <v>NZL</v>
      </c>
      <c r="C1233" s="11">
        <v>2862340</v>
      </c>
      <c r="D1233" s="12">
        <v>2009</v>
      </c>
      <c r="E1233" s="18">
        <v>48316</v>
      </c>
      <c r="F1233" s="8">
        <v>16.879895470139815</v>
      </c>
    </row>
    <row r="1234" spans="1:6" x14ac:dyDescent="0.25">
      <c r="A1234" s="4" t="s">
        <v>114</v>
      </c>
      <c r="B1234" s="4" t="str">
        <f>VLOOKUP(A1234,Codes!$G$2:$H$217,2,0)</f>
        <v>NZL</v>
      </c>
      <c r="C1234" s="11">
        <v>2891030</v>
      </c>
      <c r="D1234" s="12">
        <v>2010</v>
      </c>
      <c r="E1234" s="18">
        <v>45168</v>
      </c>
      <c r="F1234" s="8">
        <v>15.623497507808635</v>
      </c>
    </row>
    <row r="1235" spans="1:6" x14ac:dyDescent="0.25">
      <c r="A1235" s="4" t="s">
        <v>114</v>
      </c>
      <c r="B1235" s="4" t="str">
        <f>VLOOKUP(A1235,Codes!$G$2:$H$217,2,0)</f>
        <v>NZL</v>
      </c>
      <c r="C1235" s="11">
        <v>2902789</v>
      </c>
      <c r="D1235" s="12">
        <v>2011</v>
      </c>
      <c r="E1235" s="18">
        <v>42172</v>
      </c>
      <c r="F1235" s="8">
        <v>14.528096944007988</v>
      </c>
    </row>
    <row r="1236" spans="1:6" x14ac:dyDescent="0.25">
      <c r="A1236" s="4" t="s">
        <v>114</v>
      </c>
      <c r="B1236" s="4" t="str">
        <f>VLOOKUP(A1236,Codes!$G$2:$H$217,2,0)</f>
        <v>NZL</v>
      </c>
      <c r="C1236" s="11">
        <v>2909454</v>
      </c>
      <c r="D1236" s="12">
        <v>2012</v>
      </c>
      <c r="E1236" s="18">
        <v>43860</v>
      </c>
      <c r="F1236" s="8">
        <v>15.074993452379724</v>
      </c>
    </row>
    <row r="1237" spans="1:6" x14ac:dyDescent="0.25">
      <c r="A1237" s="4" t="s">
        <v>114</v>
      </c>
      <c r="B1237" s="4" t="str">
        <f>VLOOKUP(A1237,Codes!$G$2:$H$217,2,0)</f>
        <v>NZL</v>
      </c>
      <c r="C1237" s="11">
        <v>2922995</v>
      </c>
      <c r="D1237" s="12">
        <v>2013</v>
      </c>
      <c r="E1237" s="18">
        <v>45419</v>
      </c>
      <c r="F1237" s="8">
        <v>15.538514434680868</v>
      </c>
    </row>
    <row r="1238" spans="1:6" x14ac:dyDescent="0.25">
      <c r="A1238" s="4" t="s">
        <v>114</v>
      </c>
      <c r="B1238" s="4" t="str">
        <f>VLOOKUP(A1238,Codes!$G$2:$H$217,2,0)</f>
        <v>NZL</v>
      </c>
      <c r="C1238" s="11">
        <v>2962680</v>
      </c>
      <c r="D1238" s="16">
        <v>2014</v>
      </c>
      <c r="E1238" s="18">
        <v>48904</v>
      </c>
      <c r="F1238" s="8">
        <v>16.506676387595018</v>
      </c>
    </row>
    <row r="1239" spans="1:6" x14ac:dyDescent="0.25">
      <c r="A1239" s="4" t="s">
        <v>114</v>
      </c>
      <c r="B1239" s="4" t="str">
        <f>VLOOKUP(A1239,Codes!$G$2:$H$217,2,0)</f>
        <v>NZL</v>
      </c>
      <c r="C1239" s="11">
        <v>3013718</v>
      </c>
      <c r="D1239" s="16">
        <v>2015</v>
      </c>
      <c r="E1239" s="18">
        <v>52337</v>
      </c>
      <c r="F1239" s="8">
        <v>17.366256564150994</v>
      </c>
    </row>
    <row r="1240" spans="1:6" x14ac:dyDescent="0.25">
      <c r="A1240" s="4" t="s">
        <v>114</v>
      </c>
      <c r="B1240" s="4" t="str">
        <f>VLOOKUP(A1240,Codes!$G$2:$H$217,2,0)</f>
        <v>NZL</v>
      </c>
      <c r="C1240" s="11">
        <v>3073135</v>
      </c>
      <c r="D1240" s="16">
        <v>2016</v>
      </c>
      <c r="E1240" s="18">
        <v>58130</v>
      </c>
      <c r="F1240" s="8">
        <v>18.915537390970456</v>
      </c>
    </row>
    <row r="1241" spans="1:6" x14ac:dyDescent="0.25">
      <c r="A1241" s="4" t="s">
        <v>114</v>
      </c>
      <c r="B1241" s="4" t="str">
        <f>VLOOKUP(A1241,Codes!$G$2:$H$217,2,0)</f>
        <v>NZL</v>
      </c>
      <c r="C1241" s="11">
        <v>3126644</v>
      </c>
      <c r="D1241" s="16">
        <v>2017</v>
      </c>
      <c r="E1241" s="18">
        <v>57917</v>
      </c>
      <c r="F1241" s="8">
        <v>18.523695054505726</v>
      </c>
    </row>
    <row r="1242" spans="1:6" x14ac:dyDescent="0.25">
      <c r="A1242" s="4" t="s">
        <v>114</v>
      </c>
      <c r="B1242" s="4" t="str">
        <f>VLOOKUP(A1242,Codes!$G$2:$H$217,2,0)</f>
        <v>NZL</v>
      </c>
      <c r="C1242" s="11">
        <v>3170401</v>
      </c>
      <c r="D1242" s="16">
        <v>2018</v>
      </c>
      <c r="E1242" s="18">
        <v>56380</v>
      </c>
      <c r="F1242" s="8">
        <v>17.78323940725479</v>
      </c>
    </row>
    <row r="1243" spans="1:6" x14ac:dyDescent="0.25">
      <c r="A1243" s="4" t="s">
        <v>114</v>
      </c>
      <c r="B1243" s="4" t="str">
        <f>VLOOKUP(A1243,Codes!$G$2:$H$217,2,0)</f>
        <v>NZL</v>
      </c>
      <c r="C1243" s="11">
        <v>3208633</v>
      </c>
      <c r="D1243" s="16">
        <v>2019</v>
      </c>
      <c r="E1243" s="18">
        <v>53098</v>
      </c>
      <c r="F1243" s="8">
        <v>16.548480302982608</v>
      </c>
    </row>
    <row r="1244" spans="1:6" x14ac:dyDescent="0.25">
      <c r="A1244" s="4" t="s">
        <v>114</v>
      </c>
      <c r="B1244" s="4" t="str">
        <f>VLOOKUP(A1244,Codes!$G$2:$H$217,2,0)</f>
        <v>NZL</v>
      </c>
      <c r="C1244" s="11">
        <v>3264172</v>
      </c>
      <c r="D1244" s="16">
        <v>2020</v>
      </c>
      <c r="E1244" s="18">
        <v>58375</v>
      </c>
      <c r="F1244" s="8">
        <v>17.883555155794486</v>
      </c>
    </row>
    <row r="1245" spans="1:6" x14ac:dyDescent="0.25">
      <c r="A1245" s="3" t="s">
        <v>115</v>
      </c>
      <c r="B1245" s="4" t="str">
        <f>VLOOKUP(A1245,Codes!$G$2:$H$217,2,0)</f>
        <v>NER</v>
      </c>
      <c r="C1245" s="11">
        <v>9824443</v>
      </c>
      <c r="D1245" s="16">
        <v>2016</v>
      </c>
      <c r="E1245" s="13">
        <v>762</v>
      </c>
      <c r="F1245" s="8">
        <v>7.756164904208819E-2</v>
      </c>
    </row>
    <row r="1246" spans="1:6" x14ac:dyDescent="0.25">
      <c r="A1246" s="4" t="s">
        <v>115</v>
      </c>
      <c r="B1246" s="4" t="str">
        <f>VLOOKUP(A1246,Codes!$G$2:$H$217,2,0)</f>
        <v>NER</v>
      </c>
      <c r="C1246" s="11">
        <v>10221463</v>
      </c>
      <c r="D1246" s="16">
        <v>2017</v>
      </c>
      <c r="E1246" s="13">
        <v>759</v>
      </c>
      <c r="F1246" s="8">
        <v>7.4255515086245477E-2</v>
      </c>
    </row>
    <row r="1247" spans="1:6" x14ac:dyDescent="0.25">
      <c r="A1247" s="4" t="s">
        <v>115</v>
      </c>
      <c r="B1247" s="4" t="str">
        <f>VLOOKUP(A1247,Codes!$G$2:$H$217,2,0)</f>
        <v>NER</v>
      </c>
      <c r="C1247" s="11">
        <v>10642540</v>
      </c>
      <c r="D1247" s="16">
        <v>2018</v>
      </c>
      <c r="E1247" s="13">
        <v>931</v>
      </c>
      <c r="F1247" s="8">
        <v>8.7479116827373915E-2</v>
      </c>
    </row>
    <row r="1248" spans="1:6" x14ac:dyDescent="0.25">
      <c r="A1248" s="3" t="s">
        <v>116</v>
      </c>
      <c r="B1248" s="4" t="str">
        <f>VLOOKUP(A1248,Codes!$G$2:$H$217,2,0)</f>
        <v>NGA</v>
      </c>
      <c r="C1248" s="11">
        <v>76180639</v>
      </c>
      <c r="D1248" s="12">
        <v>2006</v>
      </c>
      <c r="E1248" s="13">
        <v>34531</v>
      </c>
      <c r="F1248" s="8">
        <v>0.4532778991260496</v>
      </c>
    </row>
    <row r="1249" spans="1:6" x14ac:dyDescent="0.25">
      <c r="A1249" s="4" t="s">
        <v>116</v>
      </c>
      <c r="B1249" s="4" t="str">
        <f>VLOOKUP(A1249,Codes!$G$2:$H$217,2,0)</f>
        <v>NGA</v>
      </c>
      <c r="C1249" s="11">
        <v>78070732</v>
      </c>
      <c r="D1249" s="12">
        <v>2007</v>
      </c>
      <c r="E1249" s="13">
        <v>46240</v>
      </c>
      <c r="F1249" s="8">
        <v>0.59228341806760565</v>
      </c>
    </row>
    <row r="1250" spans="1:6" x14ac:dyDescent="0.25">
      <c r="A1250" s="4" t="s">
        <v>116</v>
      </c>
      <c r="B1250" s="4" t="str">
        <f>VLOOKUP(A1250,Codes!$G$2:$H$217,2,0)</f>
        <v>NGA</v>
      </c>
      <c r="C1250" s="11">
        <v>80071755</v>
      </c>
      <c r="D1250" s="12">
        <v>2008</v>
      </c>
      <c r="E1250" s="13">
        <v>64017</v>
      </c>
      <c r="F1250" s="8">
        <v>0.79949540259233731</v>
      </c>
    </row>
    <row r="1251" spans="1:6" x14ac:dyDescent="0.25">
      <c r="A1251" s="4" t="s">
        <v>116</v>
      </c>
      <c r="B1251" s="4" t="str">
        <f>VLOOKUP(A1251,Codes!$G$2:$H$217,2,0)</f>
        <v>NGA</v>
      </c>
      <c r="C1251" s="11">
        <v>82171811</v>
      </c>
      <c r="D1251" s="12">
        <v>2009</v>
      </c>
      <c r="E1251" s="13">
        <v>65089</v>
      </c>
      <c r="F1251" s="8">
        <v>0.79210862226220136</v>
      </c>
    </row>
    <row r="1252" spans="1:6" x14ac:dyDescent="0.25">
      <c r="A1252" s="4" t="s">
        <v>116</v>
      </c>
      <c r="B1252" s="4" t="str">
        <f>VLOOKUP(A1252,Codes!$G$2:$H$217,2,0)</f>
        <v>NGA</v>
      </c>
      <c r="C1252" s="11">
        <v>84365597</v>
      </c>
      <c r="D1252" s="12">
        <v>2010</v>
      </c>
      <c r="E1252" s="13">
        <v>65074</v>
      </c>
      <c r="F1252" s="8">
        <v>0.77133336708326738</v>
      </c>
    </row>
    <row r="1253" spans="1:6" x14ac:dyDescent="0.25">
      <c r="A1253" s="4" t="s">
        <v>116</v>
      </c>
      <c r="B1253" s="4" t="str">
        <f>VLOOKUP(A1253,Codes!$G$2:$H$217,2,0)</f>
        <v>NGA</v>
      </c>
      <c r="C1253" s="11">
        <v>86485958</v>
      </c>
      <c r="D1253" s="12">
        <v>2011</v>
      </c>
      <c r="E1253" s="13">
        <v>72396</v>
      </c>
      <c r="F1253" s="8">
        <v>0.83708386510559329</v>
      </c>
    </row>
    <row r="1254" spans="1:6" x14ac:dyDescent="0.25">
      <c r="A1254" s="4" t="s">
        <v>116</v>
      </c>
      <c r="B1254" s="4" t="str">
        <f>VLOOKUP(A1254,Codes!$G$2:$H$217,2,0)</f>
        <v>NGA</v>
      </c>
      <c r="C1254" s="11">
        <v>88719102</v>
      </c>
      <c r="D1254" s="12">
        <v>2012</v>
      </c>
      <c r="E1254" s="13">
        <v>81144</v>
      </c>
      <c r="F1254" s="8">
        <v>0.91461701224162528</v>
      </c>
    </row>
    <row r="1255" spans="1:6" x14ac:dyDescent="0.25">
      <c r="A1255" s="4" t="s">
        <v>116</v>
      </c>
      <c r="B1255" s="4" t="str">
        <f>VLOOKUP(A1255,Codes!$G$2:$H$217,2,0)</f>
        <v>NGA</v>
      </c>
      <c r="C1255" s="11">
        <v>91078088</v>
      </c>
      <c r="D1255" s="12">
        <v>2013</v>
      </c>
      <c r="E1255" s="13">
        <v>74391</v>
      </c>
      <c r="F1255" s="8">
        <v>0.81678262723301787</v>
      </c>
    </row>
    <row r="1256" spans="1:6" x14ac:dyDescent="0.25">
      <c r="A1256" s="4" t="s">
        <v>116</v>
      </c>
      <c r="B1256" s="4" t="str">
        <f>VLOOKUP(A1256,Codes!$G$2:$H$217,2,0)</f>
        <v>NGA</v>
      </c>
      <c r="C1256" s="11">
        <v>93584269</v>
      </c>
      <c r="D1256" s="16">
        <v>2014</v>
      </c>
      <c r="E1256" s="13">
        <v>71941</v>
      </c>
      <c r="F1256" s="8">
        <v>0.76872962484752649</v>
      </c>
    </row>
    <row r="1257" spans="1:6" x14ac:dyDescent="0.25">
      <c r="A1257" s="4" t="s">
        <v>116</v>
      </c>
      <c r="B1257" s="4" t="str">
        <f>VLOOKUP(A1257,Codes!$G$2:$H$217,2,0)</f>
        <v>NGA</v>
      </c>
      <c r="C1257" s="11">
        <v>96245480</v>
      </c>
      <c r="D1257" s="16">
        <v>2015</v>
      </c>
      <c r="E1257" s="13">
        <v>70441</v>
      </c>
      <c r="F1257" s="8">
        <v>0.73188891571843162</v>
      </c>
    </row>
    <row r="1258" spans="1:6" x14ac:dyDescent="0.25">
      <c r="A1258" s="4" t="s">
        <v>116</v>
      </c>
      <c r="B1258" s="4" t="str">
        <f>VLOOKUP(A1258,Codes!$G$2:$H$217,2,0)</f>
        <v>NGA</v>
      </c>
      <c r="C1258" s="11">
        <v>98834061</v>
      </c>
      <c r="D1258" s="16">
        <v>2016</v>
      </c>
      <c r="E1258" s="13">
        <v>75380</v>
      </c>
      <c r="F1258" s="8">
        <v>0.76269252965331447</v>
      </c>
    </row>
    <row r="1259" spans="1:6" x14ac:dyDescent="0.25">
      <c r="A1259" s="4" t="s">
        <v>116</v>
      </c>
      <c r="B1259" s="4" t="str">
        <f>VLOOKUP(A1259,Codes!$G$2:$H$217,2,0)</f>
        <v>NGA</v>
      </c>
      <c r="C1259" s="11">
        <v>101616615</v>
      </c>
      <c r="D1259" s="16">
        <v>2017</v>
      </c>
      <c r="E1259" s="13">
        <v>78540</v>
      </c>
      <c r="F1259" s="8">
        <v>0.77290510021417258</v>
      </c>
    </row>
    <row r="1260" spans="1:6" x14ac:dyDescent="0.25">
      <c r="A1260" s="4" t="s">
        <v>116</v>
      </c>
      <c r="B1260" s="4" t="str">
        <f>VLOOKUP(A1260,Codes!$G$2:$H$217,2,0)</f>
        <v>NGA</v>
      </c>
      <c r="C1260" s="11">
        <v>104569626</v>
      </c>
      <c r="D1260" s="16">
        <v>2018</v>
      </c>
      <c r="E1260" s="13">
        <v>86309</v>
      </c>
      <c r="F1260" s="8">
        <v>0.82537351716262231</v>
      </c>
    </row>
    <row r="1261" spans="1:6" x14ac:dyDescent="0.25">
      <c r="A1261" s="4" t="s">
        <v>116</v>
      </c>
      <c r="B1261" s="4" t="str">
        <f>VLOOKUP(A1261,Codes!$G$2:$H$217,2,0)</f>
        <v>NGA</v>
      </c>
      <c r="C1261" s="11">
        <v>107654969</v>
      </c>
      <c r="D1261" s="16">
        <v>2019</v>
      </c>
      <c r="E1261" s="13">
        <v>90748</v>
      </c>
      <c r="F1261" s="8">
        <v>0.84295226539891532</v>
      </c>
    </row>
    <row r="1262" spans="1:6" x14ac:dyDescent="0.25">
      <c r="A1262" s="4" t="s">
        <v>116</v>
      </c>
      <c r="B1262" s="4" t="str">
        <f>VLOOKUP(A1262,Codes!$G$2:$H$217,2,0)</f>
        <v>NGA</v>
      </c>
      <c r="C1262" s="11">
        <v>110850172</v>
      </c>
      <c r="D1262" s="16">
        <v>2020</v>
      </c>
      <c r="E1262" s="13">
        <v>97988</v>
      </c>
      <c r="F1262" s="8">
        <v>0.88396795631494374</v>
      </c>
    </row>
    <row r="1263" spans="1:6" x14ac:dyDescent="0.25">
      <c r="A1263" s="3" t="s">
        <v>117</v>
      </c>
      <c r="B1263" s="4" t="str">
        <f>VLOOKUP(A1263,Codes!$G$2:$H$217,2,0)</f>
        <v>MKD</v>
      </c>
      <c r="C1263" s="11">
        <v>1425328</v>
      </c>
      <c r="D1263" s="12">
        <v>2006</v>
      </c>
      <c r="E1263" s="13">
        <v>8000</v>
      </c>
      <c r="F1263" s="8">
        <v>5.6127431720979315</v>
      </c>
    </row>
    <row r="1264" spans="1:6" x14ac:dyDescent="0.25">
      <c r="A1264" s="4" t="s">
        <v>117</v>
      </c>
      <c r="B1264" s="4" t="str">
        <f>VLOOKUP(A1264,Codes!$G$2:$H$217,2,0)</f>
        <v>MKD</v>
      </c>
      <c r="C1264" s="11">
        <v>1434681</v>
      </c>
      <c r="D1264" s="12">
        <v>2007</v>
      </c>
      <c r="E1264" s="13">
        <v>9313</v>
      </c>
      <c r="F1264" s="8">
        <v>6.4913384926684055</v>
      </c>
    </row>
    <row r="1265" spans="1:6" x14ac:dyDescent="0.25">
      <c r="A1265" s="4" t="s">
        <v>117</v>
      </c>
      <c r="B1265" s="4" t="str">
        <f>VLOOKUP(A1265,Codes!$G$2:$H$217,2,0)</f>
        <v>MKD</v>
      </c>
      <c r="C1265" s="11">
        <v>1444427</v>
      </c>
      <c r="D1265" s="12">
        <v>2008</v>
      </c>
      <c r="E1265" s="13">
        <v>9703</v>
      </c>
      <c r="F1265" s="8">
        <v>6.7175426657075787</v>
      </c>
    </row>
    <row r="1266" spans="1:6" x14ac:dyDescent="0.25">
      <c r="A1266" s="4" t="s">
        <v>117</v>
      </c>
      <c r="B1266" s="4" t="str">
        <f>VLOOKUP(A1266,Codes!$G$2:$H$217,2,0)</f>
        <v>MKD</v>
      </c>
      <c r="C1266" s="11">
        <v>1453076</v>
      </c>
      <c r="D1266" s="12">
        <v>2009</v>
      </c>
      <c r="E1266" s="13">
        <v>8074</v>
      </c>
      <c r="F1266" s="8">
        <v>5.556488442448984</v>
      </c>
    </row>
    <row r="1267" spans="1:6" x14ac:dyDescent="0.25">
      <c r="A1267" s="4" t="s">
        <v>117</v>
      </c>
      <c r="B1267" s="4" t="str">
        <f>VLOOKUP(A1267,Codes!$G$2:$H$217,2,0)</f>
        <v>MKD</v>
      </c>
      <c r="C1267" s="11">
        <v>1459821</v>
      </c>
      <c r="D1267" s="12">
        <v>2010</v>
      </c>
      <c r="E1267" s="13">
        <v>6729</v>
      </c>
      <c r="F1267" s="8">
        <v>4.6094692431469335</v>
      </c>
    </row>
    <row r="1268" spans="1:6" x14ac:dyDescent="0.25">
      <c r="A1268" s="4" t="s">
        <v>117</v>
      </c>
      <c r="B1268" s="4" t="str">
        <f>VLOOKUP(A1268,Codes!$G$2:$H$217,2,0)</f>
        <v>MKD</v>
      </c>
      <c r="C1268" s="11">
        <v>1465686</v>
      </c>
      <c r="D1268" s="12">
        <v>2011</v>
      </c>
      <c r="E1268" s="13">
        <v>6015</v>
      </c>
      <c r="F1268" s="8">
        <v>4.1038803672819419</v>
      </c>
    </row>
    <row r="1269" spans="1:6" x14ac:dyDescent="0.25">
      <c r="A1269" s="4" t="s">
        <v>117</v>
      </c>
      <c r="B1269" s="4" t="str">
        <f>VLOOKUP(A1269,Codes!$G$2:$H$217,2,0)</f>
        <v>MKD</v>
      </c>
      <c r="C1269" s="11">
        <v>1469138</v>
      </c>
      <c r="D1269" s="12">
        <v>2012</v>
      </c>
      <c r="E1269" s="13">
        <v>5394</v>
      </c>
      <c r="F1269" s="8">
        <v>3.6715407266029465</v>
      </c>
    </row>
    <row r="1270" spans="1:6" x14ac:dyDescent="0.25">
      <c r="A1270" s="4" t="s">
        <v>117</v>
      </c>
      <c r="B1270" s="4" t="str">
        <f>VLOOKUP(A1270,Codes!$G$2:$H$217,2,0)</f>
        <v>MKD</v>
      </c>
      <c r="C1270" s="11">
        <v>1470391</v>
      </c>
      <c r="D1270" s="12">
        <v>2013</v>
      </c>
      <c r="E1270" s="13">
        <v>5453</v>
      </c>
      <c r="F1270" s="8">
        <v>3.7085373890346176</v>
      </c>
    </row>
    <row r="1271" spans="1:6" x14ac:dyDescent="0.25">
      <c r="A1271" s="4" t="s">
        <v>117</v>
      </c>
      <c r="B1271" s="4" t="str">
        <f>VLOOKUP(A1271,Codes!$G$2:$H$217,2,0)</f>
        <v>MKD</v>
      </c>
      <c r="C1271" s="11">
        <v>1470161</v>
      </c>
      <c r="D1271" s="16">
        <v>2014</v>
      </c>
      <c r="E1271" s="13">
        <v>5524</v>
      </c>
      <c r="F1271" s="8">
        <v>3.7574116032189671</v>
      </c>
    </row>
    <row r="1272" spans="1:6" x14ac:dyDescent="0.25">
      <c r="A1272" s="4" t="s">
        <v>117</v>
      </c>
      <c r="B1272" s="4" t="str">
        <f>VLOOKUP(A1272,Codes!$G$2:$H$217,2,0)</f>
        <v>MKD</v>
      </c>
      <c r="C1272" s="11">
        <v>1468848</v>
      </c>
      <c r="D1272" s="16">
        <v>2015</v>
      </c>
      <c r="E1272" s="13">
        <v>5794</v>
      </c>
      <c r="F1272" s="8">
        <v>3.9445878674988837</v>
      </c>
    </row>
    <row r="1273" spans="1:6" x14ac:dyDescent="0.25">
      <c r="A1273" s="4" t="s">
        <v>117</v>
      </c>
      <c r="B1273" s="4" t="str">
        <f>VLOOKUP(A1273,Codes!$G$2:$H$217,2,0)</f>
        <v>MKD</v>
      </c>
      <c r="C1273" s="11">
        <v>1464073</v>
      </c>
      <c r="D1273" s="16">
        <v>2016</v>
      </c>
      <c r="E1273" s="13">
        <v>5687</v>
      </c>
      <c r="F1273" s="8">
        <v>3.8843691537238922</v>
      </c>
    </row>
    <row r="1274" spans="1:6" x14ac:dyDescent="0.25">
      <c r="A1274" s="4" t="s">
        <v>117</v>
      </c>
      <c r="B1274" s="4" t="str">
        <f>VLOOKUP(A1274,Codes!$G$2:$H$217,2,0)</f>
        <v>MKD</v>
      </c>
      <c r="C1274" s="11">
        <v>1459249</v>
      </c>
      <c r="D1274" s="16">
        <v>2017</v>
      </c>
      <c r="E1274" s="13">
        <v>5438</v>
      </c>
      <c r="F1274" s="8">
        <v>3.7265744228709425</v>
      </c>
    </row>
    <row r="1275" spans="1:6" x14ac:dyDescent="0.25">
      <c r="A1275" s="4" t="s">
        <v>117</v>
      </c>
      <c r="B1275" s="4" t="str">
        <f>VLOOKUP(A1275,Codes!$G$2:$H$217,2,0)</f>
        <v>MKD</v>
      </c>
      <c r="C1275" s="11">
        <v>1454171</v>
      </c>
      <c r="D1275" s="16">
        <v>2018</v>
      </c>
      <c r="E1275" s="13">
        <v>5282</v>
      </c>
      <c r="F1275" s="8">
        <v>3.6323100928295227</v>
      </c>
    </row>
    <row r="1276" spans="1:6" x14ac:dyDescent="0.25">
      <c r="A1276" s="4" t="s">
        <v>117</v>
      </c>
      <c r="B1276" s="4" t="str">
        <f>VLOOKUP(A1276,Codes!$G$2:$H$217,2,0)</f>
        <v>MKD</v>
      </c>
      <c r="C1276" s="11">
        <v>1448440</v>
      </c>
      <c r="D1276" s="16">
        <v>2019</v>
      </c>
      <c r="E1276" s="13">
        <v>5688</v>
      </c>
      <c r="F1276" s="8">
        <v>3.9269835132970647</v>
      </c>
    </row>
    <row r="1277" spans="1:6" x14ac:dyDescent="0.25">
      <c r="A1277" s="4" t="s">
        <v>117</v>
      </c>
      <c r="B1277" s="4" t="str">
        <f>VLOOKUP(A1277,Codes!$G$2:$H$217,2,0)</f>
        <v>MKD</v>
      </c>
      <c r="C1277" s="11">
        <v>1441960</v>
      </c>
      <c r="D1277" s="16">
        <v>2020</v>
      </c>
      <c r="E1277" s="13">
        <v>4985</v>
      </c>
      <c r="F1277" s="8">
        <v>3.457100058254043</v>
      </c>
    </row>
    <row r="1278" spans="1:6" x14ac:dyDescent="0.25">
      <c r="A1278" s="3" t="s">
        <v>118</v>
      </c>
      <c r="B1278" s="4" t="str">
        <f>VLOOKUP(A1278,Codes!$G$2:$H$217,2,0)</f>
        <v>NOR</v>
      </c>
      <c r="C1278" s="11">
        <v>3066079</v>
      </c>
      <c r="D1278" s="12">
        <v>2006</v>
      </c>
      <c r="E1278" s="13">
        <v>34813</v>
      </c>
      <c r="F1278" s="8">
        <v>11.354241035537571</v>
      </c>
    </row>
    <row r="1279" spans="1:6" x14ac:dyDescent="0.25">
      <c r="A1279" s="4" t="s">
        <v>118</v>
      </c>
      <c r="B1279" s="4" t="str">
        <f>VLOOKUP(A1279,Codes!$G$2:$H$217,2,0)</f>
        <v>NOR</v>
      </c>
      <c r="C1279" s="11">
        <v>3106621</v>
      </c>
      <c r="D1279" s="12">
        <v>2007</v>
      </c>
      <c r="E1279" s="13">
        <v>20375</v>
      </c>
      <c r="F1279" s="8">
        <v>6.558572803055152</v>
      </c>
    </row>
    <row r="1280" spans="1:6" x14ac:dyDescent="0.25">
      <c r="A1280" s="4" t="s">
        <v>118</v>
      </c>
      <c r="B1280" s="4" t="str">
        <f>VLOOKUP(A1280,Codes!$G$2:$H$217,2,0)</f>
        <v>NOR</v>
      </c>
      <c r="C1280" s="11">
        <v>3152918</v>
      </c>
      <c r="D1280" s="12">
        <v>2008</v>
      </c>
      <c r="E1280" s="13">
        <v>17372</v>
      </c>
      <c r="F1280" s="8">
        <v>5.5098166206669505</v>
      </c>
    </row>
    <row r="1281" spans="1:6" x14ac:dyDescent="0.25">
      <c r="A1281" s="4" t="s">
        <v>118</v>
      </c>
      <c r="B1281" s="4" t="str">
        <f>VLOOKUP(A1281,Codes!$G$2:$H$217,2,0)</f>
        <v>NOR</v>
      </c>
      <c r="C1281" s="11">
        <v>3198518</v>
      </c>
      <c r="D1281" s="12">
        <v>2009</v>
      </c>
      <c r="E1281" s="13">
        <v>12842</v>
      </c>
      <c r="F1281" s="8">
        <v>4.0149844396686216</v>
      </c>
    </row>
    <row r="1282" spans="1:6" x14ac:dyDescent="0.25">
      <c r="A1282" s="4" t="s">
        <v>118</v>
      </c>
      <c r="B1282" s="4" t="str">
        <f>VLOOKUP(A1282,Codes!$G$2:$H$217,2,0)</f>
        <v>NOR</v>
      </c>
      <c r="C1282" s="11">
        <v>3241628</v>
      </c>
      <c r="D1282" s="12">
        <v>2010</v>
      </c>
      <c r="E1282" s="13">
        <v>13946</v>
      </c>
      <c r="F1282" s="8">
        <v>4.3021592853961037</v>
      </c>
    </row>
    <row r="1283" spans="1:6" x14ac:dyDescent="0.25">
      <c r="A1283" s="4" t="s">
        <v>118</v>
      </c>
      <c r="B1283" s="4" t="str">
        <f>VLOOKUP(A1283,Codes!$G$2:$H$217,2,0)</f>
        <v>NOR</v>
      </c>
      <c r="C1283" s="11">
        <v>3279501</v>
      </c>
      <c r="D1283" s="12">
        <v>2011</v>
      </c>
      <c r="E1283" s="13">
        <v>16249</v>
      </c>
      <c r="F1283" s="8">
        <v>4.9547171963051699</v>
      </c>
    </row>
    <row r="1284" spans="1:6" x14ac:dyDescent="0.25">
      <c r="A1284" s="4" t="s">
        <v>118</v>
      </c>
      <c r="B1284" s="4" t="str">
        <f>VLOOKUP(A1284,Codes!$G$2:$H$217,2,0)</f>
        <v>NOR</v>
      </c>
      <c r="C1284" s="11">
        <v>3317550</v>
      </c>
      <c r="D1284" s="12">
        <v>2012</v>
      </c>
      <c r="E1284" s="13">
        <v>25614</v>
      </c>
      <c r="F1284" s="8">
        <v>7.7207577881267797</v>
      </c>
    </row>
    <row r="1285" spans="1:6" x14ac:dyDescent="0.25">
      <c r="A1285" s="4" t="s">
        <v>118</v>
      </c>
      <c r="B1285" s="4" t="str">
        <f>VLOOKUP(A1285,Codes!$G$2:$H$217,2,0)</f>
        <v>NOR</v>
      </c>
      <c r="C1285" s="11">
        <v>3351653</v>
      </c>
      <c r="D1285" s="12">
        <v>2013</v>
      </c>
      <c r="E1285" s="13">
        <v>26295</v>
      </c>
      <c r="F1285" s="8">
        <v>7.845382561977627</v>
      </c>
    </row>
    <row r="1286" spans="1:6" x14ac:dyDescent="0.25">
      <c r="A1286" s="4" t="s">
        <v>118</v>
      </c>
      <c r="B1286" s="4" t="str">
        <f>VLOOKUP(A1286,Codes!$G$2:$H$217,2,0)</f>
        <v>NOR</v>
      </c>
      <c r="C1286" s="11">
        <v>3383016</v>
      </c>
      <c r="D1286" s="16">
        <v>2014</v>
      </c>
      <c r="E1286" s="13">
        <v>25885</v>
      </c>
      <c r="F1286" s="8">
        <v>7.6514565701137682</v>
      </c>
    </row>
    <row r="1287" spans="1:6" x14ac:dyDescent="0.25">
      <c r="A1287" s="4" t="s">
        <v>118</v>
      </c>
      <c r="B1287" s="4" t="str">
        <f>VLOOKUP(A1287,Codes!$G$2:$H$217,2,0)</f>
        <v>NOR</v>
      </c>
      <c r="C1287" s="11">
        <v>3410713</v>
      </c>
      <c r="D1287" s="16">
        <v>2015</v>
      </c>
      <c r="E1287" s="13">
        <v>26706</v>
      </c>
      <c r="F1287" s="8">
        <v>7.8300343652485571</v>
      </c>
    </row>
    <row r="1288" spans="1:6" x14ac:dyDescent="0.25">
      <c r="A1288" s="4" t="s">
        <v>118</v>
      </c>
      <c r="B1288" s="4" t="str">
        <f>VLOOKUP(A1288,Codes!$G$2:$H$217,2,0)</f>
        <v>NOR</v>
      </c>
      <c r="C1288" s="11">
        <v>3434052</v>
      </c>
      <c r="D1288" s="16">
        <v>2016</v>
      </c>
      <c r="E1288" s="13">
        <v>27918</v>
      </c>
      <c r="F1288" s="8">
        <v>8.1297545872922132</v>
      </c>
    </row>
    <row r="1289" spans="1:6" x14ac:dyDescent="0.25">
      <c r="A1289" s="4" t="s">
        <v>118</v>
      </c>
      <c r="B1289" s="4" t="str">
        <f>VLOOKUP(A1289,Codes!$G$2:$H$217,2,0)</f>
        <v>NOR</v>
      </c>
      <c r="C1289" s="11">
        <v>3456146</v>
      </c>
      <c r="D1289" s="16">
        <v>2017</v>
      </c>
      <c r="E1289" s="13">
        <v>29890</v>
      </c>
      <c r="F1289" s="8">
        <v>8.6483614986172466</v>
      </c>
    </row>
    <row r="1290" spans="1:6" x14ac:dyDescent="0.25">
      <c r="A1290" s="4" t="s">
        <v>118</v>
      </c>
      <c r="B1290" s="4" t="str">
        <f>VLOOKUP(A1290,Codes!$G$2:$H$217,2,0)</f>
        <v>NOR</v>
      </c>
      <c r="C1290" s="11">
        <v>3474085</v>
      </c>
      <c r="D1290" s="16">
        <v>2018</v>
      </c>
      <c r="E1290" s="13">
        <v>29959</v>
      </c>
      <c r="F1290" s="8">
        <v>8.6235656295110807</v>
      </c>
    </row>
    <row r="1291" spans="1:6" x14ac:dyDescent="0.25">
      <c r="A1291" s="4" t="s">
        <v>118</v>
      </c>
      <c r="B1291" s="4" t="str">
        <f>VLOOKUP(A1291,Codes!$G$2:$H$217,2,0)</f>
        <v>NOR</v>
      </c>
      <c r="C1291" s="11">
        <v>3492944</v>
      </c>
      <c r="D1291" s="16">
        <v>2019</v>
      </c>
      <c r="E1291" s="13">
        <v>30263</v>
      </c>
      <c r="F1291" s="8">
        <v>8.6640381294403817</v>
      </c>
    </row>
    <row r="1292" spans="1:6" x14ac:dyDescent="0.25">
      <c r="A1292" s="4" t="s">
        <v>118</v>
      </c>
      <c r="B1292" s="4" t="str">
        <f>VLOOKUP(A1292,Codes!$G$2:$H$217,2,0)</f>
        <v>NOR</v>
      </c>
      <c r="C1292" s="11">
        <v>3508296</v>
      </c>
      <c r="D1292" s="16">
        <v>2020</v>
      </c>
      <c r="E1292" s="13">
        <v>33128</v>
      </c>
      <c r="F1292" s="8">
        <v>9.4427608160770919</v>
      </c>
    </row>
    <row r="1293" spans="1:6" x14ac:dyDescent="0.25">
      <c r="A1293" s="3" t="s">
        <v>119</v>
      </c>
      <c r="B1293" s="4" t="str">
        <f>VLOOKUP(A1293,Codes!$G$2:$H$217,2,0)</f>
        <v>OMN</v>
      </c>
      <c r="C1293" s="11">
        <v>1724249</v>
      </c>
      <c r="D1293" s="12">
        <v>2006</v>
      </c>
      <c r="E1293" s="13">
        <v>2516</v>
      </c>
      <c r="F1293" s="8">
        <v>1.4591859992379292</v>
      </c>
    </row>
    <row r="1294" spans="1:6" x14ac:dyDescent="0.25">
      <c r="A1294" s="4" t="s">
        <v>119</v>
      </c>
      <c r="B1294" s="4" t="str">
        <f>VLOOKUP(A1294,Codes!$G$2:$H$217,2,0)</f>
        <v>OMN</v>
      </c>
      <c r="C1294" s="11">
        <v>1818599</v>
      </c>
      <c r="D1294" s="12">
        <v>2007</v>
      </c>
      <c r="E1294" s="13">
        <v>3815</v>
      </c>
      <c r="F1294" s="8">
        <v>2.0977686669793618</v>
      </c>
    </row>
    <row r="1295" spans="1:6" x14ac:dyDescent="0.25">
      <c r="A1295" s="4" t="s">
        <v>119</v>
      </c>
      <c r="B1295" s="4" t="str">
        <f>VLOOKUP(A1295,Codes!$G$2:$H$217,2,0)</f>
        <v>OMN</v>
      </c>
      <c r="C1295" s="11">
        <v>1919107</v>
      </c>
      <c r="D1295" s="12">
        <v>2008</v>
      </c>
      <c r="E1295" s="13">
        <v>4345</v>
      </c>
      <c r="F1295" s="8">
        <v>2.2640738635208981</v>
      </c>
    </row>
    <row r="1296" spans="1:6" x14ac:dyDescent="0.25">
      <c r="A1296" s="4" t="s">
        <v>119</v>
      </c>
      <c r="B1296" s="4" t="str">
        <f>VLOOKUP(A1296,Codes!$G$2:$H$217,2,0)</f>
        <v>OMN</v>
      </c>
      <c r="C1296" s="11">
        <v>2036435</v>
      </c>
      <c r="D1296" s="12">
        <v>2009</v>
      </c>
      <c r="E1296" s="13">
        <v>3646</v>
      </c>
      <c r="F1296" s="8">
        <v>1.7903836852146029</v>
      </c>
    </row>
    <row r="1297" spans="1:6" x14ac:dyDescent="0.25">
      <c r="A1297" s="4" t="s">
        <v>119</v>
      </c>
      <c r="B1297" s="4" t="str">
        <f>VLOOKUP(A1297,Codes!$G$2:$H$217,2,0)</f>
        <v>OMN</v>
      </c>
      <c r="C1297" s="11">
        <v>2178348</v>
      </c>
      <c r="D1297" s="12">
        <v>2010</v>
      </c>
      <c r="E1297" s="13">
        <v>3811</v>
      </c>
      <c r="F1297" s="8">
        <v>1.7494908986075686</v>
      </c>
    </row>
    <row r="1298" spans="1:6" x14ac:dyDescent="0.25">
      <c r="A1298" s="4" t="s">
        <v>119</v>
      </c>
      <c r="B1298" s="4" t="str">
        <f>VLOOKUP(A1298,Codes!$G$2:$H$217,2,0)</f>
        <v>OMN</v>
      </c>
      <c r="C1298" s="11">
        <v>2373092</v>
      </c>
      <c r="D1298" s="12">
        <v>2011</v>
      </c>
      <c r="E1298" s="13">
        <v>5116</v>
      </c>
      <c r="F1298" s="8">
        <v>2.1558371946810322</v>
      </c>
    </row>
    <row r="1299" spans="1:6" x14ac:dyDescent="0.25">
      <c r="A1299" s="4" t="s">
        <v>119</v>
      </c>
      <c r="B1299" s="4" t="str">
        <f>VLOOKUP(A1299,Codes!$G$2:$H$217,2,0)</f>
        <v>OMN</v>
      </c>
      <c r="C1299" s="11">
        <v>2593623</v>
      </c>
      <c r="D1299" s="12">
        <v>2012</v>
      </c>
      <c r="E1299" s="13">
        <v>5091</v>
      </c>
      <c r="F1299" s="8">
        <v>1.9628912914482943</v>
      </c>
    </row>
    <row r="1300" spans="1:6" x14ac:dyDescent="0.25">
      <c r="A1300" s="4" t="s">
        <v>119</v>
      </c>
      <c r="B1300" s="4" t="str">
        <f>VLOOKUP(A1300,Codes!$G$2:$H$217,2,0)</f>
        <v>OMN</v>
      </c>
      <c r="C1300" s="11">
        <v>2823602</v>
      </c>
      <c r="D1300" s="12">
        <v>2013</v>
      </c>
      <c r="E1300" s="13">
        <v>4481</v>
      </c>
      <c r="F1300" s="8">
        <v>1.5869800347216072</v>
      </c>
    </row>
    <row r="1301" spans="1:6" x14ac:dyDescent="0.25">
      <c r="A1301" s="4" t="s">
        <v>119</v>
      </c>
      <c r="B1301" s="4" t="str">
        <f>VLOOKUP(A1301,Codes!$G$2:$H$217,2,0)</f>
        <v>OMN</v>
      </c>
      <c r="C1301" s="11">
        <v>3042674</v>
      </c>
      <c r="D1301" s="16">
        <v>2014</v>
      </c>
      <c r="E1301" s="13">
        <v>3538</v>
      </c>
      <c r="F1301" s="8">
        <v>1.1627929906391548</v>
      </c>
    </row>
    <row r="1302" spans="1:6" x14ac:dyDescent="0.25">
      <c r="A1302" s="4" t="s">
        <v>119</v>
      </c>
      <c r="B1302" s="4" t="str">
        <f>VLOOKUP(A1302,Codes!$G$2:$H$217,2,0)</f>
        <v>OMN</v>
      </c>
      <c r="C1302" s="11">
        <v>3238348</v>
      </c>
      <c r="D1302" s="16">
        <v>2015</v>
      </c>
      <c r="E1302" s="13">
        <v>6716</v>
      </c>
      <c r="F1302" s="8">
        <v>2.0738969375743435</v>
      </c>
    </row>
    <row r="1303" spans="1:6" x14ac:dyDescent="0.25">
      <c r="A1303" s="4" t="s">
        <v>119</v>
      </c>
      <c r="B1303" s="4" t="str">
        <f>VLOOKUP(A1303,Codes!$G$2:$H$217,2,0)</f>
        <v>OMN</v>
      </c>
      <c r="C1303" s="11">
        <v>3395398</v>
      </c>
      <c r="D1303" s="16">
        <v>2016</v>
      </c>
      <c r="E1303" s="13">
        <v>7666</v>
      </c>
      <c r="F1303" s="8">
        <v>2.2577618293937856</v>
      </c>
    </row>
    <row r="1304" spans="1:6" x14ac:dyDescent="0.25">
      <c r="A1304" s="4" t="s">
        <v>119</v>
      </c>
      <c r="B1304" s="4" t="str">
        <f>VLOOKUP(A1304,Codes!$G$2:$H$217,2,0)</f>
        <v>OMN</v>
      </c>
      <c r="C1304" s="11">
        <v>3528129</v>
      </c>
      <c r="D1304" s="16">
        <v>2017</v>
      </c>
      <c r="E1304" s="13">
        <v>5807</v>
      </c>
      <c r="F1304" s="8">
        <v>1.6459148744277774</v>
      </c>
    </row>
    <row r="1305" spans="1:6" x14ac:dyDescent="0.25">
      <c r="A1305" s="4" t="s">
        <v>119</v>
      </c>
      <c r="B1305" s="4" t="str">
        <f>VLOOKUP(A1305,Codes!$G$2:$H$217,2,0)</f>
        <v>OMN</v>
      </c>
      <c r="C1305" s="11">
        <v>3639527</v>
      </c>
      <c r="D1305" s="16">
        <v>2018</v>
      </c>
      <c r="E1305" s="13">
        <v>5425</v>
      </c>
      <c r="F1305" s="8">
        <v>1.4905783086648348</v>
      </c>
    </row>
    <row r="1306" spans="1:6" x14ac:dyDescent="0.25">
      <c r="A1306" s="4" t="s">
        <v>119</v>
      </c>
      <c r="B1306" s="4" t="str">
        <f>VLOOKUP(A1306,Codes!$G$2:$H$217,2,0)</f>
        <v>OMN</v>
      </c>
      <c r="C1306" s="11">
        <v>3737862</v>
      </c>
      <c r="D1306" s="16">
        <v>2019</v>
      </c>
      <c r="E1306" s="13">
        <v>6503</v>
      </c>
      <c r="F1306" s="8">
        <v>1.7397646034016239</v>
      </c>
    </row>
    <row r="1307" spans="1:6" x14ac:dyDescent="0.25">
      <c r="A1307" s="4" t="s">
        <v>119</v>
      </c>
      <c r="B1307" s="4" t="str">
        <f>VLOOKUP(A1307,Codes!$G$2:$H$217,2,0)</f>
        <v>OMN</v>
      </c>
      <c r="C1307" s="11">
        <v>3830074</v>
      </c>
      <c r="D1307" s="16">
        <v>2020</v>
      </c>
      <c r="E1307" s="13">
        <v>5804</v>
      </c>
      <c r="F1307" s="8">
        <v>1.5153754209448695</v>
      </c>
    </row>
    <row r="1308" spans="1:6" x14ac:dyDescent="0.25">
      <c r="A1308" s="3" t="s">
        <v>120</v>
      </c>
      <c r="B1308" s="4" t="str">
        <f>VLOOKUP(A1308,Codes!$G$2:$H$217,2,0)</f>
        <v>PAK</v>
      </c>
      <c r="C1308" s="11">
        <v>92399584</v>
      </c>
      <c r="D1308" s="12">
        <v>2006</v>
      </c>
      <c r="E1308" s="13">
        <v>4117</v>
      </c>
      <c r="F1308" s="8">
        <v>4.4556477656869105E-2</v>
      </c>
    </row>
    <row r="1309" spans="1:6" x14ac:dyDescent="0.25">
      <c r="A1309" s="4" t="s">
        <v>120</v>
      </c>
      <c r="B1309" s="4" t="str">
        <f>VLOOKUP(A1309,Codes!$G$2:$H$217,2,0)</f>
        <v>PAK</v>
      </c>
      <c r="C1309" s="11">
        <v>95241842</v>
      </c>
      <c r="D1309" s="12">
        <v>2007</v>
      </c>
      <c r="E1309" s="13">
        <v>3356</v>
      </c>
      <c r="F1309" s="8">
        <v>3.523661375637821E-2</v>
      </c>
    </row>
    <row r="1310" spans="1:6" x14ac:dyDescent="0.25">
      <c r="A1310" s="4" t="s">
        <v>120</v>
      </c>
      <c r="B1310" s="4" t="str">
        <f>VLOOKUP(A1310,Codes!$G$2:$H$217,2,0)</f>
        <v>PAK</v>
      </c>
      <c r="C1310" s="11">
        <v>98165302</v>
      </c>
      <c r="D1310" s="12">
        <v>2008</v>
      </c>
      <c r="E1310" s="13">
        <v>3458</v>
      </c>
      <c r="F1310" s="8">
        <v>3.5226296150955655E-2</v>
      </c>
    </row>
    <row r="1311" spans="1:6" x14ac:dyDescent="0.25">
      <c r="A1311" s="4" t="s">
        <v>120</v>
      </c>
      <c r="B1311" s="4" t="str">
        <f>VLOOKUP(A1311,Codes!$G$2:$H$217,2,0)</f>
        <v>PAK</v>
      </c>
      <c r="C1311" s="11">
        <v>101152817</v>
      </c>
      <c r="D1311" s="12">
        <v>2009</v>
      </c>
      <c r="E1311" s="13">
        <v>2414</v>
      </c>
      <c r="F1311" s="8">
        <v>2.3864881588023395E-2</v>
      </c>
    </row>
    <row r="1312" spans="1:6" x14ac:dyDescent="0.25">
      <c r="A1312" s="4" t="s">
        <v>120</v>
      </c>
      <c r="B1312" s="4" t="str">
        <f>VLOOKUP(A1312,Codes!$G$2:$H$217,2,0)</f>
        <v>PAK</v>
      </c>
      <c r="C1312" s="11">
        <v>104187043</v>
      </c>
      <c r="D1312" s="12">
        <v>2010</v>
      </c>
      <c r="E1312" s="13">
        <v>2868</v>
      </c>
      <c r="F1312" s="8">
        <v>2.7527415285219296E-2</v>
      </c>
    </row>
    <row r="1313" spans="1:6" x14ac:dyDescent="0.25">
      <c r="A1313" s="4" t="s">
        <v>120</v>
      </c>
      <c r="B1313" s="4" t="str">
        <f>VLOOKUP(A1313,Codes!$G$2:$H$217,2,0)</f>
        <v>PAK</v>
      </c>
      <c r="C1313" s="11">
        <v>107101806</v>
      </c>
      <c r="D1313" s="12">
        <v>2011</v>
      </c>
      <c r="E1313" s="13">
        <v>3367</v>
      </c>
      <c r="F1313" s="8">
        <v>3.1437378376233921E-2</v>
      </c>
    </row>
    <row r="1314" spans="1:6" x14ac:dyDescent="0.25">
      <c r="A1314" s="4" t="s">
        <v>120</v>
      </c>
      <c r="B1314" s="4" t="str">
        <f>VLOOKUP(A1314,Codes!$G$2:$H$217,2,0)</f>
        <v>PAK</v>
      </c>
      <c r="C1314" s="11">
        <v>110060746</v>
      </c>
      <c r="D1314" s="12">
        <v>2012</v>
      </c>
      <c r="E1314" s="13">
        <v>3928</v>
      </c>
      <c r="F1314" s="8">
        <v>3.5689381934590918E-2</v>
      </c>
    </row>
    <row r="1315" spans="1:6" x14ac:dyDescent="0.25">
      <c r="A1315" s="4" t="s">
        <v>120</v>
      </c>
      <c r="B1315" s="4" t="str">
        <f>VLOOKUP(A1315,Codes!$G$2:$H$217,2,0)</f>
        <v>PAK</v>
      </c>
      <c r="C1315" s="11">
        <v>113060252</v>
      </c>
      <c r="D1315" s="12">
        <v>2013</v>
      </c>
      <c r="E1315" s="13">
        <v>3937</v>
      </c>
      <c r="F1315" s="8">
        <v>3.4822140675929147E-2</v>
      </c>
    </row>
    <row r="1316" spans="1:6" x14ac:dyDescent="0.25">
      <c r="A1316" s="4" t="s">
        <v>120</v>
      </c>
      <c r="B1316" s="4" t="str">
        <f>VLOOKUP(A1316,Codes!$G$2:$H$217,2,0)</f>
        <v>PAK</v>
      </c>
      <c r="C1316" s="11">
        <v>116096389</v>
      </c>
      <c r="D1316" s="16">
        <v>2014</v>
      </c>
      <c r="E1316" s="13">
        <v>4680</v>
      </c>
      <c r="F1316" s="8">
        <v>4.0311331302474877E-2</v>
      </c>
    </row>
    <row r="1317" spans="1:6" x14ac:dyDescent="0.25">
      <c r="A1317" s="4" t="s">
        <v>120</v>
      </c>
      <c r="B1317" s="4" t="str">
        <f>VLOOKUP(A1317,Codes!$G$2:$H$217,2,0)</f>
        <v>PAK</v>
      </c>
      <c r="C1317" s="11">
        <v>119164298</v>
      </c>
      <c r="D1317" s="16">
        <v>2015</v>
      </c>
      <c r="E1317" s="13">
        <v>5385</v>
      </c>
      <c r="F1317" s="8">
        <v>4.5189709421189224E-2</v>
      </c>
    </row>
    <row r="1318" spans="1:6" x14ac:dyDescent="0.25">
      <c r="A1318" s="4" t="s">
        <v>120</v>
      </c>
      <c r="B1318" s="4" t="str">
        <f>VLOOKUP(A1318,Codes!$G$2:$H$217,2,0)</f>
        <v>PAK</v>
      </c>
      <c r="C1318" s="11">
        <v>122150863</v>
      </c>
      <c r="D1318" s="16">
        <v>2016</v>
      </c>
      <c r="E1318" s="13">
        <v>6716</v>
      </c>
      <c r="F1318" s="8">
        <v>5.4981191577827819E-2</v>
      </c>
    </row>
    <row r="1319" spans="1:6" x14ac:dyDescent="0.25">
      <c r="A1319" s="4" t="s">
        <v>120</v>
      </c>
      <c r="B1319" s="4" t="str">
        <f>VLOOKUP(A1319,Codes!$G$2:$H$217,2,0)</f>
        <v>PAK</v>
      </c>
      <c r="C1319" s="11">
        <v>125175221</v>
      </c>
      <c r="D1319" s="16">
        <v>2017</v>
      </c>
      <c r="E1319" s="13">
        <v>9624</v>
      </c>
      <c r="F1319" s="8">
        <v>7.6884226152075255E-2</v>
      </c>
    </row>
    <row r="1320" spans="1:6" x14ac:dyDescent="0.25">
      <c r="A1320" s="4" t="s">
        <v>120</v>
      </c>
      <c r="B1320" s="4" t="str">
        <f>VLOOKUP(A1320,Codes!$G$2:$H$217,2,0)</f>
        <v>PAK</v>
      </c>
      <c r="C1320" s="11">
        <v>128222837</v>
      </c>
      <c r="D1320" s="16">
        <v>2018</v>
      </c>
      <c r="E1320" s="13">
        <v>12991</v>
      </c>
      <c r="F1320" s="8">
        <v>0.10131580538964365</v>
      </c>
    </row>
    <row r="1321" spans="1:6" x14ac:dyDescent="0.25">
      <c r="A1321" s="4" t="s">
        <v>120</v>
      </c>
      <c r="B1321" s="4" t="str">
        <f>VLOOKUP(A1321,Codes!$G$2:$H$217,2,0)</f>
        <v>PAK</v>
      </c>
      <c r="C1321" s="11">
        <v>131288856</v>
      </c>
      <c r="D1321" s="16">
        <v>2019</v>
      </c>
      <c r="E1321" s="13">
        <v>15958</v>
      </c>
      <c r="F1321" s="8">
        <v>0.12154877790998499</v>
      </c>
    </row>
    <row r="1322" spans="1:6" x14ac:dyDescent="0.25">
      <c r="A1322" s="4" t="s">
        <v>120</v>
      </c>
      <c r="B1322" s="4" t="str">
        <f>VLOOKUP(A1322,Codes!$G$2:$H$217,2,0)</f>
        <v>PAK</v>
      </c>
      <c r="C1322" s="11">
        <v>134372752</v>
      </c>
      <c r="D1322" s="16">
        <v>2020</v>
      </c>
      <c r="E1322" s="13">
        <v>19791</v>
      </c>
      <c r="F1322" s="8">
        <v>0.14728432442910747</v>
      </c>
    </row>
    <row r="1323" spans="1:6" x14ac:dyDescent="0.25">
      <c r="A1323" s="3" t="s">
        <v>121</v>
      </c>
      <c r="B1323" s="4" t="str">
        <f>VLOOKUP(A1323,Codes!$G$2:$H$217,2,0)</f>
        <v>PAN</v>
      </c>
      <c r="C1323" s="11">
        <v>2470496</v>
      </c>
      <c r="D1323" s="12">
        <v>2013</v>
      </c>
      <c r="E1323" s="13">
        <v>30203</v>
      </c>
      <c r="F1323" s="8">
        <v>12.2254802274523</v>
      </c>
    </row>
    <row r="1324" spans="1:6" x14ac:dyDescent="0.25">
      <c r="A1324" s="4" t="s">
        <v>121</v>
      </c>
      <c r="B1324" s="4" t="str">
        <f>VLOOKUP(A1324,Codes!$G$2:$H$217,2,0)</f>
        <v>PAN</v>
      </c>
      <c r="C1324" s="11">
        <v>2516911</v>
      </c>
      <c r="D1324" s="16">
        <v>2014</v>
      </c>
      <c r="E1324" s="13">
        <v>29488</v>
      </c>
      <c r="F1324" s="8">
        <v>11.71594863703961</v>
      </c>
    </row>
    <row r="1325" spans="1:6" x14ac:dyDescent="0.25">
      <c r="A1325" s="4" t="s">
        <v>121</v>
      </c>
      <c r="B1325" s="4" t="str">
        <f>VLOOKUP(A1325,Codes!$G$2:$H$217,2,0)</f>
        <v>PAN</v>
      </c>
      <c r="C1325" s="11">
        <v>2563687</v>
      </c>
      <c r="D1325" s="16">
        <v>2015</v>
      </c>
      <c r="E1325" s="13">
        <v>26387</v>
      </c>
      <c r="F1325" s="8">
        <v>10.292598121377532</v>
      </c>
    </row>
    <row r="1326" spans="1:6" x14ac:dyDescent="0.25">
      <c r="A1326" s="4" t="s">
        <v>121</v>
      </c>
      <c r="B1326" s="4" t="str">
        <f>VLOOKUP(A1326,Codes!$G$2:$H$217,2,0)</f>
        <v>PAN</v>
      </c>
      <c r="C1326" s="11">
        <v>2610788</v>
      </c>
      <c r="D1326" s="16">
        <v>2016</v>
      </c>
      <c r="E1326" s="13">
        <v>22953</v>
      </c>
      <c r="F1326" s="8">
        <v>8.7915985518548432</v>
      </c>
    </row>
    <row r="1327" spans="1:6" x14ac:dyDescent="0.25">
      <c r="A1327" s="4" t="s">
        <v>121</v>
      </c>
      <c r="B1327" s="4" t="str">
        <f>VLOOKUP(A1327,Codes!$G$2:$H$217,2,0)</f>
        <v>PAN</v>
      </c>
      <c r="C1327" s="11">
        <v>2659155</v>
      </c>
      <c r="D1327" s="16">
        <v>2017</v>
      </c>
      <c r="E1327" s="13">
        <v>18068</v>
      </c>
      <c r="F1327" s="8">
        <v>6.7946396505656868</v>
      </c>
    </row>
    <row r="1328" spans="1:6" x14ac:dyDescent="0.25">
      <c r="A1328" s="4" t="s">
        <v>121</v>
      </c>
      <c r="B1328" s="4" t="str">
        <f>VLOOKUP(A1328,Codes!$G$2:$H$217,2,0)</f>
        <v>PAN</v>
      </c>
      <c r="C1328" s="11">
        <v>2707987</v>
      </c>
      <c r="D1328" s="16">
        <v>2018</v>
      </c>
      <c r="E1328" s="13">
        <v>15416</v>
      </c>
      <c r="F1328" s="8">
        <v>5.6927895148684238</v>
      </c>
    </row>
    <row r="1329" spans="1:6" x14ac:dyDescent="0.25">
      <c r="A1329" s="4" t="s">
        <v>121</v>
      </c>
      <c r="B1329" s="4" t="str">
        <f>VLOOKUP(A1329,Codes!$G$2:$H$217,2,0)</f>
        <v>PAN</v>
      </c>
      <c r="C1329" s="11">
        <v>2756239</v>
      </c>
      <c r="D1329" s="16">
        <v>2019</v>
      </c>
      <c r="E1329" s="13">
        <v>16177</v>
      </c>
      <c r="F1329" s="8">
        <v>5.8692297728897964</v>
      </c>
    </row>
    <row r="1330" spans="1:6" x14ac:dyDescent="0.25">
      <c r="A1330" s="4" t="s">
        <v>121</v>
      </c>
      <c r="B1330" s="4" t="str">
        <f>VLOOKUP(A1330,Codes!$G$2:$H$217,2,0)</f>
        <v>PAN</v>
      </c>
      <c r="C1330" s="11">
        <v>2803151</v>
      </c>
      <c r="D1330" s="16">
        <v>2020</v>
      </c>
      <c r="E1330" s="13">
        <v>11833</v>
      </c>
      <c r="F1330" s="8">
        <v>4.2213209349050409</v>
      </c>
    </row>
    <row r="1331" spans="1:6" x14ac:dyDescent="0.25">
      <c r="A1331" s="3" t="s">
        <v>122</v>
      </c>
      <c r="B1331" s="4" t="str">
        <f>VLOOKUP(A1331,Codes!$G$2:$H$217,2,0)</f>
        <v>PRY</v>
      </c>
      <c r="C1331" s="11">
        <v>4522647</v>
      </c>
      <c r="D1331" s="16">
        <v>2019</v>
      </c>
      <c r="E1331" s="13">
        <v>1018</v>
      </c>
      <c r="F1331" s="8">
        <v>0.2250894221901466</v>
      </c>
    </row>
    <row r="1332" spans="1:6" x14ac:dyDescent="0.25">
      <c r="A1332" s="4" t="s">
        <v>122</v>
      </c>
      <c r="B1332" s="4" t="str">
        <f>VLOOKUP(A1332,Codes!$G$2:$H$217,2,0)</f>
        <v>PRY</v>
      </c>
      <c r="C1332" s="11">
        <v>4585897</v>
      </c>
      <c r="D1332" s="16">
        <v>2020</v>
      </c>
      <c r="E1332" s="13">
        <v>226</v>
      </c>
      <c r="F1332" s="8">
        <v>4.9281525511802815E-2</v>
      </c>
    </row>
    <row r="1333" spans="1:6" x14ac:dyDescent="0.25">
      <c r="A1333" s="3" t="s">
        <v>123</v>
      </c>
      <c r="B1333" s="4" t="str">
        <f>VLOOKUP(A1333,Codes!$G$2:$H$217,2,0)</f>
        <v>PER</v>
      </c>
      <c r="C1333" s="11">
        <v>17637164</v>
      </c>
      <c r="D1333" s="12">
        <v>2006</v>
      </c>
      <c r="E1333" s="13">
        <v>37735</v>
      </c>
      <c r="F1333" s="8">
        <v>2.1395163077238495</v>
      </c>
    </row>
    <row r="1334" spans="1:6" x14ac:dyDescent="0.25">
      <c r="A1334" s="4" t="s">
        <v>123</v>
      </c>
      <c r="B1334" s="4" t="str">
        <f>VLOOKUP(A1334,Codes!$G$2:$H$217,2,0)</f>
        <v>PER</v>
      </c>
      <c r="C1334" s="11">
        <v>17855679</v>
      </c>
      <c r="D1334" s="12">
        <v>2007</v>
      </c>
      <c r="E1334" s="13">
        <v>47561</v>
      </c>
      <c r="F1334" s="8">
        <v>2.6636343540898109</v>
      </c>
    </row>
    <row r="1335" spans="1:6" x14ac:dyDescent="0.25">
      <c r="A1335" s="4" t="s">
        <v>123</v>
      </c>
      <c r="B1335" s="4" t="str">
        <f>VLOOKUP(A1335,Codes!$G$2:$H$217,2,0)</f>
        <v>PER</v>
      </c>
      <c r="C1335" s="11">
        <v>18066513</v>
      </c>
      <c r="D1335" s="12">
        <v>2008</v>
      </c>
      <c r="E1335" s="13">
        <v>55674</v>
      </c>
      <c r="F1335" s="8">
        <v>3.0816129266339334</v>
      </c>
    </row>
    <row r="1336" spans="1:6" x14ac:dyDescent="0.25">
      <c r="A1336" s="4" t="s">
        <v>123</v>
      </c>
      <c r="B1336" s="4" t="str">
        <f>VLOOKUP(A1336,Codes!$G$2:$H$217,2,0)</f>
        <v>PER</v>
      </c>
      <c r="C1336" s="11">
        <v>18275481</v>
      </c>
      <c r="D1336" s="12">
        <v>2009</v>
      </c>
      <c r="E1336" s="13">
        <v>55879</v>
      </c>
      <c r="F1336" s="8">
        <v>3.057593942397467</v>
      </c>
    </row>
    <row r="1337" spans="1:6" x14ac:dyDescent="0.25">
      <c r="A1337" s="4" t="s">
        <v>123</v>
      </c>
      <c r="B1337" s="4" t="str">
        <f>VLOOKUP(A1337,Codes!$G$2:$H$217,2,0)</f>
        <v>PER</v>
      </c>
      <c r="C1337" s="11">
        <v>18487502</v>
      </c>
      <c r="D1337" s="12">
        <v>2010</v>
      </c>
      <c r="E1337" s="13">
        <v>60247</v>
      </c>
      <c r="F1337" s="8">
        <v>3.2587961315703984</v>
      </c>
    </row>
    <row r="1338" spans="1:6" x14ac:dyDescent="0.25">
      <c r="A1338" s="4" t="s">
        <v>123</v>
      </c>
      <c r="B1338" s="4" t="str">
        <f>VLOOKUP(A1338,Codes!$G$2:$H$217,2,0)</f>
        <v>PER</v>
      </c>
      <c r="C1338" s="11">
        <v>18701547</v>
      </c>
      <c r="D1338" s="12">
        <v>2011</v>
      </c>
      <c r="E1338" s="13">
        <v>71295</v>
      </c>
      <c r="F1338" s="8">
        <v>3.8122514677529082</v>
      </c>
    </row>
    <row r="1339" spans="1:6" x14ac:dyDescent="0.25">
      <c r="A1339" s="4" t="s">
        <v>123</v>
      </c>
      <c r="B1339" s="4" t="str">
        <f>VLOOKUP(A1339,Codes!$G$2:$H$217,2,0)</f>
        <v>PER</v>
      </c>
      <c r="C1339" s="11">
        <v>18933056</v>
      </c>
      <c r="D1339" s="12">
        <v>2012</v>
      </c>
      <c r="E1339" s="13">
        <v>75210</v>
      </c>
      <c r="F1339" s="8">
        <v>3.9724173424512128</v>
      </c>
    </row>
    <row r="1340" spans="1:6" x14ac:dyDescent="0.25">
      <c r="A1340" s="4" t="s">
        <v>123</v>
      </c>
      <c r="B1340" s="4" t="str">
        <f>VLOOKUP(A1340,Codes!$G$2:$H$217,2,0)</f>
        <v>PER</v>
      </c>
      <c r="C1340" s="11">
        <v>19176446</v>
      </c>
      <c r="D1340" s="12">
        <v>2013</v>
      </c>
      <c r="E1340" s="13">
        <v>74742</v>
      </c>
      <c r="F1340" s="8">
        <v>3.8975939545836593</v>
      </c>
    </row>
    <row r="1341" spans="1:6" x14ac:dyDescent="0.25">
      <c r="A1341" s="4" t="s">
        <v>123</v>
      </c>
      <c r="B1341" s="4" t="str">
        <f>VLOOKUP(A1341,Codes!$G$2:$H$217,2,0)</f>
        <v>PER</v>
      </c>
      <c r="C1341" s="11">
        <v>19425194</v>
      </c>
      <c r="D1341" s="16">
        <v>2014</v>
      </c>
      <c r="E1341" s="13">
        <v>74488</v>
      </c>
      <c r="F1341" s="8">
        <v>3.8346077779197465</v>
      </c>
    </row>
    <row r="1342" spans="1:6" x14ac:dyDescent="0.25">
      <c r="A1342" s="4" t="s">
        <v>123</v>
      </c>
      <c r="B1342" s="4" t="str">
        <f>VLOOKUP(A1342,Codes!$G$2:$H$217,2,0)</f>
        <v>PER</v>
      </c>
      <c r="C1342" s="11">
        <v>19681872</v>
      </c>
      <c r="D1342" s="16">
        <v>2015</v>
      </c>
      <c r="E1342" s="13">
        <v>79531</v>
      </c>
      <c r="F1342" s="8">
        <v>4.0408249784370103</v>
      </c>
    </row>
    <row r="1343" spans="1:6" x14ac:dyDescent="0.25">
      <c r="A1343" s="4" t="s">
        <v>123</v>
      </c>
      <c r="B1343" s="4" t="str">
        <f>VLOOKUP(A1343,Codes!$G$2:$H$217,2,0)</f>
        <v>PER</v>
      </c>
      <c r="C1343" s="11">
        <v>20207763</v>
      </c>
      <c r="D1343" s="16">
        <v>2016</v>
      </c>
      <c r="E1343" s="13">
        <v>75835</v>
      </c>
      <c r="F1343" s="8">
        <v>3.7527657069216418</v>
      </c>
    </row>
    <row r="1344" spans="1:6" x14ac:dyDescent="0.25">
      <c r="A1344" s="4" t="s">
        <v>123</v>
      </c>
      <c r="B1344" s="4" t="str">
        <f>VLOOKUP(A1344,Codes!$G$2:$H$217,2,0)</f>
        <v>PER</v>
      </c>
      <c r="C1344" s="11">
        <v>20698745</v>
      </c>
      <c r="D1344" s="16">
        <v>2017</v>
      </c>
      <c r="E1344" s="13">
        <v>79513</v>
      </c>
      <c r="F1344" s="8">
        <v>3.8414406284052487</v>
      </c>
    </row>
    <row r="1345" spans="1:6" x14ac:dyDescent="0.25">
      <c r="A1345" s="4" t="s">
        <v>123</v>
      </c>
      <c r="B1345" s="4" t="str">
        <f>VLOOKUP(A1345,Codes!$G$2:$H$217,2,0)</f>
        <v>PER</v>
      </c>
      <c r="C1345" s="11">
        <v>21151623</v>
      </c>
      <c r="D1345" s="16">
        <v>2018</v>
      </c>
      <c r="E1345" s="13">
        <v>79798</v>
      </c>
      <c r="F1345" s="8">
        <v>3.7726655774831084</v>
      </c>
    </row>
    <row r="1346" spans="1:6" x14ac:dyDescent="0.25">
      <c r="A1346" s="4" t="s">
        <v>123</v>
      </c>
      <c r="B1346" s="4" t="str">
        <f>VLOOKUP(A1346,Codes!$G$2:$H$217,2,0)</f>
        <v>PER</v>
      </c>
      <c r="C1346" s="11">
        <v>21571350</v>
      </c>
      <c r="D1346" s="16">
        <v>2019</v>
      </c>
      <c r="E1346" s="13">
        <v>88782</v>
      </c>
      <c r="F1346" s="8">
        <v>4.1157368453991054</v>
      </c>
    </row>
    <row r="1347" spans="1:6" x14ac:dyDescent="0.25">
      <c r="A1347" s="4" t="s">
        <v>123</v>
      </c>
      <c r="B1347" s="4" t="str">
        <f>VLOOKUP(A1347,Codes!$G$2:$H$217,2,0)</f>
        <v>PER</v>
      </c>
      <c r="C1347" s="11">
        <v>21953512</v>
      </c>
      <c r="D1347" s="16">
        <v>2020</v>
      </c>
      <c r="E1347" s="13">
        <v>83351</v>
      </c>
      <c r="F1347" s="8">
        <v>3.7967046001569136</v>
      </c>
    </row>
    <row r="1348" spans="1:6" x14ac:dyDescent="0.25">
      <c r="A1348" s="3" t="s">
        <v>124</v>
      </c>
      <c r="B1348" s="4" t="str">
        <f>VLOOKUP(A1348,Codes!$G$2:$H$217,2,0)</f>
        <v>PHL</v>
      </c>
      <c r="C1348" s="11">
        <v>52586114</v>
      </c>
      <c r="D1348" s="12">
        <v>2006</v>
      </c>
      <c r="E1348" s="13">
        <v>13325</v>
      </c>
      <c r="F1348" s="8">
        <v>0.25339389025779691</v>
      </c>
    </row>
    <row r="1349" spans="1:6" x14ac:dyDescent="0.25">
      <c r="A1349" s="4" t="s">
        <v>124</v>
      </c>
      <c r="B1349" s="4" t="str">
        <f>VLOOKUP(A1349,Codes!$G$2:$H$217,2,0)</f>
        <v>PHL</v>
      </c>
      <c r="C1349" s="11">
        <v>53883967</v>
      </c>
      <c r="D1349" s="12">
        <v>2007</v>
      </c>
      <c r="E1349" s="13">
        <v>12285</v>
      </c>
      <c r="F1349" s="8">
        <v>0.22798989539875564</v>
      </c>
    </row>
    <row r="1350" spans="1:6" x14ac:dyDescent="0.25">
      <c r="A1350" s="4" t="s">
        <v>124</v>
      </c>
      <c r="B1350" s="4" t="str">
        <f>VLOOKUP(A1350,Codes!$G$2:$H$217,2,0)</f>
        <v>PHL</v>
      </c>
      <c r="C1350" s="11">
        <v>55252065</v>
      </c>
      <c r="D1350" s="12">
        <v>2008</v>
      </c>
      <c r="E1350" s="13">
        <v>13470</v>
      </c>
      <c r="F1350" s="8">
        <v>0.24379179312121638</v>
      </c>
    </row>
    <row r="1351" spans="1:6" x14ac:dyDescent="0.25">
      <c r="A1351" s="4" t="s">
        <v>124</v>
      </c>
      <c r="B1351" s="4" t="str">
        <f>VLOOKUP(A1351,Codes!$G$2:$H$217,2,0)</f>
        <v>PHL</v>
      </c>
      <c r="C1351" s="11">
        <v>56685248</v>
      </c>
      <c r="D1351" s="12">
        <v>2009</v>
      </c>
      <c r="E1351" s="13">
        <v>11435</v>
      </c>
      <c r="F1351" s="8">
        <v>0.2017279698591069</v>
      </c>
    </row>
    <row r="1352" spans="1:6" x14ac:dyDescent="0.25">
      <c r="A1352" s="4" t="s">
        <v>124</v>
      </c>
      <c r="B1352" s="4" t="str">
        <f>VLOOKUP(A1352,Codes!$G$2:$H$217,2,0)</f>
        <v>PHL</v>
      </c>
      <c r="C1352" s="11">
        <v>58138731</v>
      </c>
      <c r="D1352" s="12">
        <v>2010</v>
      </c>
      <c r="E1352" s="13">
        <v>11714</v>
      </c>
      <c r="F1352" s="8">
        <v>0.20148358587324516</v>
      </c>
    </row>
    <row r="1353" spans="1:6" x14ac:dyDescent="0.25">
      <c r="A1353" s="4" t="s">
        <v>124</v>
      </c>
      <c r="B1353" s="4" t="str">
        <f>VLOOKUP(A1353,Codes!$G$2:$H$217,2,0)</f>
        <v>PHL</v>
      </c>
      <c r="C1353" s="11">
        <v>59396986</v>
      </c>
      <c r="D1353" s="12">
        <v>2011</v>
      </c>
      <c r="E1353" s="13">
        <v>17495</v>
      </c>
      <c r="F1353" s="8">
        <v>0.29454356488728234</v>
      </c>
    </row>
    <row r="1354" spans="1:6" x14ac:dyDescent="0.25">
      <c r="A1354" s="4" t="s">
        <v>124</v>
      </c>
      <c r="B1354" s="4" t="str">
        <f>VLOOKUP(A1354,Codes!$G$2:$H$217,2,0)</f>
        <v>PHL</v>
      </c>
      <c r="C1354" s="11">
        <v>60664608</v>
      </c>
      <c r="D1354" s="12">
        <v>2012</v>
      </c>
      <c r="E1354" s="13">
        <v>18515</v>
      </c>
      <c r="F1354" s="8">
        <v>0.30520266445964672</v>
      </c>
    </row>
    <row r="1355" spans="1:6" x14ac:dyDescent="0.25">
      <c r="A1355" s="4" t="s">
        <v>124</v>
      </c>
      <c r="B1355" s="4" t="str">
        <f>VLOOKUP(A1355,Codes!$G$2:$H$217,2,0)</f>
        <v>PHL</v>
      </c>
      <c r="C1355" s="11">
        <v>61922309</v>
      </c>
      <c r="D1355" s="12">
        <v>2013</v>
      </c>
      <c r="E1355" s="13">
        <v>20231</v>
      </c>
      <c r="F1355" s="8">
        <v>0.32671585292467048</v>
      </c>
    </row>
    <row r="1356" spans="1:6" x14ac:dyDescent="0.25">
      <c r="A1356" s="4" t="s">
        <v>124</v>
      </c>
      <c r="B1356" s="4" t="str">
        <f>VLOOKUP(A1356,Codes!$G$2:$H$217,2,0)</f>
        <v>PHL</v>
      </c>
      <c r="C1356" s="11">
        <v>63178605</v>
      </c>
      <c r="D1356" s="16">
        <v>2014</v>
      </c>
      <c r="E1356" s="13">
        <v>21066</v>
      </c>
      <c r="F1356" s="8">
        <v>0.33343566227839311</v>
      </c>
    </row>
    <row r="1357" spans="1:6" x14ac:dyDescent="0.25">
      <c r="A1357" s="4" t="s">
        <v>124</v>
      </c>
      <c r="B1357" s="4" t="str">
        <f>VLOOKUP(A1357,Codes!$G$2:$H$217,2,0)</f>
        <v>PHL</v>
      </c>
      <c r="C1357" s="11">
        <v>64449670</v>
      </c>
      <c r="D1357" s="16">
        <v>2015</v>
      </c>
      <c r="E1357" s="13">
        <v>21453</v>
      </c>
      <c r="F1357" s="8">
        <v>0.33286438859966239</v>
      </c>
    </row>
    <row r="1358" spans="1:6" x14ac:dyDescent="0.25">
      <c r="A1358" s="4" t="s">
        <v>124</v>
      </c>
      <c r="B1358" s="4" t="str">
        <f>VLOOKUP(A1358,Codes!$G$2:$H$217,2,0)</f>
        <v>PHL</v>
      </c>
      <c r="C1358" s="11">
        <v>65635165</v>
      </c>
      <c r="D1358" s="16">
        <v>2016</v>
      </c>
      <c r="E1358" s="13">
        <v>22412</v>
      </c>
      <c r="F1358" s="8">
        <v>0.34146329943712339</v>
      </c>
    </row>
    <row r="1359" spans="1:6" x14ac:dyDescent="0.25">
      <c r="A1359" s="4" t="s">
        <v>124</v>
      </c>
      <c r="B1359" s="4" t="str">
        <f>VLOOKUP(A1359,Codes!$G$2:$H$217,2,0)</f>
        <v>PHL</v>
      </c>
      <c r="C1359" s="11">
        <v>66884608</v>
      </c>
      <c r="D1359" s="16">
        <v>2017</v>
      </c>
      <c r="E1359" s="13">
        <v>24379</v>
      </c>
      <c r="F1359" s="8">
        <v>0.36449342724711792</v>
      </c>
    </row>
    <row r="1360" spans="1:6" x14ac:dyDescent="0.25">
      <c r="A1360" s="4" t="s">
        <v>124</v>
      </c>
      <c r="B1360" s="4" t="str">
        <f>VLOOKUP(A1360,Codes!$G$2:$H$217,2,0)</f>
        <v>PHL</v>
      </c>
      <c r="C1360" s="11">
        <v>68165589</v>
      </c>
      <c r="D1360" s="16">
        <v>2018</v>
      </c>
      <c r="E1360" s="13">
        <v>20092</v>
      </c>
      <c r="F1360" s="8">
        <v>0.29475282609235576</v>
      </c>
    </row>
    <row r="1361" spans="1:6" x14ac:dyDescent="0.25">
      <c r="A1361" s="4" t="s">
        <v>124</v>
      </c>
      <c r="B1361" s="4" t="str">
        <f>VLOOKUP(A1361,Codes!$G$2:$H$217,2,0)</f>
        <v>PHL</v>
      </c>
      <c r="C1361" s="11">
        <v>69420734</v>
      </c>
      <c r="D1361" s="16">
        <v>2019</v>
      </c>
      <c r="E1361" s="13">
        <v>21835</v>
      </c>
      <c r="F1361" s="8">
        <v>0.31453139057849777</v>
      </c>
    </row>
    <row r="1362" spans="1:6" x14ac:dyDescent="0.25">
      <c r="A1362" s="4" t="s">
        <v>124</v>
      </c>
      <c r="B1362" s="4" t="str">
        <f>VLOOKUP(A1362,Codes!$G$2:$H$217,2,0)</f>
        <v>PHL</v>
      </c>
      <c r="C1362" s="11">
        <v>70620268</v>
      </c>
      <c r="D1362" s="16">
        <v>2020</v>
      </c>
      <c r="E1362" s="13">
        <v>15161</v>
      </c>
      <c r="F1362" s="8">
        <v>0.21468341071716127</v>
      </c>
    </row>
    <row r="1363" spans="1:6" x14ac:dyDescent="0.25">
      <c r="A1363" s="3" t="s">
        <v>125</v>
      </c>
      <c r="B1363" s="4" t="str">
        <f>VLOOKUP(A1363,Codes!$G$2:$H$217,2,0)</f>
        <v>POL</v>
      </c>
      <c r="C1363" s="11">
        <v>26938980</v>
      </c>
      <c r="D1363" s="12">
        <v>2006</v>
      </c>
      <c r="E1363" s="13">
        <v>13110</v>
      </c>
      <c r="F1363" s="8">
        <v>0.48665539675221559</v>
      </c>
    </row>
    <row r="1364" spans="1:6" x14ac:dyDescent="0.25">
      <c r="A1364" s="4" t="s">
        <v>125</v>
      </c>
      <c r="B1364" s="4" t="str">
        <f>VLOOKUP(A1364,Codes!$G$2:$H$217,2,0)</f>
        <v>POL</v>
      </c>
      <c r="C1364" s="11">
        <v>27036802</v>
      </c>
      <c r="D1364" s="12">
        <v>2007</v>
      </c>
      <c r="E1364" s="13">
        <v>13781</v>
      </c>
      <c r="F1364" s="8">
        <v>0.50971265018695633</v>
      </c>
    </row>
    <row r="1365" spans="1:6" x14ac:dyDescent="0.25">
      <c r="A1365" s="4" t="s">
        <v>125</v>
      </c>
      <c r="B1365" s="4" t="str">
        <f>VLOOKUP(A1365,Codes!$G$2:$H$217,2,0)</f>
        <v>POL</v>
      </c>
      <c r="C1365" s="11">
        <v>27130959</v>
      </c>
      <c r="D1365" s="12">
        <v>2008</v>
      </c>
      <c r="E1365" s="13">
        <v>12678</v>
      </c>
      <c r="F1365" s="8">
        <v>0.46728904791017523</v>
      </c>
    </row>
    <row r="1366" spans="1:6" x14ac:dyDescent="0.25">
      <c r="A1366" s="4" t="s">
        <v>125</v>
      </c>
      <c r="B1366" s="4" t="str">
        <f>VLOOKUP(A1366,Codes!$G$2:$H$217,2,0)</f>
        <v>POL</v>
      </c>
      <c r="C1366" s="11">
        <v>27201173</v>
      </c>
      <c r="D1366" s="12">
        <v>2009</v>
      </c>
      <c r="E1366" s="13">
        <v>14434</v>
      </c>
      <c r="F1366" s="8">
        <v>0.53063888090414346</v>
      </c>
    </row>
    <row r="1367" spans="1:6" x14ac:dyDescent="0.25">
      <c r="A1367" s="4" t="s">
        <v>125</v>
      </c>
      <c r="B1367" s="4" t="str">
        <f>VLOOKUP(A1367,Codes!$G$2:$H$217,2,0)</f>
        <v>POL</v>
      </c>
      <c r="C1367" s="11">
        <v>27128349</v>
      </c>
      <c r="D1367" s="12">
        <v>2010</v>
      </c>
      <c r="E1367" s="13">
        <v>18120</v>
      </c>
      <c r="F1367" s="8">
        <v>0.66793596617324558</v>
      </c>
    </row>
    <row r="1368" spans="1:6" x14ac:dyDescent="0.25">
      <c r="A1368" s="4" t="s">
        <v>125</v>
      </c>
      <c r="B1368" s="4" t="str">
        <f>VLOOKUP(A1368,Codes!$G$2:$H$217,2,0)</f>
        <v>POL</v>
      </c>
      <c r="C1368" s="11">
        <v>27048558</v>
      </c>
      <c r="D1368" s="12">
        <v>2011</v>
      </c>
      <c r="E1368" s="13">
        <v>19320</v>
      </c>
      <c r="F1368" s="8">
        <v>0.71427097888175783</v>
      </c>
    </row>
    <row r="1369" spans="1:6" x14ac:dyDescent="0.25">
      <c r="A1369" s="4" t="s">
        <v>125</v>
      </c>
      <c r="B1369" s="4" t="str">
        <f>VLOOKUP(A1369,Codes!$G$2:$H$217,2,0)</f>
        <v>POL</v>
      </c>
      <c r="C1369" s="11">
        <v>26941406</v>
      </c>
      <c r="D1369" s="12">
        <v>2012</v>
      </c>
      <c r="E1369" s="13">
        <v>24753</v>
      </c>
      <c r="F1369" s="8">
        <v>0.91877164836905689</v>
      </c>
    </row>
    <row r="1370" spans="1:6" x14ac:dyDescent="0.25">
      <c r="A1370" s="4" t="s">
        <v>125</v>
      </c>
      <c r="B1370" s="4" t="str">
        <f>VLOOKUP(A1370,Codes!$G$2:$H$217,2,0)</f>
        <v>POL</v>
      </c>
      <c r="C1370" s="11">
        <v>26793429</v>
      </c>
      <c r="D1370" s="12">
        <v>2013</v>
      </c>
      <c r="E1370" s="13">
        <v>29891</v>
      </c>
      <c r="F1370" s="8">
        <v>1.1156093533231599</v>
      </c>
    </row>
    <row r="1371" spans="1:6" x14ac:dyDescent="0.25">
      <c r="A1371" s="4" t="s">
        <v>125</v>
      </c>
      <c r="B1371" s="4" t="str">
        <f>VLOOKUP(A1371,Codes!$G$2:$H$217,2,0)</f>
        <v>POL</v>
      </c>
      <c r="C1371" s="11">
        <v>26602465</v>
      </c>
      <c r="D1371" s="16">
        <v>2014</v>
      </c>
      <c r="E1371" s="13">
        <v>30155</v>
      </c>
      <c r="F1371" s="8">
        <v>1.1335415721813749</v>
      </c>
    </row>
    <row r="1372" spans="1:6" x14ac:dyDescent="0.25">
      <c r="A1372" s="4" t="s">
        <v>125</v>
      </c>
      <c r="B1372" s="4" t="str">
        <f>VLOOKUP(A1372,Codes!$G$2:$H$217,2,0)</f>
        <v>POL</v>
      </c>
      <c r="C1372" s="11">
        <v>26371771</v>
      </c>
      <c r="D1372" s="16">
        <v>2015</v>
      </c>
      <c r="E1372" s="13">
        <v>40224</v>
      </c>
      <c r="F1372" s="8">
        <v>1.525267301919162</v>
      </c>
    </row>
    <row r="1373" spans="1:6" x14ac:dyDescent="0.25">
      <c r="A1373" s="4" t="s">
        <v>125</v>
      </c>
      <c r="B1373" s="4" t="str">
        <f>VLOOKUP(A1373,Codes!$G$2:$H$217,2,0)</f>
        <v>POL</v>
      </c>
      <c r="C1373" s="11">
        <v>26152707</v>
      </c>
      <c r="D1373" s="16">
        <v>2016</v>
      </c>
      <c r="E1373" s="13">
        <v>43523</v>
      </c>
      <c r="F1373" s="8">
        <v>1.6641871910238586</v>
      </c>
    </row>
    <row r="1374" spans="1:6" x14ac:dyDescent="0.25">
      <c r="A1374" s="4" t="s">
        <v>125</v>
      </c>
      <c r="B1374" s="4" t="str">
        <f>VLOOKUP(A1374,Codes!$G$2:$H$217,2,0)</f>
        <v>POL</v>
      </c>
      <c r="C1374" s="11">
        <v>25894815</v>
      </c>
      <c r="D1374" s="16">
        <v>2017</v>
      </c>
      <c r="E1374" s="13">
        <v>38903</v>
      </c>
      <c r="F1374" s="8">
        <v>1.5023470914930268</v>
      </c>
    </row>
    <row r="1375" spans="1:6" x14ac:dyDescent="0.25">
      <c r="A1375" s="4" t="s">
        <v>125</v>
      </c>
      <c r="B1375" s="4" t="str">
        <f>VLOOKUP(A1375,Codes!$G$2:$H$217,2,0)</f>
        <v>POL</v>
      </c>
      <c r="C1375" s="11">
        <v>25606338</v>
      </c>
      <c r="D1375" s="16">
        <v>2018</v>
      </c>
      <c r="E1375" s="13">
        <v>36879</v>
      </c>
      <c r="F1375" s="8">
        <v>1.4402293682134477</v>
      </c>
    </row>
    <row r="1376" spans="1:6" x14ac:dyDescent="0.25">
      <c r="A1376" s="4" t="s">
        <v>125</v>
      </c>
      <c r="B1376" s="4" t="str">
        <f>VLOOKUP(A1376,Codes!$G$2:$H$217,2,0)</f>
        <v>POL</v>
      </c>
      <c r="C1376" s="11">
        <v>25322105</v>
      </c>
      <c r="D1376" s="16">
        <v>2019</v>
      </c>
      <c r="E1376" s="13">
        <v>40248</v>
      </c>
      <c r="F1376" s="8">
        <v>1.5894413201430135</v>
      </c>
    </row>
    <row r="1377" spans="1:6" x14ac:dyDescent="0.25">
      <c r="A1377" s="4" t="s">
        <v>125</v>
      </c>
      <c r="B1377" s="4" t="str">
        <f>VLOOKUP(A1377,Codes!$G$2:$H$217,2,0)</f>
        <v>POL</v>
      </c>
      <c r="C1377" s="11">
        <v>25063789</v>
      </c>
      <c r="D1377" s="16">
        <v>2020</v>
      </c>
      <c r="E1377" s="13">
        <v>41143</v>
      </c>
      <c r="F1377" s="8">
        <v>1.6415315337996184</v>
      </c>
    </row>
    <row r="1378" spans="1:6" x14ac:dyDescent="0.25">
      <c r="A1378" s="3" t="s">
        <v>126</v>
      </c>
      <c r="B1378" s="4" t="str">
        <f>VLOOKUP(A1378,Codes!$G$2:$H$217,2,0)</f>
        <v>PRT</v>
      </c>
      <c r="C1378" s="11">
        <v>7058312</v>
      </c>
      <c r="D1378" s="12">
        <v>2006</v>
      </c>
      <c r="E1378" s="13">
        <v>31849</v>
      </c>
      <c r="F1378" s="8">
        <v>4.5122686557352525</v>
      </c>
    </row>
    <row r="1379" spans="1:6" x14ac:dyDescent="0.25">
      <c r="A1379" s="4" t="s">
        <v>126</v>
      </c>
      <c r="B1379" s="4" t="str">
        <f>VLOOKUP(A1379,Codes!$G$2:$H$217,2,0)</f>
        <v>PRT</v>
      </c>
      <c r="C1379" s="11">
        <v>7049027</v>
      </c>
      <c r="D1379" s="12">
        <v>2007</v>
      </c>
      <c r="E1379" s="13">
        <v>34720</v>
      </c>
      <c r="F1379" s="8">
        <v>4.9255024842435695</v>
      </c>
    </row>
    <row r="1380" spans="1:6" x14ac:dyDescent="0.25">
      <c r="A1380" s="4" t="s">
        <v>126</v>
      </c>
      <c r="B1380" s="4" t="str">
        <f>VLOOKUP(A1380,Codes!$G$2:$H$217,2,0)</f>
        <v>PRT</v>
      </c>
      <c r="C1380" s="11">
        <v>7041354</v>
      </c>
      <c r="D1380" s="12">
        <v>2008</v>
      </c>
      <c r="E1380" s="13">
        <v>31324</v>
      </c>
      <c r="F1380" s="8">
        <v>4.4485762255384405</v>
      </c>
    </row>
    <row r="1381" spans="1:6" x14ac:dyDescent="0.25">
      <c r="A1381" s="4" t="s">
        <v>126</v>
      </c>
      <c r="B1381" s="4" t="str">
        <f>VLOOKUP(A1381,Codes!$G$2:$H$217,2,0)</f>
        <v>PRT</v>
      </c>
      <c r="C1381" s="11">
        <v>7031896</v>
      </c>
      <c r="D1381" s="12">
        <v>2009</v>
      </c>
      <c r="E1381" s="13">
        <v>28381</v>
      </c>
      <c r="F1381" s="8">
        <v>4.0360380756484453</v>
      </c>
    </row>
    <row r="1382" spans="1:6" x14ac:dyDescent="0.25">
      <c r="A1382" s="4" t="s">
        <v>126</v>
      </c>
      <c r="B1382" s="4" t="str">
        <f>VLOOKUP(A1382,Codes!$G$2:$H$217,2,0)</f>
        <v>PRT</v>
      </c>
      <c r="C1382" s="11">
        <v>7017376</v>
      </c>
      <c r="D1382" s="12">
        <v>2010</v>
      </c>
      <c r="E1382" s="13">
        <v>28501</v>
      </c>
      <c r="F1382" s="8">
        <v>4.0614896508324474</v>
      </c>
    </row>
    <row r="1383" spans="1:6" x14ac:dyDescent="0.25">
      <c r="A1383" s="4" t="s">
        <v>126</v>
      </c>
      <c r="B1383" s="4" t="str">
        <f>VLOOKUP(A1383,Codes!$G$2:$H$217,2,0)</f>
        <v>PRT</v>
      </c>
      <c r="C1383" s="11">
        <v>6984656</v>
      </c>
      <c r="D1383" s="12">
        <v>2011</v>
      </c>
      <c r="E1383" s="13">
        <v>31896</v>
      </c>
      <c r="F1383" s="8">
        <v>4.5665813749453088</v>
      </c>
    </row>
    <row r="1384" spans="1:6" x14ac:dyDescent="0.25">
      <c r="A1384" s="4" t="s">
        <v>126</v>
      </c>
      <c r="B1384" s="4" t="str">
        <f>VLOOKUP(A1384,Codes!$G$2:$H$217,2,0)</f>
        <v>PRT</v>
      </c>
      <c r="C1384" s="11">
        <v>6932379</v>
      </c>
      <c r="D1384" s="12">
        <v>2012</v>
      </c>
      <c r="E1384" s="13">
        <v>27803</v>
      </c>
      <c r="F1384" s="8">
        <v>4.0106001128905389</v>
      </c>
    </row>
    <row r="1385" spans="1:6" x14ac:dyDescent="0.25">
      <c r="A1385" s="4" t="s">
        <v>126</v>
      </c>
      <c r="B1385" s="4" t="str">
        <f>VLOOKUP(A1385,Codes!$G$2:$H$217,2,0)</f>
        <v>PRT</v>
      </c>
      <c r="C1385" s="11">
        <v>6868294</v>
      </c>
      <c r="D1385" s="12">
        <v>2013</v>
      </c>
      <c r="E1385" s="13">
        <v>32081</v>
      </c>
      <c r="F1385" s="8">
        <v>4.6708833372595873</v>
      </c>
    </row>
    <row r="1386" spans="1:6" x14ac:dyDescent="0.25">
      <c r="A1386" s="4" t="s">
        <v>126</v>
      </c>
      <c r="B1386" s="4" t="str">
        <f>VLOOKUP(A1386,Codes!$G$2:$H$217,2,0)</f>
        <v>PRT</v>
      </c>
      <c r="C1386" s="11">
        <v>6804022</v>
      </c>
      <c r="D1386" s="16">
        <v>2014</v>
      </c>
      <c r="E1386" s="13">
        <v>31860</v>
      </c>
      <c r="F1386" s="8">
        <v>4.6825245421017154</v>
      </c>
    </row>
    <row r="1387" spans="1:6" x14ac:dyDescent="0.25">
      <c r="A1387" s="4" t="s">
        <v>126</v>
      </c>
      <c r="B1387" s="4" t="str">
        <f>VLOOKUP(A1387,Codes!$G$2:$H$217,2,0)</f>
        <v>PRT</v>
      </c>
      <c r="C1387" s="11">
        <v>6748422</v>
      </c>
      <c r="D1387" s="16">
        <v>2015</v>
      </c>
      <c r="E1387" s="13">
        <v>34120</v>
      </c>
      <c r="F1387" s="8">
        <v>5.0559967945098867</v>
      </c>
    </row>
    <row r="1388" spans="1:6" x14ac:dyDescent="0.25">
      <c r="A1388" s="4" t="s">
        <v>126</v>
      </c>
      <c r="B1388" s="4" t="str">
        <f>VLOOKUP(A1388,Codes!$G$2:$H$217,2,0)</f>
        <v>PRT</v>
      </c>
      <c r="C1388" s="11">
        <v>6707573</v>
      </c>
      <c r="D1388" s="16">
        <v>2016</v>
      </c>
      <c r="E1388" s="13">
        <v>33651</v>
      </c>
      <c r="F1388" s="8">
        <v>5.016866756425908</v>
      </c>
    </row>
    <row r="1389" spans="1:6" x14ac:dyDescent="0.25">
      <c r="A1389" s="4" t="s">
        <v>126</v>
      </c>
      <c r="B1389" s="4" t="str">
        <f>VLOOKUP(A1389,Codes!$G$2:$H$217,2,0)</f>
        <v>PRT</v>
      </c>
      <c r="C1389" s="11">
        <v>6672042</v>
      </c>
      <c r="D1389" s="16">
        <v>2017</v>
      </c>
      <c r="E1389" s="13">
        <v>37571</v>
      </c>
      <c r="F1389" s="8">
        <v>5.6311096363002511</v>
      </c>
    </row>
    <row r="1390" spans="1:6" x14ac:dyDescent="0.25">
      <c r="A1390" s="4" t="s">
        <v>126</v>
      </c>
      <c r="B1390" s="4" t="str">
        <f>VLOOKUP(A1390,Codes!$G$2:$H$217,2,0)</f>
        <v>PRT</v>
      </c>
      <c r="C1390" s="11">
        <v>6642139</v>
      </c>
      <c r="D1390" s="16">
        <v>2018</v>
      </c>
      <c r="E1390" s="13">
        <v>43114</v>
      </c>
      <c r="F1390" s="8">
        <v>6.4909812938271845</v>
      </c>
    </row>
    <row r="1391" spans="1:6" x14ac:dyDescent="0.25">
      <c r="A1391" s="4" t="s">
        <v>126</v>
      </c>
      <c r="B1391" s="4" t="str">
        <f>VLOOKUP(A1391,Codes!$G$2:$H$217,2,0)</f>
        <v>PRT</v>
      </c>
      <c r="C1391" s="11">
        <v>6623451</v>
      </c>
      <c r="D1391" s="16">
        <v>2019</v>
      </c>
      <c r="E1391" s="13">
        <v>46880</v>
      </c>
      <c r="F1391" s="8">
        <v>7.0778813038701429</v>
      </c>
    </row>
    <row r="1392" spans="1:6" x14ac:dyDescent="0.25">
      <c r="A1392" s="4" t="s">
        <v>126</v>
      </c>
      <c r="B1392" s="4" t="str">
        <f>VLOOKUP(A1392,Codes!$G$2:$H$217,2,0)</f>
        <v>PRT</v>
      </c>
      <c r="C1392" s="11">
        <v>6613469</v>
      </c>
      <c r="D1392" s="16">
        <v>2020</v>
      </c>
      <c r="E1392" s="13">
        <v>36076</v>
      </c>
      <c r="F1392" s="8">
        <v>5.454928419563168</v>
      </c>
    </row>
    <row r="1393" spans="1:6" x14ac:dyDescent="0.25">
      <c r="A1393" s="3" t="s">
        <v>127</v>
      </c>
      <c r="B1393" s="4" t="str">
        <f>VLOOKUP(A1393,Codes!$G$2:$H$217,2,0)</f>
        <v>PRI</v>
      </c>
      <c r="C1393" s="11">
        <v>2270470</v>
      </c>
      <c r="D1393" s="16">
        <v>2015</v>
      </c>
      <c r="E1393" s="13">
        <v>4811</v>
      </c>
      <c r="F1393" s="8">
        <v>2.11894453571287</v>
      </c>
    </row>
    <row r="1394" spans="1:6" x14ac:dyDescent="0.25">
      <c r="A1394" s="4" t="s">
        <v>127</v>
      </c>
      <c r="B1394" s="4" t="str">
        <f>VLOOKUP(A1394,Codes!$G$2:$H$217,2,0)</f>
        <v>PRI</v>
      </c>
      <c r="C1394" s="11">
        <v>2218360</v>
      </c>
      <c r="D1394" s="16">
        <v>2016</v>
      </c>
      <c r="E1394" s="13">
        <v>5564</v>
      </c>
      <c r="F1394" s="8">
        <v>2.50815918065598</v>
      </c>
    </row>
    <row r="1395" spans="1:6" x14ac:dyDescent="0.25">
      <c r="A1395" s="4" t="s">
        <v>127</v>
      </c>
      <c r="B1395" s="4" t="str">
        <f>VLOOKUP(A1395,Codes!$G$2:$H$217,2,0)</f>
        <v>PRI</v>
      </c>
      <c r="C1395" s="11">
        <v>2155672</v>
      </c>
      <c r="D1395" s="16">
        <v>2017</v>
      </c>
      <c r="E1395" s="13">
        <v>5793</v>
      </c>
      <c r="F1395" s="8">
        <v>2.6873290556262734</v>
      </c>
    </row>
    <row r="1396" spans="1:6" x14ac:dyDescent="0.25">
      <c r="A1396" s="4" t="s">
        <v>127</v>
      </c>
      <c r="B1396" s="4" t="str">
        <f>VLOOKUP(A1396,Codes!$G$2:$H$217,2,0)</f>
        <v>PRI</v>
      </c>
      <c r="C1396" s="11">
        <v>2059364</v>
      </c>
      <c r="D1396" s="16">
        <v>2018</v>
      </c>
      <c r="E1396" s="13">
        <v>8477</v>
      </c>
      <c r="F1396" s="8">
        <v>4.116319407351007</v>
      </c>
    </row>
    <row r="1397" spans="1:6" x14ac:dyDescent="0.25">
      <c r="A1397" s="4" t="s">
        <v>127</v>
      </c>
      <c r="B1397" s="4" t="str">
        <f>VLOOKUP(A1397,Codes!$G$2:$H$217,2,0)</f>
        <v>PRI</v>
      </c>
      <c r="C1397" s="11">
        <v>2045310</v>
      </c>
      <c r="D1397" s="16">
        <v>2019</v>
      </c>
      <c r="E1397" s="13">
        <v>10352</v>
      </c>
      <c r="F1397" s="8">
        <v>5.0613354454825918</v>
      </c>
    </row>
    <row r="1398" spans="1:6" x14ac:dyDescent="0.25">
      <c r="A1398" s="4" t="s">
        <v>127</v>
      </c>
      <c r="B1398" s="4" t="str">
        <f>VLOOKUP(A1398,Codes!$G$2:$H$217,2,0)</f>
        <v>PRI</v>
      </c>
      <c r="C1398" s="11">
        <v>2025668</v>
      </c>
      <c r="D1398" s="16">
        <v>2020</v>
      </c>
      <c r="E1398" s="13">
        <v>11218</v>
      </c>
      <c r="F1398" s="8">
        <v>5.537926254450384</v>
      </c>
    </row>
    <row r="1399" spans="1:6" x14ac:dyDescent="0.25">
      <c r="A1399" s="3" t="s">
        <v>128</v>
      </c>
      <c r="B1399" s="4" t="str">
        <f>VLOOKUP(A1399,Codes!$G$2:$H$217,2,0)</f>
        <v>QAT</v>
      </c>
      <c r="C1399" s="11">
        <v>823630</v>
      </c>
      <c r="D1399" s="12">
        <v>2006</v>
      </c>
      <c r="E1399" s="13">
        <v>3697</v>
      </c>
      <c r="F1399" s="8">
        <v>4.4886660272209609</v>
      </c>
    </row>
    <row r="1400" spans="1:6" x14ac:dyDescent="0.25">
      <c r="A1400" s="4" t="s">
        <v>128</v>
      </c>
      <c r="B1400" s="4" t="str">
        <f>VLOOKUP(A1400,Codes!$G$2:$H$217,2,0)</f>
        <v>QAT</v>
      </c>
      <c r="C1400" s="11">
        <v>1011777</v>
      </c>
      <c r="D1400" s="12">
        <v>2007</v>
      </c>
      <c r="E1400" s="13">
        <v>4190</v>
      </c>
      <c r="F1400" s="8">
        <v>4.1412287490227593</v>
      </c>
    </row>
    <row r="1401" spans="1:6" x14ac:dyDescent="0.25">
      <c r="A1401" s="4" t="s">
        <v>128</v>
      </c>
      <c r="B1401" s="4" t="str">
        <f>VLOOKUP(A1401,Codes!$G$2:$H$217,2,0)</f>
        <v>QAT</v>
      </c>
      <c r="C1401" s="11">
        <v>1216542</v>
      </c>
      <c r="D1401" s="12">
        <v>2008</v>
      </c>
      <c r="E1401" s="13">
        <v>4365</v>
      </c>
      <c r="F1401" s="8">
        <v>3.5880388839842769</v>
      </c>
    </row>
    <row r="1402" spans="1:6" x14ac:dyDescent="0.25">
      <c r="A1402" s="4" t="s">
        <v>128</v>
      </c>
      <c r="B1402" s="4" t="str">
        <f>VLOOKUP(A1402,Codes!$G$2:$H$217,2,0)</f>
        <v>QAT</v>
      </c>
      <c r="C1402" s="11">
        <v>1418503</v>
      </c>
      <c r="D1402" s="12">
        <v>2009</v>
      </c>
      <c r="E1402" s="13">
        <v>4033</v>
      </c>
      <c r="F1402" s="8">
        <v>2.8431381533912865</v>
      </c>
    </row>
    <row r="1403" spans="1:6" x14ac:dyDescent="0.25">
      <c r="A1403" s="4" t="s">
        <v>128</v>
      </c>
      <c r="B1403" s="4" t="str">
        <f>VLOOKUP(A1403,Codes!$G$2:$H$217,2,0)</f>
        <v>QAT</v>
      </c>
      <c r="C1403" s="11">
        <v>1603836</v>
      </c>
      <c r="D1403" s="12">
        <v>2010</v>
      </c>
      <c r="E1403" s="13">
        <v>5068</v>
      </c>
      <c r="F1403" s="8">
        <v>3.1599240820133727</v>
      </c>
    </row>
    <row r="1404" spans="1:6" x14ac:dyDescent="0.25">
      <c r="A1404" s="4" t="s">
        <v>128</v>
      </c>
      <c r="B1404" s="4" t="str">
        <f>VLOOKUP(A1404,Codes!$G$2:$H$217,2,0)</f>
        <v>QAT</v>
      </c>
      <c r="C1404" s="11">
        <v>1754244</v>
      </c>
      <c r="D1404" s="12">
        <v>2011</v>
      </c>
      <c r="E1404" s="13">
        <v>6067</v>
      </c>
      <c r="F1404" s="8">
        <v>3.458469859381021</v>
      </c>
    </row>
    <row r="1405" spans="1:6" x14ac:dyDescent="0.25">
      <c r="A1405" s="4" t="s">
        <v>128</v>
      </c>
      <c r="B1405" s="4" t="str">
        <f>VLOOKUP(A1405,Codes!$G$2:$H$217,2,0)</f>
        <v>QAT</v>
      </c>
      <c r="C1405" s="11">
        <v>1890851</v>
      </c>
      <c r="D1405" s="12">
        <v>2012</v>
      </c>
      <c r="E1405" s="13">
        <v>5784</v>
      </c>
      <c r="F1405" s="8">
        <v>3.0589401280164328</v>
      </c>
    </row>
    <row r="1406" spans="1:6" x14ac:dyDescent="0.25">
      <c r="A1406" s="4" t="s">
        <v>128</v>
      </c>
      <c r="B1406" s="4" t="str">
        <f>VLOOKUP(A1406,Codes!$G$2:$H$217,2,0)</f>
        <v>QAT</v>
      </c>
      <c r="C1406" s="11">
        <v>2008883</v>
      </c>
      <c r="D1406" s="12">
        <v>2013</v>
      </c>
      <c r="E1406" s="13">
        <v>5986</v>
      </c>
      <c r="F1406" s="8">
        <v>2.9797653720998185</v>
      </c>
    </row>
    <row r="1407" spans="1:6" x14ac:dyDescent="0.25">
      <c r="A1407" s="4" t="s">
        <v>128</v>
      </c>
      <c r="B1407" s="4" t="str">
        <f>VLOOKUP(A1407,Codes!$G$2:$H$217,2,0)</f>
        <v>QAT</v>
      </c>
      <c r="C1407" s="11">
        <v>2109136</v>
      </c>
      <c r="D1407" s="16">
        <v>2014</v>
      </c>
      <c r="E1407" s="13">
        <v>7196</v>
      </c>
      <c r="F1407" s="8">
        <v>3.4118236092883532</v>
      </c>
    </row>
    <row r="1408" spans="1:6" x14ac:dyDescent="0.25">
      <c r="A1408" s="4" t="s">
        <v>128</v>
      </c>
      <c r="B1408" s="4" t="str">
        <f>VLOOKUP(A1408,Codes!$G$2:$H$217,2,0)</f>
        <v>QAT</v>
      </c>
      <c r="C1408" s="11">
        <v>2195415</v>
      </c>
      <c r="D1408" s="16">
        <v>2015</v>
      </c>
      <c r="E1408" s="13">
        <v>5619</v>
      </c>
      <c r="F1408" s="8">
        <v>2.5594249834313785</v>
      </c>
    </row>
    <row r="1409" spans="1:6" x14ac:dyDescent="0.25">
      <c r="A1409" s="4" t="s">
        <v>128</v>
      </c>
      <c r="B1409" s="4" t="str">
        <f>VLOOKUP(A1409,Codes!$G$2:$H$217,2,0)</f>
        <v>QAT</v>
      </c>
      <c r="C1409" s="11">
        <v>2266634</v>
      </c>
      <c r="D1409" s="16">
        <v>2016</v>
      </c>
      <c r="E1409" s="13">
        <v>11535</v>
      </c>
      <c r="F1409" s="8">
        <v>5.0890439303389954</v>
      </c>
    </row>
    <row r="1410" spans="1:6" x14ac:dyDescent="0.25">
      <c r="A1410" s="4" t="s">
        <v>128</v>
      </c>
      <c r="B1410" s="4" t="str">
        <f>VLOOKUP(A1410,Codes!$G$2:$H$217,2,0)</f>
        <v>QAT</v>
      </c>
      <c r="C1410" s="11">
        <v>2323024</v>
      </c>
      <c r="D1410" s="16">
        <v>2017</v>
      </c>
      <c r="E1410" s="13">
        <v>14082</v>
      </c>
      <c r="F1410" s="8">
        <v>6.0619261789805012</v>
      </c>
    </row>
    <row r="1411" spans="1:6" x14ac:dyDescent="0.25">
      <c r="A1411" s="4" t="s">
        <v>128</v>
      </c>
      <c r="B1411" s="4" t="str">
        <f>VLOOKUP(A1411,Codes!$G$2:$H$217,2,0)</f>
        <v>QAT</v>
      </c>
      <c r="C1411" s="11">
        <v>2366910</v>
      </c>
      <c r="D1411" s="16">
        <v>2018</v>
      </c>
      <c r="E1411" s="13">
        <v>14824</v>
      </c>
      <c r="F1411" s="8">
        <v>6.26301802772391</v>
      </c>
    </row>
    <row r="1412" spans="1:6" x14ac:dyDescent="0.25">
      <c r="A1412" s="3" t="s">
        <v>129</v>
      </c>
      <c r="B1412" s="4" t="str">
        <f>VLOOKUP(A1412,Codes!$G$2:$H$217,2,0)</f>
        <v>ROU</v>
      </c>
      <c r="C1412" s="11">
        <v>14647869</v>
      </c>
      <c r="D1412" s="12">
        <v>2006</v>
      </c>
      <c r="E1412" s="13">
        <v>92979</v>
      </c>
      <c r="F1412" s="8">
        <v>6.3476127483117173</v>
      </c>
    </row>
    <row r="1413" spans="1:6" x14ac:dyDescent="0.25">
      <c r="A1413" s="4" t="s">
        <v>129</v>
      </c>
      <c r="B1413" s="4" t="str">
        <f>VLOOKUP(A1413,Codes!$G$2:$H$217,2,0)</f>
        <v>ROU</v>
      </c>
      <c r="C1413" s="11">
        <v>14422200</v>
      </c>
      <c r="D1413" s="12">
        <v>2007</v>
      </c>
      <c r="E1413" s="13">
        <v>102745</v>
      </c>
      <c r="F1413" s="8">
        <v>7.1240864777911836</v>
      </c>
    </row>
    <row r="1414" spans="1:6" x14ac:dyDescent="0.25">
      <c r="A1414" s="4" t="s">
        <v>129</v>
      </c>
      <c r="B1414" s="4" t="str">
        <f>VLOOKUP(A1414,Codes!$G$2:$H$217,2,0)</f>
        <v>ROU</v>
      </c>
      <c r="C1414" s="11">
        <v>14152524</v>
      </c>
      <c r="D1414" s="12">
        <v>2008</v>
      </c>
      <c r="E1414" s="13">
        <v>100646</v>
      </c>
      <c r="F1414" s="8">
        <v>7.1115230046598041</v>
      </c>
    </row>
    <row r="1415" spans="1:6" x14ac:dyDescent="0.25">
      <c r="A1415" s="4" t="s">
        <v>129</v>
      </c>
      <c r="B1415" s="4" t="str">
        <f>VLOOKUP(A1415,Codes!$G$2:$H$217,2,0)</f>
        <v>ROU</v>
      </c>
      <c r="C1415" s="11">
        <v>13998668</v>
      </c>
      <c r="D1415" s="12">
        <v>2009</v>
      </c>
      <c r="E1415" s="13">
        <v>56690</v>
      </c>
      <c r="F1415" s="8">
        <v>4.0496710115562422</v>
      </c>
    </row>
    <row r="1416" spans="1:6" x14ac:dyDescent="0.25">
      <c r="A1416" s="4" t="s">
        <v>129</v>
      </c>
      <c r="B1416" s="4" t="str">
        <f>VLOOKUP(A1416,Codes!$G$2:$H$217,2,0)</f>
        <v>ROU</v>
      </c>
      <c r="C1416" s="11">
        <v>13880704</v>
      </c>
      <c r="D1416" s="12">
        <v>2010</v>
      </c>
      <c r="E1416" s="13">
        <v>51859</v>
      </c>
      <c r="F1416" s="8">
        <v>3.7360496989201701</v>
      </c>
    </row>
    <row r="1417" spans="1:6" x14ac:dyDescent="0.25">
      <c r="A1417" s="4" t="s">
        <v>129</v>
      </c>
      <c r="B1417" s="4" t="str">
        <f>VLOOKUP(A1417,Codes!$G$2:$H$217,2,0)</f>
        <v>ROU</v>
      </c>
      <c r="C1417" s="11">
        <v>13770831</v>
      </c>
      <c r="D1417" s="12">
        <v>2011</v>
      </c>
      <c r="E1417" s="13">
        <v>65842</v>
      </c>
      <c r="F1417" s="8">
        <v>4.7812655605170082</v>
      </c>
    </row>
    <row r="1418" spans="1:6" x14ac:dyDescent="0.25">
      <c r="A1418" s="4" t="s">
        <v>129</v>
      </c>
      <c r="B1418" s="4" t="str">
        <f>VLOOKUP(A1418,Codes!$G$2:$H$217,2,0)</f>
        <v>ROU</v>
      </c>
      <c r="C1418" s="11">
        <v>13677968</v>
      </c>
      <c r="D1418" s="12">
        <v>2012</v>
      </c>
      <c r="E1418" s="13">
        <v>61542</v>
      </c>
      <c r="F1418" s="8">
        <v>4.4993525354058432</v>
      </c>
    </row>
    <row r="1419" spans="1:6" x14ac:dyDescent="0.25">
      <c r="A1419" s="4" t="s">
        <v>129</v>
      </c>
      <c r="B1419" s="4" t="str">
        <f>VLOOKUP(A1419,Codes!$G$2:$H$217,2,0)</f>
        <v>ROU</v>
      </c>
      <c r="C1419" s="11">
        <v>13597261</v>
      </c>
      <c r="D1419" s="12">
        <v>2013</v>
      </c>
      <c r="E1419" s="13">
        <v>60292</v>
      </c>
      <c r="F1419" s="8">
        <v>4.4341283145186372</v>
      </c>
    </row>
    <row r="1420" spans="1:6" x14ac:dyDescent="0.25">
      <c r="A1420" s="4" t="s">
        <v>129</v>
      </c>
      <c r="B1420" s="4" t="str">
        <f>VLOOKUP(A1420,Codes!$G$2:$H$217,2,0)</f>
        <v>ROU</v>
      </c>
      <c r="C1420" s="11">
        <v>13503208</v>
      </c>
      <c r="D1420" s="16">
        <v>2014</v>
      </c>
      <c r="E1420" s="13">
        <v>56381</v>
      </c>
      <c r="F1420" s="8">
        <v>4.1753781768006535</v>
      </c>
    </row>
    <row r="1421" spans="1:6" x14ac:dyDescent="0.25">
      <c r="A1421" s="4" t="s">
        <v>129</v>
      </c>
      <c r="B1421" s="4" t="str">
        <f>VLOOKUP(A1421,Codes!$G$2:$H$217,2,0)</f>
        <v>ROU</v>
      </c>
      <c r="C1421" s="11">
        <v>13377211</v>
      </c>
      <c r="D1421" s="16">
        <v>2015</v>
      </c>
      <c r="E1421" s="13">
        <v>64417</v>
      </c>
      <c r="F1421" s="8">
        <v>4.8154282682690734</v>
      </c>
    </row>
    <row r="1422" spans="1:6" x14ac:dyDescent="0.25">
      <c r="A1422" s="4" t="s">
        <v>129</v>
      </c>
      <c r="B1422" s="4" t="str">
        <f>VLOOKUP(A1422,Codes!$G$2:$H$217,2,0)</f>
        <v>ROU</v>
      </c>
      <c r="C1422" s="11">
        <v>13230919</v>
      </c>
      <c r="D1422" s="16">
        <v>2016</v>
      </c>
      <c r="E1422" s="13">
        <v>73889</v>
      </c>
      <c r="F1422" s="8">
        <v>5.5845705048908547</v>
      </c>
    </row>
    <row r="1423" spans="1:6" x14ac:dyDescent="0.25">
      <c r="A1423" s="4" t="s">
        <v>129</v>
      </c>
      <c r="B1423" s="4" t="str">
        <f>VLOOKUP(A1423,Codes!$G$2:$H$217,2,0)</f>
        <v>ROU</v>
      </c>
      <c r="C1423" s="11">
        <v>13059559</v>
      </c>
      <c r="D1423" s="16">
        <v>2017</v>
      </c>
      <c r="E1423" s="13">
        <v>98405</v>
      </c>
      <c r="F1423" s="8">
        <v>7.5350936429017246</v>
      </c>
    </row>
    <row r="1424" spans="1:6" x14ac:dyDescent="0.25">
      <c r="A1424" s="4" t="s">
        <v>129</v>
      </c>
      <c r="B1424" s="4" t="str">
        <f>VLOOKUP(A1424,Codes!$G$2:$H$217,2,0)</f>
        <v>ROU</v>
      </c>
      <c r="C1424" s="11">
        <v>12877502</v>
      </c>
      <c r="D1424" s="16">
        <v>2018</v>
      </c>
      <c r="E1424" s="13">
        <v>94244</v>
      </c>
      <c r="F1424" s="8">
        <v>7.3185001252572119</v>
      </c>
    </row>
    <row r="1425" spans="1:6" x14ac:dyDescent="0.25">
      <c r="A1425" s="4" t="s">
        <v>129</v>
      </c>
      <c r="B1425" s="4" t="str">
        <f>VLOOKUP(A1425,Codes!$G$2:$H$217,2,0)</f>
        <v>ROU</v>
      </c>
      <c r="C1425" s="11">
        <v>12714770</v>
      </c>
      <c r="D1425" s="16">
        <v>2019</v>
      </c>
      <c r="E1425" s="13">
        <v>94869</v>
      </c>
      <c r="F1425" s="8">
        <v>7.4613225406358117</v>
      </c>
    </row>
    <row r="1426" spans="1:6" x14ac:dyDescent="0.25">
      <c r="A1426" s="4" t="s">
        <v>129</v>
      </c>
      <c r="B1426" s="4" t="str">
        <f>VLOOKUP(A1426,Codes!$G$2:$H$217,2,0)</f>
        <v>ROU</v>
      </c>
      <c r="C1426" s="11">
        <v>12583904</v>
      </c>
      <c r="D1426" s="16">
        <v>2020</v>
      </c>
      <c r="E1426" s="13">
        <v>78419</v>
      </c>
      <c r="F1426" s="8">
        <v>6.2316908965611937</v>
      </c>
    </row>
    <row r="1427" spans="1:6" x14ac:dyDescent="0.25">
      <c r="A1427" s="3" t="s">
        <v>130</v>
      </c>
      <c r="B1427" s="4" t="str">
        <f>VLOOKUP(A1427,Codes!$G$2:$H$217,2,0)</f>
        <v>RUS</v>
      </c>
      <c r="C1427" s="11">
        <v>101933930</v>
      </c>
      <c r="D1427" s="12">
        <v>2006</v>
      </c>
      <c r="E1427" s="13">
        <v>419318</v>
      </c>
      <c r="F1427" s="8">
        <v>4.1136253649790602</v>
      </c>
    </row>
    <row r="1428" spans="1:6" x14ac:dyDescent="0.25">
      <c r="A1428" s="4" t="s">
        <v>130</v>
      </c>
      <c r="B1428" s="4" t="str">
        <f>VLOOKUP(A1428,Codes!$G$2:$H$217,2,0)</f>
        <v>RUS</v>
      </c>
      <c r="C1428" s="11">
        <v>102218499</v>
      </c>
      <c r="D1428" s="12">
        <v>2007</v>
      </c>
      <c r="E1428" s="13">
        <v>403914</v>
      </c>
      <c r="F1428" s="8">
        <v>3.9514765326381869</v>
      </c>
    </row>
    <row r="1429" spans="1:6" x14ac:dyDescent="0.25">
      <c r="A1429" s="4" t="s">
        <v>130</v>
      </c>
      <c r="B1429" s="4" t="str">
        <f>VLOOKUP(A1429,Codes!$G$2:$H$217,2,0)</f>
        <v>RUS</v>
      </c>
      <c r="C1429" s="11">
        <v>102575819</v>
      </c>
      <c r="D1429" s="12">
        <v>2008</v>
      </c>
      <c r="E1429" s="13">
        <v>415693</v>
      </c>
      <c r="F1429" s="8">
        <v>4.0525438066451125</v>
      </c>
    </row>
    <row r="1430" spans="1:6" x14ac:dyDescent="0.25">
      <c r="A1430" s="4" t="s">
        <v>130</v>
      </c>
      <c r="B1430" s="4" t="str">
        <f>VLOOKUP(A1430,Codes!$G$2:$H$217,2,0)</f>
        <v>RUS</v>
      </c>
      <c r="C1430" s="11">
        <v>102808860</v>
      </c>
      <c r="D1430" s="12">
        <v>2009</v>
      </c>
      <c r="E1430" s="13">
        <v>257170</v>
      </c>
      <c r="F1430" s="8">
        <v>2.5014381056263049</v>
      </c>
    </row>
    <row r="1431" spans="1:6" x14ac:dyDescent="0.25">
      <c r="A1431" s="4" t="s">
        <v>130</v>
      </c>
      <c r="B1431" s="4" t="str">
        <f>VLOOKUP(A1431,Codes!$G$2:$H$217,2,0)</f>
        <v>RUS</v>
      </c>
      <c r="C1431" s="11">
        <v>102803549</v>
      </c>
      <c r="D1431" s="12">
        <v>2010</v>
      </c>
      <c r="E1431" s="13">
        <v>258327</v>
      </c>
      <c r="F1431" s="8">
        <v>2.5128218092937629</v>
      </c>
    </row>
    <row r="1432" spans="1:6" x14ac:dyDescent="0.25">
      <c r="A1432" s="4" t="s">
        <v>130</v>
      </c>
      <c r="B1432" s="4" t="str">
        <f>VLOOKUP(A1432,Codes!$G$2:$H$217,2,0)</f>
        <v>RUS</v>
      </c>
      <c r="C1432" s="11">
        <v>102546469</v>
      </c>
      <c r="D1432" s="12">
        <v>2011</v>
      </c>
      <c r="E1432" s="13">
        <v>157281</v>
      </c>
      <c r="F1432" s="8">
        <v>1.533753444011807</v>
      </c>
    </row>
    <row r="1433" spans="1:6" x14ac:dyDescent="0.25">
      <c r="A1433" s="4" t="s">
        <v>130</v>
      </c>
      <c r="B1433" s="4" t="str">
        <f>VLOOKUP(A1433,Codes!$G$2:$H$217,2,0)</f>
        <v>RUS</v>
      </c>
      <c r="C1433" s="11">
        <v>102128015</v>
      </c>
      <c r="D1433" s="12">
        <v>2012</v>
      </c>
      <c r="E1433" s="13">
        <v>397952</v>
      </c>
      <c r="F1433" s="8">
        <v>3.896599772354334</v>
      </c>
    </row>
    <row r="1434" spans="1:6" x14ac:dyDescent="0.25">
      <c r="A1434" s="4" t="s">
        <v>130</v>
      </c>
      <c r="B1434" s="4" t="str">
        <f>VLOOKUP(A1434,Codes!$G$2:$H$217,2,0)</f>
        <v>RUS</v>
      </c>
      <c r="C1434" s="11">
        <v>101568410</v>
      </c>
      <c r="D1434" s="12">
        <v>2013</v>
      </c>
      <c r="E1434" s="13">
        <v>398782</v>
      </c>
      <c r="F1434" s="8">
        <v>3.9262404521248291</v>
      </c>
    </row>
    <row r="1435" spans="1:6" x14ac:dyDescent="0.25">
      <c r="A1435" s="4" t="s">
        <v>130</v>
      </c>
      <c r="B1435" s="4" t="str">
        <f>VLOOKUP(A1435,Codes!$G$2:$H$217,2,0)</f>
        <v>RUS</v>
      </c>
      <c r="C1435" s="11">
        <v>100929443</v>
      </c>
      <c r="D1435" s="16">
        <v>2014</v>
      </c>
      <c r="E1435" s="13">
        <v>427388</v>
      </c>
      <c r="F1435" s="8">
        <v>4.2345225267913147</v>
      </c>
    </row>
    <row r="1436" spans="1:6" x14ac:dyDescent="0.25">
      <c r="A1436" s="4" t="s">
        <v>130</v>
      </c>
      <c r="B1436" s="4" t="str">
        <f>VLOOKUP(A1436,Codes!$G$2:$H$217,2,0)</f>
        <v>RUS</v>
      </c>
      <c r="C1436" s="11">
        <v>100247192</v>
      </c>
      <c r="D1436" s="16">
        <v>2015</v>
      </c>
      <c r="E1436" s="13">
        <v>456046</v>
      </c>
      <c r="F1436" s="8">
        <v>4.5492147051859568</v>
      </c>
    </row>
    <row r="1437" spans="1:6" x14ac:dyDescent="0.25">
      <c r="A1437" s="4" t="s">
        <v>130</v>
      </c>
      <c r="B1437" s="4" t="str">
        <f>VLOOKUP(A1437,Codes!$G$2:$H$217,2,0)</f>
        <v>RUS</v>
      </c>
      <c r="C1437" s="11">
        <v>99343827</v>
      </c>
      <c r="D1437" s="16">
        <v>2016</v>
      </c>
      <c r="E1437" s="13">
        <v>433464</v>
      </c>
      <c r="F1437" s="8">
        <v>4.3632706036178774</v>
      </c>
    </row>
    <row r="1438" spans="1:6" x14ac:dyDescent="0.25">
      <c r="A1438" s="4" t="s">
        <v>130</v>
      </c>
      <c r="B1438" s="4" t="str">
        <f>VLOOKUP(A1438,Codes!$G$2:$H$217,2,0)</f>
        <v>RUS</v>
      </c>
      <c r="C1438" s="11">
        <v>98406200</v>
      </c>
      <c r="D1438" s="16">
        <v>2017</v>
      </c>
      <c r="E1438" s="13">
        <v>390299</v>
      </c>
      <c r="F1438" s="8">
        <v>3.9662033489759789</v>
      </c>
    </row>
    <row r="1439" spans="1:6" x14ac:dyDescent="0.25">
      <c r="A1439" s="4" t="s">
        <v>130</v>
      </c>
      <c r="B1439" s="4" t="str">
        <f>VLOOKUP(A1439,Codes!$G$2:$H$217,2,0)</f>
        <v>RUS</v>
      </c>
      <c r="C1439" s="11">
        <v>97394275</v>
      </c>
      <c r="D1439" s="16">
        <v>2018</v>
      </c>
      <c r="E1439" s="13">
        <v>317475</v>
      </c>
      <c r="F1439" s="8">
        <v>3.2596885186526623</v>
      </c>
    </row>
    <row r="1440" spans="1:6" x14ac:dyDescent="0.25">
      <c r="A1440" s="4" t="s">
        <v>130</v>
      </c>
      <c r="B1440" s="4" t="str">
        <f>VLOOKUP(A1440,Codes!$G$2:$H$217,2,0)</f>
        <v>RUS</v>
      </c>
      <c r="C1440" s="11">
        <v>96392551</v>
      </c>
      <c r="D1440" s="16">
        <v>2019</v>
      </c>
      <c r="E1440" s="13">
        <v>281834</v>
      </c>
      <c r="F1440" s="8">
        <v>2.9238151400308929</v>
      </c>
    </row>
    <row r="1441" spans="1:6" x14ac:dyDescent="0.25">
      <c r="A1441" s="4" t="s">
        <v>130</v>
      </c>
      <c r="B1441" s="4" t="str">
        <f>VLOOKUP(A1441,Codes!$G$2:$H$217,2,0)</f>
        <v>RUS</v>
      </c>
      <c r="C1441" s="11">
        <v>95294313</v>
      </c>
      <c r="D1441" s="16">
        <v>2020</v>
      </c>
      <c r="E1441" s="13">
        <v>214895</v>
      </c>
      <c r="F1441" s="8">
        <v>2.2550663647682732</v>
      </c>
    </row>
    <row r="1442" spans="1:6" x14ac:dyDescent="0.25">
      <c r="A1442" s="3" t="s">
        <v>131</v>
      </c>
      <c r="B1442" s="4" t="str">
        <f>VLOOKUP(A1442,Codes!$G$2:$H$217,2,0)</f>
        <v>RWA</v>
      </c>
      <c r="C1442" s="11">
        <v>4991311</v>
      </c>
      <c r="D1442" s="12">
        <v>2006</v>
      </c>
      <c r="E1442" s="13">
        <v>247</v>
      </c>
      <c r="F1442" s="8">
        <v>4.9485996765178522E-2</v>
      </c>
    </row>
    <row r="1443" spans="1:6" x14ac:dyDescent="0.25">
      <c r="A1443" s="4" t="s">
        <v>131</v>
      </c>
      <c r="B1443" s="4" t="str">
        <f>VLOOKUP(A1443,Codes!$G$2:$H$217,2,0)</f>
        <v>RWA</v>
      </c>
      <c r="C1443" s="11">
        <v>5138938</v>
      </c>
      <c r="D1443" s="12">
        <v>2007</v>
      </c>
      <c r="E1443" s="13">
        <v>314</v>
      </c>
      <c r="F1443" s="8">
        <v>6.1102118764616346E-2</v>
      </c>
    </row>
    <row r="1444" spans="1:6" x14ac:dyDescent="0.25">
      <c r="A1444" s="4" t="s">
        <v>131</v>
      </c>
      <c r="B1444" s="4" t="str">
        <f>VLOOKUP(A1444,Codes!$G$2:$H$217,2,0)</f>
        <v>RWA</v>
      </c>
      <c r="C1444" s="11">
        <v>5291410</v>
      </c>
      <c r="D1444" s="12">
        <v>2008</v>
      </c>
      <c r="E1444" s="13">
        <v>430</v>
      </c>
      <c r="F1444" s="8">
        <v>8.1263784133151648E-2</v>
      </c>
    </row>
    <row r="1445" spans="1:6" x14ac:dyDescent="0.25">
      <c r="A1445" s="4" t="s">
        <v>131</v>
      </c>
      <c r="B1445" s="4" t="str">
        <f>VLOOKUP(A1445,Codes!$G$2:$H$217,2,0)</f>
        <v>RWA</v>
      </c>
      <c r="C1445" s="11">
        <v>5448744</v>
      </c>
      <c r="D1445" s="12">
        <v>2009</v>
      </c>
      <c r="E1445" s="13">
        <v>1310</v>
      </c>
      <c r="F1445" s="8">
        <v>0.24042237990993889</v>
      </c>
    </row>
    <row r="1446" spans="1:6" x14ac:dyDescent="0.25">
      <c r="A1446" s="4" t="s">
        <v>131</v>
      </c>
      <c r="B1446" s="4" t="str">
        <f>VLOOKUP(A1446,Codes!$G$2:$H$217,2,0)</f>
        <v>RWA</v>
      </c>
      <c r="C1446" s="11">
        <v>5610944</v>
      </c>
      <c r="D1446" s="12">
        <v>2010</v>
      </c>
      <c r="E1446" s="13">
        <v>3641</v>
      </c>
      <c r="F1446" s="8">
        <v>0.64891041507453995</v>
      </c>
    </row>
    <row r="1447" spans="1:6" x14ac:dyDescent="0.25">
      <c r="A1447" s="4" t="s">
        <v>131</v>
      </c>
      <c r="B1447" s="4" t="str">
        <f>VLOOKUP(A1447,Codes!$G$2:$H$217,2,0)</f>
        <v>RWA</v>
      </c>
      <c r="C1447" s="11">
        <v>5763753</v>
      </c>
      <c r="D1447" s="12">
        <v>2011</v>
      </c>
      <c r="E1447" s="13">
        <v>6039</v>
      </c>
      <c r="F1447" s="8">
        <v>1.0477548222486286</v>
      </c>
    </row>
    <row r="1448" spans="1:6" x14ac:dyDescent="0.25">
      <c r="A1448" s="4" t="s">
        <v>131</v>
      </c>
      <c r="B1448" s="4" t="str">
        <f>VLOOKUP(A1448,Codes!$G$2:$H$217,2,0)</f>
        <v>RWA</v>
      </c>
      <c r="C1448" s="11">
        <v>5926085</v>
      </c>
      <c r="D1448" s="12">
        <v>2012</v>
      </c>
      <c r="E1448" s="13">
        <v>8511</v>
      </c>
      <c r="F1448" s="8">
        <v>1.4361926972022845</v>
      </c>
    </row>
    <row r="1449" spans="1:6" x14ac:dyDescent="0.25">
      <c r="A1449" s="4" t="s">
        <v>131</v>
      </c>
      <c r="B1449" s="4" t="str">
        <f>VLOOKUP(A1449,Codes!$G$2:$H$217,2,0)</f>
        <v>RWA</v>
      </c>
      <c r="C1449" s="11">
        <v>6096535</v>
      </c>
      <c r="D1449" s="12">
        <v>2013</v>
      </c>
      <c r="E1449" s="13">
        <v>9291</v>
      </c>
      <c r="F1449" s="8">
        <v>1.5239804249463016</v>
      </c>
    </row>
    <row r="1450" spans="1:6" x14ac:dyDescent="0.25">
      <c r="A1450" s="4" t="s">
        <v>131</v>
      </c>
      <c r="B1450" s="4" t="str">
        <f>VLOOKUP(A1450,Codes!$G$2:$H$217,2,0)</f>
        <v>RWA</v>
      </c>
      <c r="C1450" s="11">
        <v>6271286</v>
      </c>
      <c r="D1450" s="16">
        <v>2014</v>
      </c>
      <c r="E1450" s="13">
        <v>9998</v>
      </c>
      <c r="F1450" s="8">
        <v>1.5942503658739211</v>
      </c>
    </row>
    <row r="1451" spans="1:6" x14ac:dyDescent="0.25">
      <c r="A1451" s="4" t="s">
        <v>131</v>
      </c>
      <c r="B1451" s="4" t="str">
        <f>VLOOKUP(A1451,Codes!$G$2:$H$217,2,0)</f>
        <v>RWA</v>
      </c>
      <c r="C1451" s="11">
        <v>6448492</v>
      </c>
      <c r="D1451" s="16">
        <v>2015</v>
      </c>
      <c r="E1451" s="13">
        <v>9887</v>
      </c>
      <c r="F1451" s="8">
        <v>1.5332266830756711</v>
      </c>
    </row>
    <row r="1452" spans="1:6" x14ac:dyDescent="0.25">
      <c r="A1452" s="4" t="s">
        <v>131</v>
      </c>
      <c r="B1452" s="4" t="str">
        <f>VLOOKUP(A1452,Codes!$G$2:$H$217,2,0)</f>
        <v>RWA</v>
      </c>
      <c r="C1452" s="11">
        <v>6640772</v>
      </c>
      <c r="D1452" s="16">
        <v>2016</v>
      </c>
      <c r="E1452" s="13">
        <v>10099</v>
      </c>
      <c r="F1452" s="8">
        <v>1.5207569240443732</v>
      </c>
    </row>
    <row r="1453" spans="1:6" x14ac:dyDescent="0.25">
      <c r="A1453" s="4" t="s">
        <v>131</v>
      </c>
      <c r="B1453" s="4" t="str">
        <f>VLOOKUP(A1453,Codes!$G$2:$H$217,2,0)</f>
        <v>RWA</v>
      </c>
      <c r="C1453" s="11">
        <v>6830837</v>
      </c>
      <c r="D1453" s="16">
        <v>2017</v>
      </c>
      <c r="E1453" s="13">
        <v>10005</v>
      </c>
      <c r="F1453" s="8">
        <v>1.4646814145909206</v>
      </c>
    </row>
    <row r="1454" spans="1:6" x14ac:dyDescent="0.25">
      <c r="A1454" s="4" t="s">
        <v>131</v>
      </c>
      <c r="B1454" s="4" t="str">
        <f>VLOOKUP(A1454,Codes!$G$2:$H$217,2,0)</f>
        <v>RWA</v>
      </c>
      <c r="C1454" s="11">
        <v>7022730</v>
      </c>
      <c r="D1454" s="16">
        <v>2018</v>
      </c>
      <c r="E1454" s="13">
        <v>10547</v>
      </c>
      <c r="F1454" s="8">
        <v>1.5018376044643607</v>
      </c>
    </row>
    <row r="1455" spans="1:6" x14ac:dyDescent="0.25">
      <c r="A1455" s="4" t="s">
        <v>131</v>
      </c>
      <c r="B1455" s="4" t="str">
        <f>VLOOKUP(A1455,Codes!$G$2:$H$217,2,0)</f>
        <v>RWA</v>
      </c>
      <c r="C1455" s="11">
        <v>7223330</v>
      </c>
      <c r="D1455" s="16">
        <v>2019</v>
      </c>
      <c r="E1455" s="13">
        <v>12552</v>
      </c>
      <c r="F1455" s="8">
        <v>1.7377026939098725</v>
      </c>
    </row>
    <row r="1456" spans="1:6" x14ac:dyDescent="0.25">
      <c r="A1456" s="4" t="s">
        <v>131</v>
      </c>
      <c r="B1456" s="4" t="str">
        <f>VLOOKUP(A1456,Codes!$G$2:$H$217,2,0)</f>
        <v>RWA</v>
      </c>
      <c r="C1456" s="11">
        <v>7435405</v>
      </c>
      <c r="D1456" s="16">
        <v>2020</v>
      </c>
      <c r="E1456" s="13">
        <v>16105</v>
      </c>
      <c r="F1456" s="8">
        <v>2.1659882682920433</v>
      </c>
    </row>
    <row r="1457" spans="1:6" x14ac:dyDescent="0.25">
      <c r="A1457" s="3" t="s">
        <v>132</v>
      </c>
      <c r="B1457" s="4" t="str">
        <f>VLOOKUP(A1457,Codes!$G$2:$H$217,2,0)</f>
        <v>WSM</v>
      </c>
      <c r="C1457" s="11">
        <v>101089</v>
      </c>
      <c r="D1457" s="12">
        <v>2006</v>
      </c>
      <c r="E1457" s="13">
        <v>44</v>
      </c>
      <c r="F1457" s="8">
        <v>0.43526001839962802</v>
      </c>
    </row>
    <row r="1458" spans="1:6" x14ac:dyDescent="0.25">
      <c r="A1458" s="4" t="s">
        <v>132</v>
      </c>
      <c r="B1458" s="4" t="str">
        <f>VLOOKUP(A1458,Codes!$G$2:$H$217,2,0)</f>
        <v>WSM</v>
      </c>
      <c r="C1458" s="11">
        <v>102225</v>
      </c>
      <c r="D1458" s="12">
        <v>2007</v>
      </c>
      <c r="E1458" s="13">
        <v>37</v>
      </c>
      <c r="F1458" s="8">
        <v>0.36194668623135245</v>
      </c>
    </row>
    <row r="1459" spans="1:6" x14ac:dyDescent="0.25">
      <c r="A1459" s="4" t="s">
        <v>132</v>
      </c>
      <c r="B1459" s="4" t="str">
        <f>VLOOKUP(A1459,Codes!$G$2:$H$217,2,0)</f>
        <v>WSM</v>
      </c>
      <c r="C1459" s="11">
        <v>103399</v>
      </c>
      <c r="D1459" s="12">
        <v>2008</v>
      </c>
      <c r="E1459" s="13">
        <v>56</v>
      </c>
      <c r="F1459" s="8">
        <v>0.54159131132796257</v>
      </c>
    </row>
    <row r="1460" spans="1:6" x14ac:dyDescent="0.25">
      <c r="A1460" s="4" t="s">
        <v>132</v>
      </c>
      <c r="B1460" s="4" t="str">
        <f>VLOOKUP(A1460,Codes!$G$2:$H$217,2,0)</f>
        <v>WSM</v>
      </c>
      <c r="C1460" s="11">
        <v>104501</v>
      </c>
      <c r="D1460" s="12">
        <v>2009</v>
      </c>
      <c r="E1460" s="13">
        <v>81</v>
      </c>
      <c r="F1460" s="8">
        <v>0.77511219988325475</v>
      </c>
    </row>
    <row r="1461" spans="1:6" x14ac:dyDescent="0.25">
      <c r="A1461" s="4" t="s">
        <v>132</v>
      </c>
      <c r="B1461" s="4" t="str">
        <f>VLOOKUP(A1461,Codes!$G$2:$H$217,2,0)</f>
        <v>WSM</v>
      </c>
      <c r="C1461" s="11">
        <v>105478</v>
      </c>
      <c r="D1461" s="12">
        <v>2010</v>
      </c>
      <c r="E1461" s="13">
        <v>94</v>
      </c>
      <c r="F1461" s="8">
        <v>0.89118109937617318</v>
      </c>
    </row>
    <row r="1462" spans="1:6" x14ac:dyDescent="0.25">
      <c r="A1462" s="4" t="s">
        <v>132</v>
      </c>
      <c r="B1462" s="4" t="str">
        <f>VLOOKUP(A1462,Codes!$G$2:$H$217,2,0)</f>
        <v>WSM</v>
      </c>
      <c r="C1462" s="11">
        <v>106730</v>
      </c>
      <c r="D1462" s="12">
        <v>2011</v>
      </c>
      <c r="E1462" s="13">
        <v>100</v>
      </c>
      <c r="F1462" s="8">
        <v>0.93694368968425001</v>
      </c>
    </row>
    <row r="1463" spans="1:6" x14ac:dyDescent="0.25">
      <c r="A1463" s="4" t="s">
        <v>132</v>
      </c>
      <c r="B1463" s="4" t="str">
        <f>VLOOKUP(A1463,Codes!$G$2:$H$217,2,0)</f>
        <v>WSM</v>
      </c>
      <c r="C1463" s="11">
        <v>107901</v>
      </c>
      <c r="D1463" s="12">
        <v>2012</v>
      </c>
      <c r="E1463" s="13">
        <v>88</v>
      </c>
      <c r="F1463" s="8">
        <v>0.81556241369403437</v>
      </c>
    </row>
    <row r="1464" spans="1:6" x14ac:dyDescent="0.25">
      <c r="A1464" s="4" t="s">
        <v>132</v>
      </c>
      <c r="B1464" s="4" t="str">
        <f>VLOOKUP(A1464,Codes!$G$2:$H$217,2,0)</f>
        <v>WSM</v>
      </c>
      <c r="C1464" s="11">
        <v>108827</v>
      </c>
      <c r="D1464" s="12">
        <v>2013</v>
      </c>
      <c r="E1464" s="13">
        <v>95</v>
      </c>
      <c r="F1464" s="8">
        <v>0.87294513310116062</v>
      </c>
    </row>
    <row r="1465" spans="1:6" x14ac:dyDescent="0.25">
      <c r="A1465" s="4" t="s">
        <v>132</v>
      </c>
      <c r="B1465" s="4" t="str">
        <f>VLOOKUP(A1465,Codes!$G$2:$H$217,2,0)</f>
        <v>WSM</v>
      </c>
      <c r="C1465" s="11">
        <v>109397</v>
      </c>
      <c r="D1465" s="16">
        <v>2014</v>
      </c>
      <c r="E1465" s="13">
        <v>117</v>
      </c>
      <c r="F1465" s="8">
        <v>1.0694991635968081</v>
      </c>
    </row>
    <row r="1466" spans="1:6" x14ac:dyDescent="0.25">
      <c r="A1466" s="4" t="s">
        <v>132</v>
      </c>
      <c r="B1466" s="4" t="str">
        <f>VLOOKUP(A1466,Codes!$G$2:$H$217,2,0)</f>
        <v>WSM</v>
      </c>
      <c r="C1466" s="11">
        <v>109659</v>
      </c>
      <c r="D1466" s="16">
        <v>2015</v>
      </c>
      <c r="E1466" s="13">
        <v>129</v>
      </c>
      <c r="F1466" s="8">
        <v>1.176374032227177</v>
      </c>
    </row>
    <row r="1467" spans="1:6" x14ac:dyDescent="0.25">
      <c r="A1467" s="4" t="s">
        <v>132</v>
      </c>
      <c r="B1467" s="4" t="str">
        <f>VLOOKUP(A1467,Codes!$G$2:$H$217,2,0)</f>
        <v>WSM</v>
      </c>
      <c r="C1467" s="11">
        <v>110410</v>
      </c>
      <c r="D1467" s="16">
        <v>2016</v>
      </c>
      <c r="E1467" s="13">
        <v>110</v>
      </c>
      <c r="F1467" s="8">
        <v>0.99628656824562989</v>
      </c>
    </row>
    <row r="1468" spans="1:6" x14ac:dyDescent="0.25">
      <c r="A1468" s="4" t="s">
        <v>132</v>
      </c>
      <c r="B1468" s="4" t="str">
        <f>VLOOKUP(A1468,Codes!$G$2:$H$217,2,0)</f>
        <v>WSM</v>
      </c>
      <c r="C1468" s="11">
        <v>110905</v>
      </c>
      <c r="D1468" s="16">
        <v>2017</v>
      </c>
      <c r="E1468" s="13">
        <v>138</v>
      </c>
      <c r="F1468" s="8">
        <v>1.2443081916955954</v>
      </c>
    </row>
    <row r="1469" spans="1:6" x14ac:dyDescent="0.25">
      <c r="A1469" s="4" t="s">
        <v>132</v>
      </c>
      <c r="B1469" s="4" t="str">
        <f>VLOOKUP(A1469,Codes!$G$2:$H$217,2,0)</f>
        <v>WSM</v>
      </c>
      <c r="C1469" s="11">
        <v>111555</v>
      </c>
      <c r="D1469" s="16">
        <v>2018</v>
      </c>
      <c r="E1469" s="13">
        <v>126</v>
      </c>
      <c r="F1469" s="8">
        <v>1.1294876966518757</v>
      </c>
    </row>
    <row r="1470" spans="1:6" x14ac:dyDescent="0.25">
      <c r="A1470" s="4" t="s">
        <v>132</v>
      </c>
      <c r="B1470" s="4" t="str">
        <f>VLOOKUP(A1470,Codes!$G$2:$H$217,2,0)</f>
        <v>WSM</v>
      </c>
      <c r="C1470" s="11">
        <v>112743</v>
      </c>
      <c r="D1470" s="16">
        <v>2019</v>
      </c>
      <c r="E1470" s="13">
        <v>125</v>
      </c>
      <c r="F1470" s="8">
        <v>1.1087162839378053</v>
      </c>
    </row>
    <row r="1471" spans="1:6" x14ac:dyDescent="0.25">
      <c r="A1471" s="4" t="s">
        <v>132</v>
      </c>
      <c r="B1471" s="4" t="str">
        <f>VLOOKUP(A1471,Codes!$G$2:$H$217,2,0)</f>
        <v>WSM</v>
      </c>
      <c r="C1471" s="11">
        <v>114518</v>
      </c>
      <c r="D1471" s="16">
        <v>2020</v>
      </c>
      <c r="E1471" s="13">
        <v>82</v>
      </c>
      <c r="F1471" s="8">
        <v>0.7160446392706824</v>
      </c>
    </row>
    <row r="1472" spans="1:6" x14ac:dyDescent="0.25">
      <c r="A1472" s="3" t="s">
        <v>133</v>
      </c>
      <c r="B1472" s="4" t="str">
        <f>VLOOKUP(A1472,Codes!$G$2:$H$217,2,0)</f>
        <v>STP</v>
      </c>
      <c r="C1472" s="11">
        <v>102946</v>
      </c>
      <c r="D1472" s="12">
        <v>2013</v>
      </c>
      <c r="E1472" s="13">
        <v>292</v>
      </c>
      <c r="F1472" s="8">
        <v>2.8364385211664369</v>
      </c>
    </row>
    <row r="1473" spans="1:6" x14ac:dyDescent="0.25">
      <c r="A1473" s="4" t="s">
        <v>133</v>
      </c>
      <c r="B1473" s="4" t="str">
        <f>VLOOKUP(A1473,Codes!$G$2:$H$217,2,0)</f>
        <v>STP</v>
      </c>
      <c r="C1473" s="11">
        <v>104996</v>
      </c>
      <c r="D1473" s="16">
        <v>2014</v>
      </c>
      <c r="E1473" s="13">
        <v>316</v>
      </c>
      <c r="F1473" s="8">
        <v>3.0096384624176156</v>
      </c>
    </row>
    <row r="1474" spans="1:6" x14ac:dyDescent="0.25">
      <c r="A1474" s="4" t="s">
        <v>133</v>
      </c>
      <c r="B1474" s="4" t="str">
        <f>VLOOKUP(A1474,Codes!$G$2:$H$217,2,0)</f>
        <v>STP</v>
      </c>
      <c r="C1474" s="11">
        <v>107259</v>
      </c>
      <c r="D1474" s="16">
        <v>2015</v>
      </c>
      <c r="E1474" s="13">
        <v>315</v>
      </c>
      <c r="F1474" s="8">
        <v>2.9368164909238383</v>
      </c>
    </row>
    <row r="1475" spans="1:6" x14ac:dyDescent="0.25">
      <c r="A1475" s="4" t="s">
        <v>133</v>
      </c>
      <c r="B1475" s="4" t="str">
        <f>VLOOKUP(A1475,Codes!$G$2:$H$217,2,0)</f>
        <v>STP</v>
      </c>
      <c r="C1475" s="11">
        <v>109690</v>
      </c>
      <c r="D1475" s="16">
        <v>2016</v>
      </c>
      <c r="E1475" s="13">
        <v>360</v>
      </c>
      <c r="F1475" s="8">
        <v>3.2819764791685659</v>
      </c>
    </row>
    <row r="1476" spans="1:6" x14ac:dyDescent="0.25">
      <c r="A1476" s="4" t="s">
        <v>133</v>
      </c>
      <c r="B1476" s="4" t="str">
        <f>VLOOKUP(A1476,Codes!$G$2:$H$217,2,0)</f>
        <v>STP</v>
      </c>
      <c r="C1476" s="11">
        <v>112318</v>
      </c>
      <c r="D1476" s="16">
        <v>2017</v>
      </c>
      <c r="E1476" s="13">
        <v>298</v>
      </c>
      <c r="F1476" s="8">
        <v>2.6531811463879342</v>
      </c>
    </row>
    <row r="1477" spans="1:6" x14ac:dyDescent="0.25">
      <c r="A1477" s="4" t="s">
        <v>133</v>
      </c>
      <c r="B1477" s="4" t="str">
        <f>VLOOKUP(A1477,Codes!$G$2:$H$217,2,0)</f>
        <v>STP</v>
      </c>
      <c r="C1477" s="11">
        <v>115127</v>
      </c>
      <c r="D1477" s="16">
        <v>2018</v>
      </c>
      <c r="E1477" s="13">
        <v>266</v>
      </c>
      <c r="F1477" s="8">
        <v>2.3104918915632302</v>
      </c>
    </row>
    <row r="1478" spans="1:6" x14ac:dyDescent="0.25">
      <c r="A1478" s="4" t="s">
        <v>133</v>
      </c>
      <c r="B1478" s="4" t="str">
        <f>VLOOKUP(A1478,Codes!$G$2:$H$217,2,0)</f>
        <v>STP</v>
      </c>
      <c r="C1478" s="11">
        <v>118047</v>
      </c>
      <c r="D1478" s="16">
        <v>2019</v>
      </c>
      <c r="E1478" s="13">
        <v>264</v>
      </c>
      <c r="F1478" s="8">
        <v>2.2363973671503725</v>
      </c>
    </row>
    <row r="1479" spans="1:6" x14ac:dyDescent="0.25">
      <c r="A1479" s="4" t="s">
        <v>133</v>
      </c>
      <c r="B1479" s="4" t="str">
        <f>VLOOKUP(A1479,Codes!$G$2:$H$217,2,0)</f>
        <v>STP</v>
      </c>
      <c r="C1479" s="11">
        <v>121051</v>
      </c>
      <c r="D1479" s="16">
        <v>2020</v>
      </c>
      <c r="E1479" s="13">
        <v>268</v>
      </c>
      <c r="F1479" s="8">
        <v>2.213942883577996</v>
      </c>
    </row>
    <row r="1480" spans="1:6" x14ac:dyDescent="0.25">
      <c r="A1480" s="3" t="s">
        <v>134</v>
      </c>
      <c r="B1480" s="4" t="str">
        <f>VLOOKUP(A1480,Codes!$G$2:$H$217,2,0)</f>
        <v>SAU</v>
      </c>
      <c r="C1480" s="11">
        <v>15692265</v>
      </c>
      <c r="D1480" s="12">
        <v>2006</v>
      </c>
      <c r="E1480" s="13">
        <v>3246</v>
      </c>
      <c r="F1480" s="8">
        <v>0.20685350393967983</v>
      </c>
    </row>
    <row r="1481" spans="1:6" x14ac:dyDescent="0.25">
      <c r="A1481" s="4" t="s">
        <v>134</v>
      </c>
      <c r="B1481" s="4" t="str">
        <f>VLOOKUP(A1481,Codes!$G$2:$H$217,2,0)</f>
        <v>SAU</v>
      </c>
      <c r="C1481" s="11">
        <v>16359463</v>
      </c>
      <c r="D1481" s="12">
        <v>2007</v>
      </c>
      <c r="E1481" s="13">
        <v>4021</v>
      </c>
      <c r="F1481" s="8">
        <v>0.24579046390459153</v>
      </c>
    </row>
    <row r="1482" spans="1:6" x14ac:dyDescent="0.25">
      <c r="A1482" s="4" t="s">
        <v>134</v>
      </c>
      <c r="B1482" s="4" t="str">
        <f>VLOOKUP(A1482,Codes!$G$2:$H$217,2,0)</f>
        <v>SAU</v>
      </c>
      <c r="C1482" s="11">
        <v>17042003</v>
      </c>
      <c r="D1482" s="12">
        <v>2008</v>
      </c>
      <c r="E1482" s="13">
        <v>4808</v>
      </c>
      <c r="F1482" s="8">
        <v>0.282126461308568</v>
      </c>
    </row>
    <row r="1483" spans="1:6" x14ac:dyDescent="0.25">
      <c r="A1483" s="4" t="s">
        <v>134</v>
      </c>
      <c r="B1483" s="4" t="str">
        <f>VLOOKUP(A1483,Codes!$G$2:$H$217,2,0)</f>
        <v>SAU</v>
      </c>
      <c r="C1483" s="11">
        <v>17741430</v>
      </c>
      <c r="D1483" s="12">
        <v>2009</v>
      </c>
      <c r="E1483" s="13">
        <v>5158</v>
      </c>
      <c r="F1483" s="8">
        <v>0.29073191958032696</v>
      </c>
    </row>
    <row r="1484" spans="1:6" x14ac:dyDescent="0.25">
      <c r="A1484" s="4" t="s">
        <v>134</v>
      </c>
      <c r="B1484" s="4" t="str">
        <f>VLOOKUP(A1484,Codes!$G$2:$H$217,2,0)</f>
        <v>SAU</v>
      </c>
      <c r="C1484" s="11">
        <v>18462082</v>
      </c>
      <c r="D1484" s="12">
        <v>2010</v>
      </c>
      <c r="E1484" s="13">
        <v>5762</v>
      </c>
      <c r="F1484" s="8">
        <v>0.31209914461435062</v>
      </c>
    </row>
    <row r="1485" spans="1:6" x14ac:dyDescent="0.25">
      <c r="A1485" s="4" t="s">
        <v>134</v>
      </c>
      <c r="B1485" s="4" t="str">
        <f>VLOOKUP(A1485,Codes!$G$2:$H$217,2,0)</f>
        <v>SAU</v>
      </c>
      <c r="C1485" s="11">
        <v>19316606</v>
      </c>
      <c r="D1485" s="12">
        <v>2011</v>
      </c>
      <c r="E1485" s="13">
        <v>6645</v>
      </c>
      <c r="F1485" s="8">
        <v>0.34400453164494843</v>
      </c>
    </row>
    <row r="1486" spans="1:6" x14ac:dyDescent="0.25">
      <c r="A1486" s="4" t="s">
        <v>134</v>
      </c>
      <c r="B1486" s="4" t="str">
        <f>VLOOKUP(A1486,Codes!$G$2:$H$217,2,0)</f>
        <v>SAU</v>
      </c>
      <c r="C1486" s="11">
        <v>20180982</v>
      </c>
      <c r="D1486" s="12">
        <v>2012</v>
      </c>
      <c r="E1486" s="13">
        <v>8461</v>
      </c>
      <c r="F1486" s="8">
        <v>0.41925610953916909</v>
      </c>
    </row>
    <row r="1487" spans="1:6" x14ac:dyDescent="0.25">
      <c r="A1487" s="4" t="s">
        <v>134</v>
      </c>
      <c r="B1487" s="4" t="str">
        <f>VLOOKUP(A1487,Codes!$G$2:$H$217,2,0)</f>
        <v>SAU</v>
      </c>
      <c r="C1487" s="11">
        <v>21031110</v>
      </c>
      <c r="D1487" s="12">
        <v>2013</v>
      </c>
      <c r="E1487" s="13">
        <v>8942</v>
      </c>
      <c r="F1487" s="8">
        <v>0.42517965052724271</v>
      </c>
    </row>
    <row r="1488" spans="1:6" x14ac:dyDescent="0.25">
      <c r="A1488" s="4" t="s">
        <v>134</v>
      </c>
      <c r="B1488" s="4" t="str">
        <f>VLOOKUP(A1488,Codes!$G$2:$H$217,2,0)</f>
        <v>SAU</v>
      </c>
      <c r="C1488" s="11">
        <v>21835325</v>
      </c>
      <c r="D1488" s="16">
        <v>2014</v>
      </c>
      <c r="E1488" s="13">
        <v>9995</v>
      </c>
      <c r="F1488" s="8">
        <v>0.45774450345941725</v>
      </c>
    </row>
    <row r="1489" spans="1:6" x14ac:dyDescent="0.25">
      <c r="A1489" s="4" t="s">
        <v>134</v>
      </c>
      <c r="B1489" s="4" t="str">
        <f>VLOOKUP(A1489,Codes!$G$2:$H$217,2,0)</f>
        <v>SAU</v>
      </c>
      <c r="C1489" s="11">
        <v>22569169</v>
      </c>
      <c r="D1489" s="16">
        <v>2015</v>
      </c>
      <c r="E1489" s="13">
        <v>11046</v>
      </c>
      <c r="F1489" s="8">
        <v>0.48942874236973455</v>
      </c>
    </row>
    <row r="1490" spans="1:6" x14ac:dyDescent="0.25">
      <c r="A1490" s="4" t="s">
        <v>134</v>
      </c>
      <c r="B1490" s="4" t="str">
        <f>VLOOKUP(A1490,Codes!$G$2:$H$217,2,0)</f>
        <v>SAU</v>
      </c>
      <c r="C1490" s="11">
        <v>23154558</v>
      </c>
      <c r="D1490" s="16">
        <v>2016</v>
      </c>
      <c r="E1490" s="13">
        <v>10598</v>
      </c>
      <c r="F1490" s="8">
        <v>0.4577068584077485</v>
      </c>
    </row>
    <row r="1491" spans="1:6" x14ac:dyDescent="0.25">
      <c r="A1491" s="4" t="s">
        <v>134</v>
      </c>
      <c r="B1491" s="4" t="str">
        <f>VLOOKUP(A1491,Codes!$G$2:$H$217,2,0)</f>
        <v>SAU</v>
      </c>
      <c r="C1491" s="11">
        <v>23678403</v>
      </c>
      <c r="D1491" s="16">
        <v>2017</v>
      </c>
      <c r="E1491" s="13">
        <v>10903</v>
      </c>
      <c r="F1491" s="8">
        <v>0.46046179719130548</v>
      </c>
    </row>
    <row r="1492" spans="1:6" x14ac:dyDescent="0.25">
      <c r="A1492" s="4" t="s">
        <v>134</v>
      </c>
      <c r="B1492" s="4" t="str">
        <f>VLOOKUP(A1492,Codes!$G$2:$H$217,2,0)</f>
        <v>SAU</v>
      </c>
      <c r="C1492" s="11">
        <v>24145688</v>
      </c>
      <c r="D1492" s="16">
        <v>2018</v>
      </c>
      <c r="E1492" s="13">
        <v>12116</v>
      </c>
      <c r="F1492" s="8">
        <v>0.50178731705636226</v>
      </c>
    </row>
    <row r="1493" spans="1:6" x14ac:dyDescent="0.25">
      <c r="A1493" s="4" t="s">
        <v>134</v>
      </c>
      <c r="B1493" s="4" t="str">
        <f>VLOOKUP(A1493,Codes!$G$2:$H$217,2,0)</f>
        <v>SAU</v>
      </c>
      <c r="C1493" s="11">
        <v>24577777</v>
      </c>
      <c r="D1493" s="16">
        <v>2019</v>
      </c>
      <c r="E1493" s="13">
        <v>17367</v>
      </c>
      <c r="F1493" s="8">
        <v>0.70661394641183373</v>
      </c>
    </row>
    <row r="1494" spans="1:6" x14ac:dyDescent="0.25">
      <c r="A1494" s="4" t="s">
        <v>134</v>
      </c>
      <c r="B1494" s="4" t="str">
        <f>VLOOKUP(A1494,Codes!$G$2:$H$217,2,0)</f>
        <v>SAU</v>
      </c>
      <c r="C1494" s="11">
        <v>24998205</v>
      </c>
      <c r="D1494" s="16">
        <v>2020</v>
      </c>
      <c r="E1494" s="13">
        <v>15920</v>
      </c>
      <c r="F1494" s="8">
        <v>0.6368457255230926</v>
      </c>
    </row>
    <row r="1495" spans="1:6" x14ac:dyDescent="0.25">
      <c r="A1495" s="3" t="s">
        <v>135</v>
      </c>
      <c r="B1495" s="4" t="str">
        <f>VLOOKUP(A1495,Codes!$G$2:$H$217,2,0)</f>
        <v>SEN</v>
      </c>
      <c r="C1495" s="11">
        <v>6045777</v>
      </c>
      <c r="D1495" s="12">
        <v>2006</v>
      </c>
      <c r="E1495" s="13">
        <v>1054</v>
      </c>
      <c r="F1495" s="8">
        <v>0.17433656583760862</v>
      </c>
    </row>
    <row r="1496" spans="1:6" x14ac:dyDescent="0.25">
      <c r="A1496" s="4" t="s">
        <v>135</v>
      </c>
      <c r="B1496" s="4" t="str">
        <f>VLOOKUP(A1496,Codes!$G$2:$H$217,2,0)</f>
        <v>SEN</v>
      </c>
      <c r="C1496" s="11">
        <v>6214646</v>
      </c>
      <c r="D1496" s="12">
        <v>2007</v>
      </c>
      <c r="E1496" s="13">
        <v>3050</v>
      </c>
      <c r="F1496" s="8">
        <v>0.49077614396700958</v>
      </c>
    </row>
    <row r="1497" spans="1:6" x14ac:dyDescent="0.25">
      <c r="A1497" s="4" t="s">
        <v>135</v>
      </c>
      <c r="B1497" s="4" t="str">
        <f>VLOOKUP(A1497,Codes!$G$2:$H$217,2,0)</f>
        <v>SEN</v>
      </c>
      <c r="C1497" s="11">
        <v>6389395</v>
      </c>
      <c r="D1497" s="12">
        <v>2008</v>
      </c>
      <c r="E1497" s="13">
        <v>1701</v>
      </c>
      <c r="F1497" s="8">
        <v>0.26622238881772065</v>
      </c>
    </row>
    <row r="1498" spans="1:6" x14ac:dyDescent="0.25">
      <c r="A1498" s="4" t="s">
        <v>135</v>
      </c>
      <c r="B1498" s="4" t="str">
        <f>VLOOKUP(A1498,Codes!$G$2:$H$217,2,0)</f>
        <v>SEN</v>
      </c>
      <c r="C1498" s="11">
        <v>6571680</v>
      </c>
      <c r="D1498" s="12">
        <v>2009</v>
      </c>
      <c r="E1498" s="13">
        <v>2242</v>
      </c>
      <c r="F1498" s="8">
        <v>0.34116085993231565</v>
      </c>
    </row>
    <row r="1499" spans="1:6" x14ac:dyDescent="0.25">
      <c r="A1499" s="4" t="s">
        <v>135</v>
      </c>
      <c r="B1499" s="4" t="str">
        <f>VLOOKUP(A1499,Codes!$G$2:$H$217,2,0)</f>
        <v>SEN</v>
      </c>
      <c r="C1499" s="11">
        <v>6762208</v>
      </c>
      <c r="D1499" s="12">
        <v>2010</v>
      </c>
      <c r="E1499" s="13">
        <v>1745</v>
      </c>
      <c r="F1499" s="8">
        <v>0.25805180793019089</v>
      </c>
    </row>
    <row r="1500" spans="1:6" x14ac:dyDescent="0.25">
      <c r="A1500" s="4" t="s">
        <v>135</v>
      </c>
      <c r="B1500" s="4" t="str">
        <f>VLOOKUP(A1500,Codes!$G$2:$H$217,2,0)</f>
        <v>SEN</v>
      </c>
      <c r="C1500" s="11">
        <v>6949178</v>
      </c>
      <c r="D1500" s="12">
        <v>2011</v>
      </c>
      <c r="E1500" s="13">
        <v>1815</v>
      </c>
      <c r="F1500" s="8">
        <v>0.26118197001141719</v>
      </c>
    </row>
    <row r="1501" spans="1:6" x14ac:dyDescent="0.25">
      <c r="A1501" s="4" t="s">
        <v>135</v>
      </c>
      <c r="B1501" s="4" t="str">
        <f>VLOOKUP(A1501,Codes!$G$2:$H$217,2,0)</f>
        <v>SEN</v>
      </c>
      <c r="C1501" s="11">
        <v>7147093</v>
      </c>
      <c r="D1501" s="12">
        <v>2012</v>
      </c>
      <c r="E1501" s="13">
        <v>1945</v>
      </c>
      <c r="F1501" s="8">
        <v>0.27213861635772757</v>
      </c>
    </row>
    <row r="1502" spans="1:6" x14ac:dyDescent="0.25">
      <c r="A1502" s="4" t="s">
        <v>135</v>
      </c>
      <c r="B1502" s="4" t="str">
        <f>VLOOKUP(A1502,Codes!$G$2:$H$217,2,0)</f>
        <v>SEN</v>
      </c>
      <c r="C1502" s="11">
        <v>7354600</v>
      </c>
      <c r="D1502" s="12">
        <v>2013</v>
      </c>
      <c r="E1502" s="13">
        <v>2116</v>
      </c>
      <c r="F1502" s="8">
        <v>0.2877110923775596</v>
      </c>
    </row>
    <row r="1503" spans="1:6" x14ac:dyDescent="0.25">
      <c r="A1503" s="4" t="s">
        <v>135</v>
      </c>
      <c r="B1503" s="4" t="str">
        <f>VLOOKUP(A1503,Codes!$G$2:$H$217,2,0)</f>
        <v>SEN</v>
      </c>
      <c r="C1503" s="11">
        <v>7570335</v>
      </c>
      <c r="D1503" s="16">
        <v>2014</v>
      </c>
      <c r="E1503" s="13">
        <v>2359</v>
      </c>
      <c r="F1503" s="8">
        <v>0.31161104495375702</v>
      </c>
    </row>
    <row r="1504" spans="1:6" x14ac:dyDescent="0.25">
      <c r="A1504" s="4" t="s">
        <v>135</v>
      </c>
      <c r="B1504" s="4" t="str">
        <f>VLOOKUP(A1504,Codes!$G$2:$H$217,2,0)</f>
        <v>SEN</v>
      </c>
      <c r="C1504" s="11">
        <v>7794338</v>
      </c>
      <c r="D1504" s="16">
        <v>2015</v>
      </c>
      <c r="E1504" s="13">
        <v>3258</v>
      </c>
      <c r="F1504" s="8">
        <v>0.41799572972072807</v>
      </c>
    </row>
    <row r="1505" spans="1:6" x14ac:dyDescent="0.25">
      <c r="A1505" s="4" t="s">
        <v>135</v>
      </c>
      <c r="B1505" s="4" t="str">
        <f>VLOOKUP(A1505,Codes!$G$2:$H$217,2,0)</f>
        <v>SEN</v>
      </c>
      <c r="C1505" s="11">
        <v>8030114</v>
      </c>
      <c r="D1505" s="16">
        <v>2016</v>
      </c>
      <c r="E1505" s="13">
        <v>3420</v>
      </c>
      <c r="F1505" s="8">
        <v>0.42589681790320782</v>
      </c>
    </row>
    <row r="1506" spans="1:6" x14ac:dyDescent="0.25">
      <c r="A1506" s="4" t="s">
        <v>135</v>
      </c>
      <c r="B1506" s="4" t="str">
        <f>VLOOKUP(A1506,Codes!$G$2:$H$217,2,0)</f>
        <v>SEN</v>
      </c>
      <c r="C1506" s="11">
        <v>8278519</v>
      </c>
      <c r="D1506" s="16">
        <v>2017</v>
      </c>
      <c r="E1506" s="13">
        <v>3715</v>
      </c>
      <c r="F1506" s="8">
        <v>0.44875176344947687</v>
      </c>
    </row>
    <row r="1507" spans="1:6" x14ac:dyDescent="0.25">
      <c r="A1507" s="4" t="s">
        <v>135</v>
      </c>
      <c r="B1507" s="4" t="str">
        <f>VLOOKUP(A1507,Codes!$G$2:$H$217,2,0)</f>
        <v>SEN</v>
      </c>
      <c r="C1507" s="11">
        <v>8538782</v>
      </c>
      <c r="D1507" s="16">
        <v>2018</v>
      </c>
      <c r="E1507" s="13">
        <v>4004</v>
      </c>
      <c r="F1507" s="8">
        <v>0.46891933767602922</v>
      </c>
    </row>
    <row r="1508" spans="1:6" x14ac:dyDescent="0.25">
      <c r="A1508" s="4" t="s">
        <v>135</v>
      </c>
      <c r="B1508" s="4" t="str">
        <f>VLOOKUP(A1508,Codes!$G$2:$H$217,2,0)</f>
        <v>SEN</v>
      </c>
      <c r="C1508" s="11">
        <v>8810083</v>
      </c>
      <c r="D1508" s="16">
        <v>2019</v>
      </c>
      <c r="E1508" s="13">
        <v>4285</v>
      </c>
      <c r="F1508" s="8">
        <v>0.48637453245332646</v>
      </c>
    </row>
    <row r="1509" spans="1:6" x14ac:dyDescent="0.25">
      <c r="A1509" s="4" t="s">
        <v>135</v>
      </c>
      <c r="B1509" s="4" t="str">
        <f>VLOOKUP(A1509,Codes!$G$2:$H$217,2,0)</f>
        <v>SEN</v>
      </c>
      <c r="C1509" s="11">
        <v>9092003</v>
      </c>
      <c r="D1509" s="16">
        <v>2020</v>
      </c>
      <c r="E1509" s="13">
        <v>4284</v>
      </c>
      <c r="F1509" s="8">
        <v>0.47118330251320856</v>
      </c>
    </row>
    <row r="1510" spans="1:6" x14ac:dyDescent="0.25">
      <c r="A1510" s="3" t="s">
        <v>136</v>
      </c>
      <c r="B1510" s="4" t="str">
        <f>VLOOKUP(A1510,Codes!$G$2:$H$217,2,0)</f>
        <v>SRB</v>
      </c>
      <c r="C1510" s="11">
        <v>4973794</v>
      </c>
      <c r="D1510" s="12">
        <v>2006</v>
      </c>
      <c r="E1510" s="20">
        <v>11021</v>
      </c>
      <c r="F1510" s="8">
        <v>2.2158135218306185</v>
      </c>
    </row>
    <row r="1511" spans="1:6" x14ac:dyDescent="0.25">
      <c r="A1511" s="4" t="s">
        <v>136</v>
      </c>
      <c r="B1511" s="4" t="str">
        <f>VLOOKUP(A1511,Codes!$G$2:$H$217,2,0)</f>
        <v>SRB</v>
      </c>
      <c r="C1511" s="11">
        <v>4974349</v>
      </c>
      <c r="D1511" s="12">
        <v>2007</v>
      </c>
      <c r="E1511" s="20">
        <v>11337</v>
      </c>
      <c r="F1511" s="8">
        <v>2.2790921987982751</v>
      </c>
    </row>
    <row r="1512" spans="1:6" x14ac:dyDescent="0.25">
      <c r="A1512" s="4" t="s">
        <v>136</v>
      </c>
      <c r="B1512" s="4" t="str">
        <f>VLOOKUP(A1512,Codes!$G$2:$H$217,2,0)</f>
        <v>SRB</v>
      </c>
      <c r="C1512" s="11">
        <v>4973412</v>
      </c>
      <c r="D1512" s="12">
        <v>2008</v>
      </c>
      <c r="E1512" s="20">
        <v>10958</v>
      </c>
      <c r="F1512" s="8">
        <v>2.203316355049612</v>
      </c>
    </row>
    <row r="1513" spans="1:6" x14ac:dyDescent="0.25">
      <c r="A1513" s="4" t="s">
        <v>136</v>
      </c>
      <c r="B1513" s="4" t="str">
        <f>VLOOKUP(A1513,Codes!$G$2:$H$217,2,0)</f>
        <v>SRB</v>
      </c>
      <c r="C1513" s="11">
        <v>4967558</v>
      </c>
      <c r="D1513" s="12">
        <v>2009</v>
      </c>
      <c r="E1513" s="20">
        <v>9814</v>
      </c>
      <c r="F1513" s="8">
        <v>1.9756186037485621</v>
      </c>
    </row>
    <row r="1514" spans="1:6" x14ac:dyDescent="0.25">
      <c r="A1514" s="4" t="s">
        <v>136</v>
      </c>
      <c r="B1514" s="4" t="str">
        <f>VLOOKUP(A1514,Codes!$G$2:$H$217,2,0)</f>
        <v>SRB</v>
      </c>
      <c r="C1514" s="11">
        <v>4952679</v>
      </c>
      <c r="D1514" s="12">
        <v>2010</v>
      </c>
      <c r="E1514" s="20">
        <v>9333</v>
      </c>
      <c r="F1514" s="8">
        <v>1.8844346665713647</v>
      </c>
    </row>
    <row r="1515" spans="1:6" x14ac:dyDescent="0.25">
      <c r="A1515" s="4" t="s">
        <v>136</v>
      </c>
      <c r="B1515" s="4" t="str">
        <f>VLOOKUP(A1515,Codes!$G$2:$H$217,2,0)</f>
        <v>SRB</v>
      </c>
      <c r="C1515" s="11">
        <v>4910997</v>
      </c>
      <c r="D1515" s="12">
        <v>2011</v>
      </c>
      <c r="E1515" s="20">
        <v>8319</v>
      </c>
      <c r="F1515" s="8">
        <v>1.6939533866544818</v>
      </c>
    </row>
    <row r="1516" spans="1:6" x14ac:dyDescent="0.25">
      <c r="A1516" s="4" t="s">
        <v>136</v>
      </c>
      <c r="B1516" s="4" t="str">
        <f>VLOOKUP(A1516,Codes!$G$2:$H$217,2,0)</f>
        <v>SRB</v>
      </c>
      <c r="C1516" s="11">
        <v>4877059</v>
      </c>
      <c r="D1516" s="12">
        <v>2012</v>
      </c>
      <c r="E1516" s="20">
        <v>8505</v>
      </c>
      <c r="F1516" s="8">
        <v>1.7438788417363826</v>
      </c>
    </row>
    <row r="1517" spans="1:6" x14ac:dyDescent="0.25">
      <c r="A1517" s="4" t="s">
        <v>136</v>
      </c>
      <c r="B1517" s="4" t="str">
        <f>VLOOKUP(A1517,Codes!$G$2:$H$217,2,0)</f>
        <v>SRB</v>
      </c>
      <c r="C1517" s="11">
        <v>4836941</v>
      </c>
      <c r="D1517" s="12">
        <v>2013</v>
      </c>
      <c r="E1517" s="20">
        <v>8558</v>
      </c>
      <c r="F1517" s="8">
        <v>1.7693000596864839</v>
      </c>
    </row>
    <row r="1518" spans="1:6" x14ac:dyDescent="0.25">
      <c r="A1518" s="4" t="s">
        <v>136</v>
      </c>
      <c r="B1518" s="4" t="str">
        <f>VLOOKUP(A1518,Codes!$G$2:$H$217,2,0)</f>
        <v>SRB</v>
      </c>
      <c r="C1518" s="11">
        <v>4793306</v>
      </c>
      <c r="D1518" s="16">
        <v>2014</v>
      </c>
      <c r="E1518" s="13">
        <v>8081</v>
      </c>
      <c r="F1518" s="8">
        <v>1.6858927846459208</v>
      </c>
    </row>
    <row r="1519" spans="1:6" x14ac:dyDescent="0.25">
      <c r="A1519" s="4" t="s">
        <v>136</v>
      </c>
      <c r="B1519" s="4" t="str">
        <f>VLOOKUP(A1519,Codes!$G$2:$H$217,2,0)</f>
        <v>SRB</v>
      </c>
      <c r="C1519" s="11">
        <v>4745329</v>
      </c>
      <c r="D1519" s="16">
        <v>2015</v>
      </c>
      <c r="E1519" s="13">
        <v>7929</v>
      </c>
      <c r="F1519" s="8">
        <v>1.6709062743594807</v>
      </c>
    </row>
    <row r="1520" spans="1:6" x14ac:dyDescent="0.25">
      <c r="A1520" s="4" t="s">
        <v>136</v>
      </c>
      <c r="B1520" s="4" t="str">
        <f>VLOOKUP(A1520,Codes!$G$2:$H$217,2,0)</f>
        <v>SRB</v>
      </c>
      <c r="C1520" s="11">
        <v>4700815</v>
      </c>
      <c r="D1520" s="16">
        <v>2016</v>
      </c>
      <c r="E1520" s="13">
        <v>8288</v>
      </c>
      <c r="F1520" s="8">
        <v>1.7630985265321013</v>
      </c>
    </row>
    <row r="1521" spans="1:6" x14ac:dyDescent="0.25">
      <c r="A1521" s="4" t="s">
        <v>136</v>
      </c>
      <c r="B1521" s="4" t="str">
        <f>VLOOKUP(A1521,Codes!$G$2:$H$217,2,0)</f>
        <v>SRB</v>
      </c>
      <c r="C1521" s="11">
        <v>4653380</v>
      </c>
      <c r="D1521" s="16">
        <v>2017</v>
      </c>
      <c r="E1521" s="13">
        <v>8671</v>
      </c>
      <c r="F1521" s="8">
        <v>1.8633767283136129</v>
      </c>
    </row>
    <row r="1522" spans="1:6" x14ac:dyDescent="0.25">
      <c r="A1522" s="4" t="s">
        <v>136</v>
      </c>
      <c r="B1522" s="4" t="str">
        <f>VLOOKUP(A1522,Codes!$G$2:$H$217,2,0)</f>
        <v>SRB</v>
      </c>
      <c r="C1522" s="11">
        <v>4606042</v>
      </c>
      <c r="D1522" s="16">
        <v>2018</v>
      </c>
      <c r="E1522" s="13">
        <v>8671</v>
      </c>
      <c r="F1522" s="8">
        <v>1.88252734126176</v>
      </c>
    </row>
    <row r="1523" spans="1:6" x14ac:dyDescent="0.25">
      <c r="A1523" s="4" t="s">
        <v>136</v>
      </c>
      <c r="B1523" s="4" t="str">
        <f>VLOOKUP(A1523,Codes!$G$2:$H$217,2,0)</f>
        <v>SRB</v>
      </c>
      <c r="C1523" s="11">
        <v>4564308</v>
      </c>
      <c r="D1523" s="16">
        <v>2019</v>
      </c>
      <c r="E1523" s="13">
        <v>9034</v>
      </c>
      <c r="F1523" s="8">
        <v>1.979270461152052</v>
      </c>
    </row>
    <row r="1524" spans="1:6" x14ac:dyDescent="0.25">
      <c r="A1524" s="4" t="s">
        <v>136</v>
      </c>
      <c r="B1524" s="4" t="str">
        <f>VLOOKUP(A1524,Codes!$G$2:$H$217,2,0)</f>
        <v>SRB</v>
      </c>
      <c r="C1524" s="11">
        <v>4530026</v>
      </c>
      <c r="D1524" s="16">
        <v>2020</v>
      </c>
      <c r="E1524" s="13">
        <v>9030</v>
      </c>
      <c r="F1524" s="8">
        <v>1.9933660424907054</v>
      </c>
    </row>
    <row r="1525" spans="1:6" x14ac:dyDescent="0.25">
      <c r="A1525" s="3" t="s">
        <v>137</v>
      </c>
      <c r="B1525" s="4" t="str">
        <f>VLOOKUP(A1525,Codes!$G$2:$H$217,2,0)</f>
        <v>SYC</v>
      </c>
      <c r="C1525" s="11">
        <v>57729</v>
      </c>
      <c r="D1525" s="12">
        <v>2006</v>
      </c>
      <c r="E1525" s="13">
        <v>113</v>
      </c>
      <c r="F1525" s="8">
        <v>1.9574217464359334</v>
      </c>
    </row>
    <row r="1526" spans="1:6" x14ac:dyDescent="0.25">
      <c r="A1526" s="4" t="s">
        <v>137</v>
      </c>
      <c r="B1526" s="4" t="str">
        <f>VLOOKUP(A1526,Codes!$G$2:$H$217,2,0)</f>
        <v>SYC</v>
      </c>
      <c r="C1526" s="11">
        <v>58264</v>
      </c>
      <c r="D1526" s="12">
        <v>2007</v>
      </c>
      <c r="E1526" s="13">
        <v>369</v>
      </c>
      <c r="F1526" s="8">
        <v>6.3332417959632021</v>
      </c>
    </row>
    <row r="1527" spans="1:6" x14ac:dyDescent="0.25">
      <c r="A1527" s="4" t="s">
        <v>137</v>
      </c>
      <c r="B1527" s="4" t="str">
        <f>VLOOKUP(A1527,Codes!$G$2:$H$217,2,0)</f>
        <v>SYC</v>
      </c>
      <c r="C1527" s="11">
        <v>59903</v>
      </c>
      <c r="D1527" s="12">
        <v>2008</v>
      </c>
      <c r="E1527" s="13">
        <v>384</v>
      </c>
      <c r="F1527" s="8">
        <v>6.4103634208637299</v>
      </c>
    </row>
    <row r="1528" spans="1:6" x14ac:dyDescent="0.25">
      <c r="A1528" s="4" t="s">
        <v>137</v>
      </c>
      <c r="B1528" s="4" t="str">
        <f>VLOOKUP(A1528,Codes!$G$2:$H$217,2,0)</f>
        <v>SYC</v>
      </c>
      <c r="C1528" s="11">
        <v>60477</v>
      </c>
      <c r="D1528" s="12">
        <v>2009</v>
      </c>
      <c r="E1528" s="13">
        <v>143</v>
      </c>
      <c r="F1528" s="8">
        <v>2.3645352778742335</v>
      </c>
    </row>
    <row r="1529" spans="1:6" x14ac:dyDescent="0.25">
      <c r="A1529" s="4" t="s">
        <v>137</v>
      </c>
      <c r="B1529" s="4" t="str">
        <f>VLOOKUP(A1529,Codes!$G$2:$H$217,2,0)</f>
        <v>SYC</v>
      </c>
      <c r="C1529" s="11">
        <v>62493</v>
      </c>
      <c r="D1529" s="12">
        <v>2010</v>
      </c>
      <c r="E1529" s="13">
        <v>127</v>
      </c>
      <c r="F1529" s="8">
        <v>2.0322276094922631</v>
      </c>
    </row>
    <row r="1530" spans="1:6" x14ac:dyDescent="0.25">
      <c r="A1530" s="4" t="s">
        <v>137</v>
      </c>
      <c r="B1530" s="4" t="str">
        <f>VLOOKUP(A1530,Codes!$G$2:$H$217,2,0)</f>
        <v>SYC</v>
      </c>
      <c r="C1530" s="11">
        <v>60905</v>
      </c>
      <c r="D1530" s="12">
        <v>2011</v>
      </c>
      <c r="E1530" s="13">
        <v>115</v>
      </c>
      <c r="F1530" s="8">
        <v>1.8881865199901486</v>
      </c>
    </row>
    <row r="1531" spans="1:6" x14ac:dyDescent="0.25">
      <c r="A1531" s="4" t="s">
        <v>137</v>
      </c>
      <c r="B1531" s="4" t="str">
        <f>VLOOKUP(A1531,Codes!$G$2:$H$217,2,0)</f>
        <v>SYC</v>
      </c>
      <c r="C1531" s="11">
        <v>61579</v>
      </c>
      <c r="D1531" s="12">
        <v>2012</v>
      </c>
      <c r="E1531" s="13">
        <v>165</v>
      </c>
      <c r="F1531" s="8">
        <v>2.6794848893291543</v>
      </c>
    </row>
    <row r="1532" spans="1:6" x14ac:dyDescent="0.25">
      <c r="A1532" s="4" t="s">
        <v>137</v>
      </c>
      <c r="B1532" s="4" t="str">
        <f>VLOOKUP(A1532,Codes!$G$2:$H$217,2,0)</f>
        <v>SYC</v>
      </c>
      <c r="C1532" s="11">
        <v>62760</v>
      </c>
      <c r="D1532" s="12">
        <v>2013</v>
      </c>
      <c r="E1532" s="13">
        <v>124</v>
      </c>
      <c r="F1532" s="8">
        <v>1.975780752071383</v>
      </c>
    </row>
    <row r="1533" spans="1:6" x14ac:dyDescent="0.25">
      <c r="A1533" s="4" t="s">
        <v>137</v>
      </c>
      <c r="B1533" s="4" t="str">
        <f>VLOOKUP(A1533,Codes!$G$2:$H$217,2,0)</f>
        <v>SYC</v>
      </c>
      <c r="C1533" s="11">
        <v>63682</v>
      </c>
      <c r="D1533" s="16">
        <v>2014</v>
      </c>
      <c r="E1533" s="13">
        <v>111</v>
      </c>
      <c r="F1533" s="8">
        <v>1.7430357086774912</v>
      </c>
    </row>
    <row r="1534" spans="1:6" x14ac:dyDescent="0.25">
      <c r="A1534" s="4" t="s">
        <v>137</v>
      </c>
      <c r="B1534" s="4" t="str">
        <f>VLOOKUP(A1534,Codes!$G$2:$H$217,2,0)</f>
        <v>SYC</v>
      </c>
      <c r="C1534" s="11">
        <v>64977</v>
      </c>
      <c r="D1534" s="16">
        <v>2015</v>
      </c>
      <c r="E1534" s="13">
        <v>142</v>
      </c>
      <c r="F1534" s="8">
        <v>2.1853886759930434</v>
      </c>
    </row>
    <row r="1535" spans="1:6" x14ac:dyDescent="0.25">
      <c r="A1535" s="4" t="s">
        <v>137</v>
      </c>
      <c r="B1535" s="4" t="str">
        <f>VLOOKUP(A1535,Codes!$G$2:$H$217,2,0)</f>
        <v>SYC</v>
      </c>
      <c r="C1535" s="11">
        <v>65674</v>
      </c>
      <c r="D1535" s="16">
        <v>2016</v>
      </c>
      <c r="E1535" s="13">
        <v>111</v>
      </c>
      <c r="F1535" s="8">
        <v>1.6901665803818864</v>
      </c>
    </row>
    <row r="1536" spans="1:6" x14ac:dyDescent="0.25">
      <c r="A1536" s="4" t="s">
        <v>137</v>
      </c>
      <c r="B1536" s="4" t="str">
        <f>VLOOKUP(A1536,Codes!$G$2:$H$217,2,0)</f>
        <v>SYC</v>
      </c>
      <c r="C1536" s="11">
        <v>66220</v>
      </c>
      <c r="D1536" s="16">
        <v>2017</v>
      </c>
      <c r="E1536" s="13">
        <v>102</v>
      </c>
      <c r="F1536" s="8">
        <v>1.5403201449713078</v>
      </c>
    </row>
    <row r="1537" spans="1:6" x14ac:dyDescent="0.25">
      <c r="A1537" s="4" t="s">
        <v>137</v>
      </c>
      <c r="B1537" s="4" t="str">
        <f>VLOOKUP(A1537,Codes!$G$2:$H$217,2,0)</f>
        <v>SYC</v>
      </c>
      <c r="C1537" s="11">
        <v>66543</v>
      </c>
      <c r="D1537" s="16">
        <v>2018</v>
      </c>
      <c r="E1537" s="13">
        <v>167</v>
      </c>
      <c r="F1537" s="8">
        <v>2.5096554107870097</v>
      </c>
    </row>
    <row r="1538" spans="1:6" x14ac:dyDescent="0.25">
      <c r="A1538" s="4" t="s">
        <v>137</v>
      </c>
      <c r="B1538" s="4" t="str">
        <f>VLOOKUP(A1538,Codes!$G$2:$H$217,2,0)</f>
        <v>SYC</v>
      </c>
      <c r="C1538" s="11">
        <v>66830</v>
      </c>
      <c r="D1538" s="16">
        <v>2019</v>
      </c>
      <c r="E1538" s="13">
        <v>157</v>
      </c>
      <c r="F1538" s="8">
        <v>2.3492443513392187</v>
      </c>
    </row>
    <row r="1539" spans="1:6" x14ac:dyDescent="0.25">
      <c r="A1539" s="4" t="s">
        <v>137</v>
      </c>
      <c r="B1539" s="4" t="str">
        <f>VLOOKUP(A1539,Codes!$G$2:$H$217,2,0)</f>
        <v>SYC</v>
      </c>
      <c r="C1539" s="11">
        <v>67118</v>
      </c>
      <c r="D1539" s="16">
        <v>2020</v>
      </c>
      <c r="E1539" s="13">
        <v>109</v>
      </c>
      <c r="F1539" s="8">
        <v>1.6240054828808963</v>
      </c>
    </row>
    <row r="1540" spans="1:6" x14ac:dyDescent="0.25">
      <c r="A1540" s="3" t="s">
        <v>138</v>
      </c>
      <c r="B1540" s="4" t="str">
        <f>VLOOKUP(A1540,Codes!$G$2:$H$217,2,0)</f>
        <v>SLE</v>
      </c>
      <c r="C1540" s="11">
        <v>3098223</v>
      </c>
      <c r="D1540" s="12">
        <v>2006</v>
      </c>
      <c r="E1540" s="13">
        <v>333</v>
      </c>
      <c r="F1540" s="8">
        <v>0.10748096570195237</v>
      </c>
    </row>
    <row r="1541" spans="1:6" x14ac:dyDescent="0.25">
      <c r="A1541" s="4" t="s">
        <v>138</v>
      </c>
      <c r="B1541" s="4" t="str">
        <f>VLOOKUP(A1541,Codes!$G$2:$H$217,2,0)</f>
        <v>SLE</v>
      </c>
      <c r="C1541" s="11">
        <v>3189394</v>
      </c>
      <c r="D1541" s="12">
        <v>2007</v>
      </c>
      <c r="E1541" s="13">
        <v>375</v>
      </c>
      <c r="F1541" s="8">
        <v>0.11757719491539773</v>
      </c>
    </row>
    <row r="1542" spans="1:6" x14ac:dyDescent="0.25">
      <c r="A1542" s="4" t="s">
        <v>138</v>
      </c>
      <c r="B1542" s="4" t="str">
        <f>VLOOKUP(A1542,Codes!$G$2:$H$217,2,0)</f>
        <v>SLE</v>
      </c>
      <c r="C1542" s="11">
        <v>3276159</v>
      </c>
      <c r="D1542" s="12">
        <v>2008</v>
      </c>
      <c r="E1542" s="13">
        <v>555</v>
      </c>
      <c r="F1542" s="8">
        <v>0.16940569734252825</v>
      </c>
    </row>
    <row r="1543" spans="1:6" x14ac:dyDescent="0.25">
      <c r="A1543" s="4" t="s">
        <v>138</v>
      </c>
      <c r="B1543" s="4" t="str">
        <f>VLOOKUP(A1543,Codes!$G$2:$H$217,2,0)</f>
        <v>SLE</v>
      </c>
      <c r="C1543" s="11">
        <v>3364482</v>
      </c>
      <c r="D1543" s="12">
        <v>2009</v>
      </c>
      <c r="E1543" s="13">
        <v>688</v>
      </c>
      <c r="F1543" s="8">
        <v>0.20448913086769374</v>
      </c>
    </row>
    <row r="1544" spans="1:6" x14ac:dyDescent="0.25">
      <c r="A1544" s="4" t="s">
        <v>138</v>
      </c>
      <c r="B1544" s="4" t="str">
        <f>VLOOKUP(A1544,Codes!$G$2:$H$217,2,0)</f>
        <v>SLE</v>
      </c>
      <c r="C1544" s="11">
        <v>3458379</v>
      </c>
      <c r="D1544" s="12">
        <v>2010</v>
      </c>
      <c r="E1544" s="13">
        <v>905</v>
      </c>
      <c r="F1544" s="8">
        <v>0.26168329150737962</v>
      </c>
    </row>
    <row r="1545" spans="1:6" x14ac:dyDescent="0.25">
      <c r="A1545" s="4" t="s">
        <v>138</v>
      </c>
      <c r="B1545" s="4" t="str">
        <f>VLOOKUP(A1545,Codes!$G$2:$H$217,2,0)</f>
        <v>SLE</v>
      </c>
      <c r="C1545" s="11">
        <v>3546429</v>
      </c>
      <c r="D1545" s="12">
        <v>2011</v>
      </c>
      <c r="E1545" s="13">
        <v>831</v>
      </c>
      <c r="F1545" s="8">
        <v>0.23432021337520081</v>
      </c>
    </row>
    <row r="1546" spans="1:6" x14ac:dyDescent="0.25">
      <c r="A1546" s="4" t="s">
        <v>138</v>
      </c>
      <c r="B1546" s="4" t="str">
        <f>VLOOKUP(A1546,Codes!$G$2:$H$217,2,0)</f>
        <v>SLE</v>
      </c>
      <c r="C1546" s="11">
        <v>3640652</v>
      </c>
      <c r="D1546" s="12">
        <v>2012</v>
      </c>
      <c r="E1546" s="13">
        <v>1069</v>
      </c>
      <c r="F1546" s="8">
        <v>0.29362872364620402</v>
      </c>
    </row>
    <row r="1547" spans="1:6" x14ac:dyDescent="0.25">
      <c r="A1547" s="4" t="s">
        <v>138</v>
      </c>
      <c r="B1547" s="4" t="str">
        <f>VLOOKUP(A1547,Codes!$G$2:$H$217,2,0)</f>
        <v>SLE</v>
      </c>
      <c r="C1547" s="11">
        <v>3740275</v>
      </c>
      <c r="D1547" s="12">
        <v>2013</v>
      </c>
      <c r="E1547" s="13">
        <v>1046</v>
      </c>
      <c r="F1547" s="8">
        <v>0.27965858125405219</v>
      </c>
    </row>
    <row r="1548" spans="1:6" x14ac:dyDescent="0.25">
      <c r="A1548" s="4" t="s">
        <v>138</v>
      </c>
      <c r="B1548" s="4" t="str">
        <f>VLOOKUP(A1548,Codes!$G$2:$H$217,2,0)</f>
        <v>SLE</v>
      </c>
      <c r="C1548" s="11">
        <v>3844130</v>
      </c>
      <c r="D1548" s="16">
        <v>2014</v>
      </c>
      <c r="E1548" s="13">
        <v>682</v>
      </c>
      <c r="F1548" s="8">
        <v>0.17741335490735224</v>
      </c>
    </row>
    <row r="1549" spans="1:6" x14ac:dyDescent="0.25">
      <c r="A1549" s="4" t="s">
        <v>138</v>
      </c>
      <c r="B1549" s="4" t="str">
        <f>VLOOKUP(A1549,Codes!$G$2:$H$217,2,0)</f>
        <v>SLE</v>
      </c>
      <c r="C1549" s="11">
        <v>3951598</v>
      </c>
      <c r="D1549" s="16">
        <v>2015</v>
      </c>
      <c r="E1549" s="13">
        <v>986</v>
      </c>
      <c r="F1549" s="8">
        <v>0.24951930839118755</v>
      </c>
    </row>
    <row r="1550" spans="1:6" x14ac:dyDescent="0.25">
      <c r="A1550" s="4" t="s">
        <v>138</v>
      </c>
      <c r="B1550" s="4" t="str">
        <f>VLOOKUP(A1550,Codes!$G$2:$H$217,2,0)</f>
        <v>SLE</v>
      </c>
      <c r="C1550" s="11">
        <v>4058227</v>
      </c>
      <c r="D1550" s="16">
        <v>2016</v>
      </c>
      <c r="E1550" s="13">
        <v>1082</v>
      </c>
      <c r="F1550" s="8">
        <v>0.26661889539446659</v>
      </c>
    </row>
    <row r="1551" spans="1:6" x14ac:dyDescent="0.25">
      <c r="A1551" s="4" t="s">
        <v>138</v>
      </c>
      <c r="B1551" s="4" t="str">
        <f>VLOOKUP(A1551,Codes!$G$2:$H$217,2,0)</f>
        <v>SLE</v>
      </c>
      <c r="C1551" s="11">
        <v>4168178</v>
      </c>
      <c r="D1551" s="16">
        <v>2017</v>
      </c>
      <c r="E1551" s="13">
        <v>1233</v>
      </c>
      <c r="F1551" s="8">
        <v>0.2958127028164344</v>
      </c>
    </row>
    <row r="1552" spans="1:6" x14ac:dyDescent="0.25">
      <c r="A1552" s="4" t="s">
        <v>138</v>
      </c>
      <c r="B1552" s="4" t="str">
        <f>VLOOKUP(A1552,Codes!$G$2:$H$217,2,0)</f>
        <v>SLE</v>
      </c>
      <c r="C1552" s="11">
        <v>4282079</v>
      </c>
      <c r="D1552" s="16">
        <v>2018</v>
      </c>
      <c r="E1552" s="13">
        <v>1980</v>
      </c>
      <c r="F1552" s="8">
        <v>0.46239221649110163</v>
      </c>
    </row>
    <row r="1553" spans="1:6" x14ac:dyDescent="0.25">
      <c r="A1553" s="3" t="s">
        <v>139</v>
      </c>
      <c r="B1553" s="4" t="str">
        <f>VLOOKUP(A1553,Codes!$G$2:$H$217,2,0)</f>
        <v>SGP</v>
      </c>
      <c r="C1553" s="11">
        <v>3347294</v>
      </c>
      <c r="D1553" s="12">
        <v>2006</v>
      </c>
      <c r="E1553" s="13">
        <v>19575</v>
      </c>
      <c r="F1553" s="8">
        <v>5.8480073755098889</v>
      </c>
    </row>
    <row r="1554" spans="1:6" x14ac:dyDescent="0.25">
      <c r="A1554" s="4" t="s">
        <v>139</v>
      </c>
      <c r="B1554" s="4" t="str">
        <f>VLOOKUP(A1554,Codes!$G$2:$H$217,2,0)</f>
        <v>SGP</v>
      </c>
      <c r="C1554" s="11">
        <v>3516747</v>
      </c>
      <c r="D1554" s="12">
        <v>2007</v>
      </c>
      <c r="E1554" s="13">
        <v>23850</v>
      </c>
      <c r="F1554" s="8">
        <v>6.7818355997744506</v>
      </c>
    </row>
    <row r="1555" spans="1:6" x14ac:dyDescent="0.25">
      <c r="A1555" s="4" t="s">
        <v>139</v>
      </c>
      <c r="B1555" s="4" t="str">
        <f>VLOOKUP(A1555,Codes!$G$2:$H$217,2,0)</f>
        <v>SGP</v>
      </c>
      <c r="C1555" s="11">
        <v>3744457</v>
      </c>
      <c r="D1555" s="12">
        <v>2008</v>
      </c>
      <c r="E1555" s="13">
        <v>23544</v>
      </c>
      <c r="F1555" s="8">
        <v>6.2876940501653511</v>
      </c>
    </row>
    <row r="1556" spans="1:6" x14ac:dyDescent="0.25">
      <c r="A1556" s="4" t="s">
        <v>139</v>
      </c>
      <c r="B1556" s="4" t="str">
        <f>VLOOKUP(A1556,Codes!$G$2:$H$217,2,0)</f>
        <v>SGP</v>
      </c>
      <c r="C1556" s="11">
        <v>3896763</v>
      </c>
      <c r="D1556" s="12">
        <v>2009</v>
      </c>
      <c r="E1556" s="13">
        <v>24234</v>
      </c>
      <c r="F1556" s="8">
        <v>6.2190079304284094</v>
      </c>
    </row>
    <row r="1557" spans="1:6" x14ac:dyDescent="0.25">
      <c r="A1557" s="4" t="s">
        <v>139</v>
      </c>
      <c r="B1557" s="4" t="str">
        <f>VLOOKUP(A1557,Codes!$G$2:$H$217,2,0)</f>
        <v>SGP</v>
      </c>
      <c r="C1557" s="11">
        <v>3997725</v>
      </c>
      <c r="D1557" s="12">
        <v>2010</v>
      </c>
      <c r="E1557" s="13">
        <v>27483</v>
      </c>
      <c r="F1557" s="8">
        <v>6.8746599628538734</v>
      </c>
    </row>
    <row r="1558" spans="1:6" x14ac:dyDescent="0.25">
      <c r="A1558" s="4" t="s">
        <v>139</v>
      </c>
      <c r="B1558" s="4" t="str">
        <f>VLOOKUP(A1558,Codes!$G$2:$H$217,2,0)</f>
        <v>SGP</v>
      </c>
      <c r="C1558" s="11">
        <v>4074425</v>
      </c>
      <c r="D1558" s="12">
        <v>2011</v>
      </c>
      <c r="E1558" s="13">
        <v>29781</v>
      </c>
      <c r="F1558" s="8">
        <v>7.3092522257741885</v>
      </c>
    </row>
    <row r="1559" spans="1:6" x14ac:dyDescent="0.25">
      <c r="A1559" s="4" t="s">
        <v>139</v>
      </c>
      <c r="B1559" s="4" t="str">
        <f>VLOOKUP(A1559,Codes!$G$2:$H$217,2,0)</f>
        <v>SGP</v>
      </c>
      <c r="C1559" s="11">
        <v>4167133</v>
      </c>
      <c r="D1559" s="12">
        <v>2012</v>
      </c>
      <c r="E1559" s="13">
        <v>31531</v>
      </c>
      <c r="F1559" s="8">
        <v>7.5665931468949994</v>
      </c>
    </row>
    <row r="1560" spans="1:6" x14ac:dyDescent="0.25">
      <c r="A1560" s="4" t="s">
        <v>139</v>
      </c>
      <c r="B1560" s="4" t="str">
        <f>VLOOKUP(A1560,Codes!$G$2:$H$217,2,0)</f>
        <v>SGP</v>
      </c>
      <c r="C1560" s="11">
        <v>4231259</v>
      </c>
      <c r="D1560" s="12">
        <v>2013</v>
      </c>
      <c r="E1560" s="13">
        <v>34766</v>
      </c>
      <c r="F1560" s="8">
        <v>8.2164670137186118</v>
      </c>
    </row>
    <row r="1561" spans="1:6" x14ac:dyDescent="0.25">
      <c r="A1561" s="4" t="s">
        <v>139</v>
      </c>
      <c r="B1561" s="4" t="str">
        <f>VLOOKUP(A1561,Codes!$G$2:$H$217,2,0)</f>
        <v>SGP</v>
      </c>
      <c r="C1561" s="11">
        <v>4286418</v>
      </c>
      <c r="D1561" s="16">
        <v>2014</v>
      </c>
      <c r="E1561" s="13">
        <v>38306</v>
      </c>
      <c r="F1561" s="8">
        <v>8.9365992770653726</v>
      </c>
    </row>
    <row r="1562" spans="1:6" x14ac:dyDescent="0.25">
      <c r="A1562" s="4" t="s">
        <v>139</v>
      </c>
      <c r="B1562" s="4" t="str">
        <f>VLOOKUP(A1562,Codes!$G$2:$H$217,2,0)</f>
        <v>SGP</v>
      </c>
      <c r="C1562" s="11">
        <v>4335049</v>
      </c>
      <c r="D1562" s="16">
        <v>2015</v>
      </c>
      <c r="E1562" s="13">
        <v>34076</v>
      </c>
      <c r="F1562" s="8">
        <v>7.860580122623757</v>
      </c>
    </row>
    <row r="1563" spans="1:6" x14ac:dyDescent="0.25">
      <c r="A1563" s="4" t="s">
        <v>139</v>
      </c>
      <c r="B1563" s="4" t="str">
        <f>VLOOKUP(A1563,Codes!$G$2:$H$217,2,0)</f>
        <v>SGP</v>
      </c>
      <c r="C1563" s="11">
        <v>4370443</v>
      </c>
      <c r="D1563" s="16">
        <v>2016</v>
      </c>
      <c r="E1563" s="13">
        <v>35020</v>
      </c>
      <c r="F1563" s="8">
        <v>8.0129176836306986</v>
      </c>
    </row>
    <row r="1564" spans="1:6" x14ac:dyDescent="0.25">
      <c r="A1564" s="4" t="s">
        <v>139</v>
      </c>
      <c r="B1564" s="4" t="str">
        <f>VLOOKUP(A1564,Codes!$G$2:$H$217,2,0)</f>
        <v>SGP</v>
      </c>
      <c r="C1564" s="11">
        <v>4333088</v>
      </c>
      <c r="D1564" s="16">
        <v>2017</v>
      </c>
      <c r="E1564" s="13">
        <v>37172</v>
      </c>
      <c r="F1564" s="8">
        <v>8.578639529130264</v>
      </c>
    </row>
    <row r="1565" spans="1:6" x14ac:dyDescent="0.25">
      <c r="A1565" s="4" t="s">
        <v>139</v>
      </c>
      <c r="B1565" s="4" t="str">
        <f>VLOOKUP(A1565,Codes!$G$2:$H$217,2,0)</f>
        <v>SGP</v>
      </c>
      <c r="C1565" s="11">
        <v>4299961</v>
      </c>
      <c r="D1565" s="16">
        <v>2018</v>
      </c>
      <c r="E1565" s="13">
        <v>43050</v>
      </c>
      <c r="F1565" s="8">
        <v>10.011718710937146</v>
      </c>
    </row>
    <row r="1566" spans="1:6" x14ac:dyDescent="0.25">
      <c r="A1566" s="4" t="s">
        <v>139</v>
      </c>
      <c r="B1566" s="4" t="str">
        <f>VLOOKUP(A1566,Codes!$G$2:$H$217,2,0)</f>
        <v>SGP</v>
      </c>
      <c r="C1566" s="11">
        <v>4293383</v>
      </c>
      <c r="D1566" s="16">
        <v>2019</v>
      </c>
      <c r="E1566" s="13">
        <v>43762</v>
      </c>
      <c r="F1566" s="8">
        <v>10.192894507664469</v>
      </c>
    </row>
    <row r="1567" spans="1:6" x14ac:dyDescent="0.25">
      <c r="A1567" s="4" t="s">
        <v>139</v>
      </c>
      <c r="B1567" s="4" t="str">
        <f>VLOOKUP(A1567,Codes!$G$2:$H$217,2,0)</f>
        <v>SGP</v>
      </c>
      <c r="C1567" s="11">
        <v>4227243</v>
      </c>
      <c r="D1567" s="16">
        <v>2020</v>
      </c>
      <c r="E1567" s="13">
        <v>42217</v>
      </c>
      <c r="F1567" s="8">
        <v>9.986887434670777</v>
      </c>
    </row>
    <row r="1568" spans="1:6" x14ac:dyDescent="0.25">
      <c r="A1568" s="3" t="s">
        <v>140</v>
      </c>
      <c r="B1568" s="4" t="str">
        <f>VLOOKUP(A1568,Codes!$G$2:$H$217,2,0)</f>
        <v>SVK</v>
      </c>
      <c r="C1568" s="11">
        <v>3857447</v>
      </c>
      <c r="D1568" s="12">
        <v>2006</v>
      </c>
      <c r="E1568" s="13">
        <v>13499</v>
      </c>
      <c r="F1568" s="8">
        <v>3.4994648014606553</v>
      </c>
    </row>
    <row r="1569" spans="1:6" x14ac:dyDescent="0.25">
      <c r="A1569" s="4" t="s">
        <v>140</v>
      </c>
      <c r="B1569" s="4" t="str">
        <f>VLOOKUP(A1569,Codes!$G$2:$H$217,2,0)</f>
        <v>SVK</v>
      </c>
      <c r="C1569" s="11">
        <v>3869817</v>
      </c>
      <c r="D1569" s="12">
        <v>2007</v>
      </c>
      <c r="E1569" s="13">
        <v>16004</v>
      </c>
      <c r="F1569" s="8">
        <v>4.1355960759901569</v>
      </c>
    </row>
    <row r="1570" spans="1:6" x14ac:dyDescent="0.25">
      <c r="A1570" s="4" t="s">
        <v>140</v>
      </c>
      <c r="B1570" s="4" t="str">
        <f>VLOOKUP(A1570,Codes!$G$2:$H$217,2,0)</f>
        <v>SVK</v>
      </c>
      <c r="C1570" s="11">
        <v>3881205</v>
      </c>
      <c r="D1570" s="12">
        <v>2008</v>
      </c>
      <c r="E1570" s="13">
        <v>17603</v>
      </c>
      <c r="F1570" s="8">
        <v>4.5354471098537701</v>
      </c>
    </row>
    <row r="1571" spans="1:6" x14ac:dyDescent="0.25">
      <c r="A1571" s="4" t="s">
        <v>140</v>
      </c>
      <c r="B1571" s="4" t="str">
        <f>VLOOKUP(A1571,Codes!$G$2:$H$217,2,0)</f>
        <v>SVK</v>
      </c>
      <c r="C1571" s="11">
        <v>3890304</v>
      </c>
      <c r="D1571" s="12">
        <v>2009</v>
      </c>
      <c r="E1571" s="13">
        <v>15805</v>
      </c>
      <c r="F1571" s="8">
        <v>4.0626645115651634</v>
      </c>
    </row>
    <row r="1572" spans="1:6" x14ac:dyDescent="0.25">
      <c r="A1572" s="4" t="s">
        <v>140</v>
      </c>
      <c r="B1572" s="4" t="str">
        <f>VLOOKUP(A1572,Codes!$G$2:$H$217,2,0)</f>
        <v>SVK</v>
      </c>
      <c r="C1572" s="11">
        <v>3893288</v>
      </c>
      <c r="D1572" s="12">
        <v>2010</v>
      </c>
      <c r="E1572" s="13">
        <v>17519</v>
      </c>
      <c r="F1572" s="8">
        <v>4.499795545564572</v>
      </c>
    </row>
    <row r="1573" spans="1:6" x14ac:dyDescent="0.25">
      <c r="A1573" s="4" t="s">
        <v>140</v>
      </c>
      <c r="B1573" s="4" t="str">
        <f>VLOOKUP(A1573,Codes!$G$2:$H$217,2,0)</f>
        <v>SVK</v>
      </c>
      <c r="C1573" s="11">
        <v>3887870</v>
      </c>
      <c r="D1573" s="12">
        <v>2011</v>
      </c>
      <c r="E1573" s="13">
        <v>19003</v>
      </c>
      <c r="F1573" s="8">
        <v>4.8877663090586871</v>
      </c>
    </row>
    <row r="1574" spans="1:6" x14ac:dyDescent="0.25">
      <c r="A1574" s="4" t="s">
        <v>140</v>
      </c>
      <c r="B1574" s="4" t="str">
        <f>VLOOKUP(A1574,Codes!$G$2:$H$217,2,0)</f>
        <v>SVK</v>
      </c>
      <c r="C1574" s="11">
        <v>3882636</v>
      </c>
      <c r="D1574" s="12">
        <v>2012</v>
      </c>
      <c r="E1574" s="13">
        <v>19950</v>
      </c>
      <c r="F1574" s="8">
        <v>5.1382617376442195</v>
      </c>
    </row>
    <row r="1575" spans="1:6" x14ac:dyDescent="0.25">
      <c r="A1575" s="4" t="s">
        <v>140</v>
      </c>
      <c r="B1575" s="4" t="str">
        <f>VLOOKUP(A1575,Codes!$G$2:$H$217,2,0)</f>
        <v>SVK</v>
      </c>
      <c r="C1575" s="11">
        <v>3871841</v>
      </c>
      <c r="D1575" s="12">
        <v>2013</v>
      </c>
      <c r="E1575" s="13">
        <v>26749</v>
      </c>
      <c r="F1575" s="8">
        <v>6.9085998107876847</v>
      </c>
    </row>
    <row r="1576" spans="1:6" x14ac:dyDescent="0.25">
      <c r="A1576" s="4" t="s">
        <v>140</v>
      </c>
      <c r="B1576" s="4" t="str">
        <f>VLOOKUP(A1576,Codes!$G$2:$H$217,2,0)</f>
        <v>SVK</v>
      </c>
      <c r="C1576" s="11">
        <v>3855758</v>
      </c>
      <c r="D1576" s="16">
        <v>2014</v>
      </c>
      <c r="E1576" s="13">
        <v>12884</v>
      </c>
      <c r="F1576" s="8">
        <v>3.3414960171255559</v>
      </c>
    </row>
    <row r="1577" spans="1:6" x14ac:dyDescent="0.25">
      <c r="A1577" s="4" t="s">
        <v>140</v>
      </c>
      <c r="B1577" s="4" t="str">
        <f>VLOOKUP(A1577,Codes!$G$2:$H$217,2,0)</f>
        <v>SVK</v>
      </c>
      <c r="C1577" s="11">
        <v>3834363</v>
      </c>
      <c r="D1577" s="16">
        <v>2015</v>
      </c>
      <c r="E1577" s="13">
        <v>12445</v>
      </c>
      <c r="F1577" s="8">
        <v>3.2456499293363725</v>
      </c>
    </row>
    <row r="1578" spans="1:6" x14ac:dyDescent="0.25">
      <c r="A1578" s="4" t="s">
        <v>140</v>
      </c>
      <c r="B1578" s="4" t="str">
        <f>VLOOKUP(A1578,Codes!$G$2:$H$217,2,0)</f>
        <v>SVK</v>
      </c>
      <c r="C1578" s="11">
        <v>3811923</v>
      </c>
      <c r="D1578" s="16">
        <v>2016</v>
      </c>
      <c r="E1578" s="13">
        <v>18072</v>
      </c>
      <c r="F1578" s="8">
        <v>4.7409142314784427</v>
      </c>
    </row>
    <row r="1579" spans="1:6" x14ac:dyDescent="0.25">
      <c r="A1579" s="4" t="s">
        <v>140</v>
      </c>
      <c r="B1579" s="4" t="str">
        <f>VLOOKUP(A1579,Codes!$G$2:$H$217,2,0)</f>
        <v>SVK</v>
      </c>
      <c r="C1579" s="11">
        <v>3784686</v>
      </c>
      <c r="D1579" s="16">
        <v>2017</v>
      </c>
      <c r="E1579" s="13">
        <v>19813</v>
      </c>
      <c r="F1579" s="8">
        <v>5.2350445981516032</v>
      </c>
    </row>
    <row r="1580" spans="1:6" x14ac:dyDescent="0.25">
      <c r="A1580" s="4" t="s">
        <v>140</v>
      </c>
      <c r="B1580" s="4" t="str">
        <f>VLOOKUP(A1580,Codes!$G$2:$H$217,2,0)</f>
        <v>SVK</v>
      </c>
      <c r="C1580" s="11">
        <v>3754166</v>
      </c>
      <c r="D1580" s="16">
        <v>2018</v>
      </c>
      <c r="E1580" s="13">
        <v>19723</v>
      </c>
      <c r="F1580" s="8">
        <v>5.2536302337190204</v>
      </c>
    </row>
    <row r="1581" spans="1:6" x14ac:dyDescent="0.25">
      <c r="A1581" s="4" t="s">
        <v>140</v>
      </c>
      <c r="B1581" s="4" t="str">
        <f>VLOOKUP(A1581,Codes!$G$2:$H$217,2,0)</f>
        <v>SVK</v>
      </c>
      <c r="C1581" s="11">
        <v>3725177</v>
      </c>
      <c r="D1581" s="16">
        <v>2019</v>
      </c>
      <c r="E1581" s="13">
        <v>20566</v>
      </c>
      <c r="F1581" s="8">
        <v>5.5208114943263098</v>
      </c>
    </row>
    <row r="1582" spans="1:6" x14ac:dyDescent="0.25">
      <c r="A1582" s="4" t="s">
        <v>140</v>
      </c>
      <c r="B1582" s="4" t="str">
        <f>VLOOKUP(A1582,Codes!$G$2:$H$217,2,0)</f>
        <v>SVK</v>
      </c>
      <c r="C1582" s="11">
        <v>3698210</v>
      </c>
      <c r="D1582" s="16">
        <v>2020</v>
      </c>
      <c r="E1582" s="13">
        <v>18969</v>
      </c>
      <c r="F1582" s="8">
        <v>5.129238199020608</v>
      </c>
    </row>
    <row r="1583" spans="1:6" x14ac:dyDescent="0.25">
      <c r="A1583" s="3" t="s">
        <v>141</v>
      </c>
      <c r="B1583" s="4" t="str">
        <f>VLOOKUP(A1583,Codes!$G$2:$H$217,2,0)</f>
        <v>SVN</v>
      </c>
      <c r="C1583" s="11">
        <v>1413518</v>
      </c>
      <c r="D1583" s="23">
        <v>2006</v>
      </c>
      <c r="E1583" s="13">
        <v>3892</v>
      </c>
      <c r="F1583" s="8">
        <v>2.7534138228165475</v>
      </c>
    </row>
    <row r="1584" spans="1:6" x14ac:dyDescent="0.25">
      <c r="A1584" s="4" t="s">
        <v>141</v>
      </c>
      <c r="B1584" s="4" t="str">
        <f>VLOOKUP(A1584,Codes!$G$2:$H$217,2,0)</f>
        <v>SVN</v>
      </c>
      <c r="C1584" s="11">
        <v>1417132</v>
      </c>
      <c r="D1584" s="23">
        <v>2007</v>
      </c>
      <c r="E1584" s="13">
        <v>4957</v>
      </c>
      <c r="F1584" s="8">
        <v>3.4979098630191121</v>
      </c>
    </row>
    <row r="1585" spans="1:6" x14ac:dyDescent="0.25">
      <c r="A1585" s="4" t="s">
        <v>141</v>
      </c>
      <c r="B1585" s="4" t="str">
        <f>VLOOKUP(A1585,Codes!$G$2:$H$217,2,0)</f>
        <v>SVN</v>
      </c>
      <c r="C1585" s="11">
        <v>1413361</v>
      </c>
      <c r="D1585" s="23">
        <v>2008</v>
      </c>
      <c r="E1585" s="13">
        <v>6091</v>
      </c>
      <c r="F1585" s="8">
        <v>4.3095854491527641</v>
      </c>
    </row>
    <row r="1586" spans="1:6" x14ac:dyDescent="0.25">
      <c r="A1586" s="4" t="s">
        <v>141</v>
      </c>
      <c r="B1586" s="4" t="str">
        <f>VLOOKUP(A1586,Codes!$G$2:$H$217,2,0)</f>
        <v>SVN</v>
      </c>
      <c r="C1586" s="11">
        <v>1419821</v>
      </c>
      <c r="D1586" s="23">
        <v>2009</v>
      </c>
      <c r="E1586" s="13">
        <v>5837</v>
      </c>
      <c r="F1586" s="8">
        <v>4.1110816081745511</v>
      </c>
    </row>
    <row r="1587" spans="1:6" x14ac:dyDescent="0.25">
      <c r="A1587" s="4" t="s">
        <v>141</v>
      </c>
      <c r="B1587" s="4" t="str">
        <f>VLOOKUP(A1587,Codes!$G$2:$H$217,2,0)</f>
        <v>SVN</v>
      </c>
      <c r="C1587" s="11">
        <v>1420088</v>
      </c>
      <c r="D1587" s="23">
        <v>2010</v>
      </c>
      <c r="E1587" s="13">
        <v>5441</v>
      </c>
      <c r="F1587" s="8">
        <v>3.8314526987059958</v>
      </c>
    </row>
    <row r="1588" spans="1:6" x14ac:dyDescent="0.25">
      <c r="A1588" s="4" t="s">
        <v>141</v>
      </c>
      <c r="B1588" s="4" t="str">
        <f>VLOOKUP(A1588,Codes!$G$2:$H$217,2,0)</f>
        <v>SVN</v>
      </c>
      <c r="C1588" s="11">
        <v>1414614</v>
      </c>
      <c r="D1588" s="23">
        <v>2011</v>
      </c>
      <c r="E1588" s="13">
        <v>5754</v>
      </c>
      <c r="F1588" s="8">
        <v>4.0675406860104593</v>
      </c>
    </row>
    <row r="1589" spans="1:6" x14ac:dyDescent="0.25">
      <c r="A1589" s="4" t="s">
        <v>141</v>
      </c>
      <c r="B1589" s="4" t="str">
        <f>VLOOKUP(A1589,Codes!$G$2:$H$217,2,0)</f>
        <v>SVN</v>
      </c>
      <c r="C1589" s="11">
        <v>1410613</v>
      </c>
      <c r="D1589" s="23">
        <v>2012</v>
      </c>
      <c r="E1589" s="13">
        <v>6177</v>
      </c>
      <c r="F1589" s="8">
        <v>4.3789473087232285</v>
      </c>
    </row>
    <row r="1590" spans="1:6" x14ac:dyDescent="0.25">
      <c r="A1590" s="4" t="s">
        <v>141</v>
      </c>
      <c r="B1590" s="4" t="str">
        <f>VLOOKUP(A1590,Codes!$G$2:$H$217,2,0)</f>
        <v>SVN</v>
      </c>
      <c r="C1590" s="11">
        <v>1405720</v>
      </c>
      <c r="D1590" s="23">
        <v>2013</v>
      </c>
      <c r="E1590" s="13">
        <v>6107</v>
      </c>
      <c r="F1590" s="8">
        <v>4.3443929089719147</v>
      </c>
    </row>
    <row r="1591" spans="1:6" x14ac:dyDescent="0.25">
      <c r="A1591" s="4" t="s">
        <v>141</v>
      </c>
      <c r="B1591" s="4" t="str">
        <f>VLOOKUP(A1591,Codes!$G$2:$H$217,2,0)</f>
        <v>SVN</v>
      </c>
      <c r="C1591" s="11">
        <v>1398718</v>
      </c>
      <c r="D1591" s="16">
        <v>2014</v>
      </c>
      <c r="E1591" s="13">
        <v>6243</v>
      </c>
      <c r="F1591" s="8">
        <v>4.4633728886022768</v>
      </c>
    </row>
    <row r="1592" spans="1:6" x14ac:dyDescent="0.25">
      <c r="A1592" s="4" t="s">
        <v>141</v>
      </c>
      <c r="B1592" s="4" t="str">
        <f>VLOOKUP(A1592,Codes!$G$2:$H$217,2,0)</f>
        <v>SVN</v>
      </c>
      <c r="C1592" s="11">
        <v>1389102</v>
      </c>
      <c r="D1592" s="16">
        <v>2015</v>
      </c>
      <c r="E1592" s="13">
        <v>5478</v>
      </c>
      <c r="F1592" s="8">
        <v>3.9435549009360003</v>
      </c>
    </row>
    <row r="1593" spans="1:6" x14ac:dyDescent="0.25">
      <c r="A1593" s="4" t="s">
        <v>141</v>
      </c>
      <c r="B1593" s="4" t="str">
        <f>VLOOKUP(A1593,Codes!$G$2:$H$217,2,0)</f>
        <v>SVN</v>
      </c>
      <c r="C1593" s="11">
        <v>1378214</v>
      </c>
      <c r="D1593" s="16">
        <v>2016</v>
      </c>
      <c r="E1593" s="13">
        <v>4239</v>
      </c>
      <c r="F1593" s="8">
        <v>3.0757197358320263</v>
      </c>
    </row>
    <row r="1594" spans="1:6" x14ac:dyDescent="0.25">
      <c r="A1594" s="4" t="s">
        <v>141</v>
      </c>
      <c r="B1594" s="4" t="str">
        <f>VLOOKUP(A1594,Codes!$G$2:$H$217,2,0)</f>
        <v>SVN</v>
      </c>
      <c r="C1594" s="11">
        <v>1365356</v>
      </c>
      <c r="D1594" s="16">
        <v>2017</v>
      </c>
      <c r="E1594" s="13">
        <v>4512</v>
      </c>
      <c r="F1594" s="8">
        <v>3.3046326379347217</v>
      </c>
    </row>
    <row r="1595" spans="1:6" x14ac:dyDescent="0.25">
      <c r="A1595" s="4" t="s">
        <v>141</v>
      </c>
      <c r="B1595" s="4" t="str">
        <f>VLOOKUP(A1595,Codes!$G$2:$H$217,2,0)</f>
        <v>SVN</v>
      </c>
      <c r="C1595" s="11">
        <v>1355732</v>
      </c>
      <c r="D1595" s="16">
        <v>2018</v>
      </c>
      <c r="E1595" s="13">
        <v>4118</v>
      </c>
      <c r="F1595" s="8">
        <v>3.0374734829597592</v>
      </c>
    </row>
    <row r="1596" spans="1:6" x14ac:dyDescent="0.25">
      <c r="A1596" s="4" t="s">
        <v>141</v>
      </c>
      <c r="B1596" s="4" t="str">
        <f>VLOOKUP(A1596,Codes!$G$2:$H$217,2,0)</f>
        <v>SVN</v>
      </c>
      <c r="C1596" s="11">
        <v>1351354</v>
      </c>
      <c r="D1596" s="16">
        <v>2019</v>
      </c>
      <c r="E1596" s="13">
        <v>3911</v>
      </c>
      <c r="F1596" s="8">
        <v>2.894134327496718</v>
      </c>
    </row>
    <row r="1597" spans="1:6" x14ac:dyDescent="0.25">
      <c r="A1597" s="4" t="s">
        <v>141</v>
      </c>
      <c r="B1597" s="4" t="str">
        <f>VLOOKUP(A1597,Codes!$G$2:$H$217,2,0)</f>
        <v>SVN</v>
      </c>
      <c r="C1597" s="11">
        <v>1346723</v>
      </c>
      <c r="D1597" s="16">
        <v>2020</v>
      </c>
      <c r="E1597" s="13">
        <v>3265</v>
      </c>
      <c r="F1597" s="8">
        <v>2.4244035336145591</v>
      </c>
    </row>
    <row r="1598" spans="1:6" x14ac:dyDescent="0.25">
      <c r="A1598" s="3" t="s">
        <v>142</v>
      </c>
      <c r="B1598" s="4" t="str">
        <f>VLOOKUP(A1598,Codes!$G$2:$H$217,2,0)</f>
        <v>ZAF</v>
      </c>
      <c r="C1598" s="11">
        <v>31436933</v>
      </c>
      <c r="D1598" s="12">
        <v>2006</v>
      </c>
      <c r="E1598" s="13">
        <v>306082</v>
      </c>
      <c r="F1598" s="8">
        <v>9.7363823627451183</v>
      </c>
    </row>
    <row r="1599" spans="1:6" x14ac:dyDescent="0.25">
      <c r="A1599" s="4" t="s">
        <v>142</v>
      </c>
      <c r="B1599" s="4" t="str">
        <f>VLOOKUP(A1599,Codes!$G$2:$H$217,2,0)</f>
        <v>ZAF</v>
      </c>
      <c r="C1599" s="11">
        <v>31968712</v>
      </c>
      <c r="D1599" s="12">
        <v>2007</v>
      </c>
      <c r="E1599" s="13">
        <v>326303</v>
      </c>
      <c r="F1599" s="8">
        <v>10.206948593987772</v>
      </c>
    </row>
    <row r="1600" spans="1:6" x14ac:dyDescent="0.25">
      <c r="A1600" s="4" t="s">
        <v>142</v>
      </c>
      <c r="B1600" s="4" t="str">
        <f>VLOOKUP(A1600,Codes!$G$2:$H$217,2,0)</f>
        <v>ZAF</v>
      </c>
      <c r="C1600" s="11">
        <v>32491761</v>
      </c>
      <c r="D1600" s="12">
        <v>2008</v>
      </c>
      <c r="E1600" s="13">
        <v>287704</v>
      </c>
      <c r="F1600" s="8">
        <v>8.8546754975822939</v>
      </c>
    </row>
    <row r="1601" spans="1:6" x14ac:dyDescent="0.25">
      <c r="A1601" s="4" t="s">
        <v>142</v>
      </c>
      <c r="B1601" s="4" t="str">
        <f>VLOOKUP(A1601,Codes!$G$2:$H$217,2,0)</f>
        <v>ZAF</v>
      </c>
      <c r="C1601" s="11">
        <v>33027157</v>
      </c>
      <c r="D1601" s="12">
        <v>2009</v>
      </c>
      <c r="E1601" s="13">
        <v>279397</v>
      </c>
      <c r="F1601" s="8">
        <v>8.4596140079510942</v>
      </c>
    </row>
    <row r="1602" spans="1:6" x14ac:dyDescent="0.25">
      <c r="A1602" s="4" t="s">
        <v>142</v>
      </c>
      <c r="B1602" s="4" t="str">
        <f>VLOOKUP(A1602,Codes!$G$2:$H$217,2,0)</f>
        <v>ZAF</v>
      </c>
      <c r="C1602" s="11">
        <v>33586672</v>
      </c>
      <c r="D1602" s="12">
        <v>2010</v>
      </c>
      <c r="E1602" s="13">
        <v>206826</v>
      </c>
      <c r="F1602" s="8">
        <v>6.157978379042734</v>
      </c>
    </row>
    <row r="1603" spans="1:6" x14ac:dyDescent="0.25">
      <c r="A1603" s="4" t="s">
        <v>142</v>
      </c>
      <c r="B1603" s="4" t="str">
        <f>VLOOKUP(A1603,Codes!$G$2:$H$217,2,0)</f>
        <v>ZAF</v>
      </c>
      <c r="C1603" s="11">
        <v>34106325</v>
      </c>
      <c r="D1603" s="12">
        <v>2011</v>
      </c>
      <c r="E1603" s="13">
        <v>180877</v>
      </c>
      <c r="F1603" s="8">
        <v>5.3033271687876073</v>
      </c>
    </row>
    <row r="1604" spans="1:6" x14ac:dyDescent="0.25">
      <c r="A1604" s="4" t="s">
        <v>142</v>
      </c>
      <c r="B1604" s="4" t="str">
        <f>VLOOKUP(A1604,Codes!$G$2:$H$217,2,0)</f>
        <v>ZAF</v>
      </c>
      <c r="C1604" s="11">
        <v>34672869</v>
      </c>
      <c r="D1604" s="12">
        <v>2012</v>
      </c>
      <c r="E1604" s="13">
        <v>220910</v>
      </c>
      <c r="F1604" s="8">
        <v>6.3712639412677383</v>
      </c>
    </row>
    <row r="1605" spans="1:6" x14ac:dyDescent="0.25">
      <c r="A1605" s="4" t="s">
        <v>142</v>
      </c>
      <c r="B1605" s="4" t="str">
        <f>VLOOKUP(A1605,Codes!$G$2:$H$217,2,0)</f>
        <v>ZAF</v>
      </c>
      <c r="C1605" s="11">
        <v>35259374</v>
      </c>
      <c r="D1605" s="12">
        <v>2013</v>
      </c>
      <c r="E1605" s="13">
        <v>239596</v>
      </c>
      <c r="F1605" s="8">
        <v>6.7952425927924871</v>
      </c>
    </row>
    <row r="1606" spans="1:6" x14ac:dyDescent="0.25">
      <c r="A1606" s="4" t="s">
        <v>142</v>
      </c>
      <c r="B1606" s="4" t="str">
        <f>VLOOKUP(A1606,Codes!$G$2:$H$217,2,0)</f>
        <v>ZAF</v>
      </c>
      <c r="C1606" s="11">
        <v>35832808</v>
      </c>
      <c r="D1606" s="16">
        <v>2014</v>
      </c>
      <c r="E1606" s="13">
        <v>235602</v>
      </c>
      <c r="F1606" s="8">
        <v>6.5750359279685808</v>
      </c>
    </row>
    <row r="1607" spans="1:6" x14ac:dyDescent="0.25">
      <c r="A1607" s="4" t="s">
        <v>142</v>
      </c>
      <c r="B1607" s="4" t="str">
        <f>VLOOKUP(A1607,Codes!$G$2:$H$217,2,0)</f>
        <v>ZAF</v>
      </c>
      <c r="C1607" s="11">
        <v>36377456</v>
      </c>
      <c r="D1607" s="16">
        <v>2015</v>
      </c>
      <c r="E1607" s="13">
        <v>315677</v>
      </c>
      <c r="F1607" s="8">
        <v>8.6778195814462684</v>
      </c>
    </row>
    <row r="1608" spans="1:6" x14ac:dyDescent="0.25">
      <c r="A1608" s="4" t="s">
        <v>142</v>
      </c>
      <c r="B1608" s="4" t="str">
        <f>VLOOKUP(A1608,Codes!$G$2:$H$217,2,0)</f>
        <v>ZAF</v>
      </c>
      <c r="C1608" s="11">
        <v>36908427</v>
      </c>
      <c r="D1608" s="16">
        <v>2016</v>
      </c>
      <c r="E1608" s="13">
        <v>376727</v>
      </c>
      <c r="F1608" s="8">
        <v>10.207072764168466</v>
      </c>
    </row>
    <row r="1609" spans="1:6" x14ac:dyDescent="0.25">
      <c r="A1609" s="4" t="s">
        <v>142</v>
      </c>
      <c r="B1609" s="4" t="str">
        <f>VLOOKUP(A1609,Codes!$G$2:$H$217,2,0)</f>
        <v>ZAF</v>
      </c>
      <c r="C1609" s="11">
        <v>38423838</v>
      </c>
      <c r="D1609" s="16">
        <v>2019</v>
      </c>
      <c r="E1609" s="17">
        <v>409536</v>
      </c>
      <c r="F1609" s="8">
        <v>10.658383475383172</v>
      </c>
    </row>
    <row r="1610" spans="1:6" x14ac:dyDescent="0.25">
      <c r="A1610" s="4" t="s">
        <v>142</v>
      </c>
      <c r="B1610" s="4" t="str">
        <f>VLOOKUP(A1610,Codes!$G$2:$H$217,2,0)</f>
        <v>ZAF</v>
      </c>
      <c r="C1610" s="11">
        <v>38959544</v>
      </c>
      <c r="D1610" s="16">
        <v>2020</v>
      </c>
      <c r="E1610" s="17">
        <v>486900</v>
      </c>
      <c r="F1610" s="8">
        <v>12.497579540458686</v>
      </c>
    </row>
    <row r="1611" spans="1:6" x14ac:dyDescent="0.25">
      <c r="A1611" s="3" t="s">
        <v>143</v>
      </c>
      <c r="B1611" s="4" t="str">
        <f>VLOOKUP(A1611,Codes!$G$2:$H$217,2,0)</f>
        <v>SSD</v>
      </c>
      <c r="C1611" s="11">
        <v>4159346</v>
      </c>
      <c r="D1611" s="12">
        <v>2006</v>
      </c>
      <c r="E1611" s="18">
        <v>333</v>
      </c>
      <c r="F1611" s="8">
        <v>8.0060663383137637E-2</v>
      </c>
    </row>
    <row r="1612" spans="1:6" x14ac:dyDescent="0.25">
      <c r="A1612" s="4" t="s">
        <v>143</v>
      </c>
      <c r="B1612" s="4" t="str">
        <f>VLOOKUP(A1612,Codes!$G$2:$H$217,2,0)</f>
        <v>SSD</v>
      </c>
      <c r="C1612" s="11">
        <v>4379907</v>
      </c>
      <c r="D1612" s="12">
        <v>2007</v>
      </c>
      <c r="E1612" s="18">
        <v>1176</v>
      </c>
      <c r="F1612" s="8">
        <v>0.26849885168794679</v>
      </c>
    </row>
    <row r="1613" spans="1:6" x14ac:dyDescent="0.25">
      <c r="A1613" s="4" t="s">
        <v>143</v>
      </c>
      <c r="B1613" s="4" t="str">
        <f>VLOOKUP(A1613,Codes!$G$2:$H$217,2,0)</f>
        <v>SSD</v>
      </c>
      <c r="C1613" s="11">
        <v>4609646</v>
      </c>
      <c r="D1613" s="12">
        <v>2008</v>
      </c>
      <c r="E1613" s="18">
        <v>3221</v>
      </c>
      <c r="F1613" s="8">
        <v>0.69875213845054485</v>
      </c>
    </row>
    <row r="1614" spans="1:6" x14ac:dyDescent="0.25">
      <c r="A1614" s="4" t="s">
        <v>143</v>
      </c>
      <c r="B1614" s="4" t="str">
        <f>VLOOKUP(A1614,Codes!$G$2:$H$217,2,0)</f>
        <v>SSD</v>
      </c>
      <c r="C1614" s="11">
        <v>4836891</v>
      </c>
      <c r="D1614" s="12">
        <v>2009</v>
      </c>
      <c r="E1614" s="18">
        <v>2505</v>
      </c>
      <c r="F1614" s="8">
        <v>0.5178946558853611</v>
      </c>
    </row>
    <row r="1615" spans="1:6" x14ac:dyDescent="0.25">
      <c r="A1615" s="4" t="s">
        <v>143</v>
      </c>
      <c r="B1615" s="4" t="str">
        <f>VLOOKUP(A1615,Codes!$G$2:$H$217,2,0)</f>
        <v>SSD</v>
      </c>
      <c r="C1615" s="11">
        <v>5053892</v>
      </c>
      <c r="D1615" s="12">
        <v>2010</v>
      </c>
      <c r="E1615" s="18">
        <v>937</v>
      </c>
      <c r="F1615" s="8">
        <v>0.18540166667590047</v>
      </c>
    </row>
    <row r="1616" spans="1:6" x14ac:dyDescent="0.25">
      <c r="A1616" s="4" t="s">
        <v>143</v>
      </c>
      <c r="B1616" s="4" t="str">
        <f>VLOOKUP(A1616,Codes!$G$2:$H$217,2,0)</f>
        <v>SSD</v>
      </c>
      <c r="C1616" s="11">
        <v>5232807</v>
      </c>
      <c r="D1616" s="12">
        <v>2011</v>
      </c>
      <c r="E1616" s="18">
        <v>4459</v>
      </c>
      <c r="F1616" s="8">
        <v>0.85212391743093141</v>
      </c>
    </row>
    <row r="1617" spans="1:6" x14ac:dyDescent="0.25">
      <c r="A1617" s="4" t="s">
        <v>143</v>
      </c>
      <c r="B1617" s="4" t="str">
        <f>VLOOKUP(A1617,Codes!$G$2:$H$217,2,0)</f>
        <v>SSD</v>
      </c>
      <c r="C1617" s="11">
        <v>5396987</v>
      </c>
      <c r="D1617" s="12">
        <v>2012</v>
      </c>
      <c r="E1617" s="18">
        <v>4430</v>
      </c>
      <c r="F1617" s="8">
        <v>0.82082836219542488</v>
      </c>
    </row>
    <row r="1618" spans="1:6" x14ac:dyDescent="0.25">
      <c r="A1618" s="4" t="s">
        <v>143</v>
      </c>
      <c r="B1618" s="4" t="str">
        <f>VLOOKUP(A1618,Codes!$G$2:$H$217,2,0)</f>
        <v>SSD</v>
      </c>
      <c r="C1618" s="11">
        <v>5545825</v>
      </c>
      <c r="D1618" s="12">
        <v>2013</v>
      </c>
      <c r="E1618" s="18">
        <v>3627</v>
      </c>
      <c r="F1618" s="8">
        <v>0.65400549061681534</v>
      </c>
    </row>
    <row r="1619" spans="1:6" x14ac:dyDescent="0.25">
      <c r="A1619" s="4" t="s">
        <v>143</v>
      </c>
      <c r="B1619" s="4" t="str">
        <f>VLOOKUP(A1619,Codes!$G$2:$H$217,2,0)</f>
        <v>SSD</v>
      </c>
      <c r="C1619" s="11">
        <v>5678758</v>
      </c>
      <c r="D1619" s="16">
        <v>2014</v>
      </c>
      <c r="E1619" s="18">
        <v>1961</v>
      </c>
      <c r="F1619" s="8">
        <v>0.34532198765997779</v>
      </c>
    </row>
    <row r="1620" spans="1:6" x14ac:dyDescent="0.25">
      <c r="A1620" s="4" t="s">
        <v>143</v>
      </c>
      <c r="B1620" s="4" t="str">
        <f>VLOOKUP(A1620,Codes!$G$2:$H$217,2,0)</f>
        <v>SSD</v>
      </c>
      <c r="C1620" s="11">
        <v>5797444</v>
      </c>
      <c r="D1620" s="16">
        <v>2015</v>
      </c>
      <c r="E1620" s="18">
        <v>759</v>
      </c>
      <c r="F1620" s="8">
        <v>0.13091976395114813</v>
      </c>
    </row>
    <row r="1621" spans="1:6" x14ac:dyDescent="0.25">
      <c r="A1621" s="4" t="s">
        <v>143</v>
      </c>
      <c r="B1621" s="4" t="str">
        <f>VLOOKUP(A1621,Codes!$G$2:$H$217,2,0)</f>
        <v>SSD</v>
      </c>
      <c r="C1621" s="11">
        <v>5882417</v>
      </c>
      <c r="D1621" s="16">
        <v>2016</v>
      </c>
      <c r="E1621" s="18">
        <v>1765</v>
      </c>
      <c r="F1621" s="8">
        <v>0.30004673249108321</v>
      </c>
    </row>
    <row r="1622" spans="1:6" x14ac:dyDescent="0.25">
      <c r="A1622" s="3" t="s">
        <v>144</v>
      </c>
      <c r="B1622" s="4" t="str">
        <f>VLOOKUP(A1622,Codes!$G$2:$H$217,2,0)</f>
        <v>ESP</v>
      </c>
      <c r="C1622" s="11">
        <v>30593189</v>
      </c>
      <c r="D1622" s="12">
        <v>2006</v>
      </c>
      <c r="E1622" s="18">
        <v>141830</v>
      </c>
      <c r="F1622" s="8">
        <v>4.6359992088435114</v>
      </c>
    </row>
    <row r="1623" spans="1:6" x14ac:dyDescent="0.25">
      <c r="A1623" s="4" t="s">
        <v>144</v>
      </c>
      <c r="B1623" s="4" t="str">
        <f>VLOOKUP(A1623,Codes!$G$2:$H$217,2,0)</f>
        <v>ESP</v>
      </c>
      <c r="C1623" s="11">
        <v>31079725</v>
      </c>
      <c r="D1623" s="12">
        <v>2007</v>
      </c>
      <c r="E1623" s="18">
        <v>138879</v>
      </c>
      <c r="F1623" s="8">
        <v>4.4684758311085444</v>
      </c>
    </row>
    <row r="1624" spans="1:6" x14ac:dyDescent="0.25">
      <c r="A1624" s="4" t="s">
        <v>144</v>
      </c>
      <c r="B1624" s="4" t="str">
        <f>VLOOKUP(A1624,Codes!$G$2:$H$217,2,0)</f>
        <v>ESP</v>
      </c>
      <c r="C1624" s="11">
        <v>31486311</v>
      </c>
      <c r="D1624" s="12">
        <v>2008</v>
      </c>
      <c r="E1624" s="18">
        <v>99473</v>
      </c>
      <c r="F1624" s="8">
        <v>3.1592459338917154</v>
      </c>
    </row>
    <row r="1625" spans="1:6" x14ac:dyDescent="0.25">
      <c r="A1625" s="4" t="s">
        <v>144</v>
      </c>
      <c r="B1625" s="4" t="str">
        <f>VLOOKUP(A1625,Codes!$G$2:$H$217,2,0)</f>
        <v>ESP</v>
      </c>
      <c r="C1625" s="11">
        <v>31675586</v>
      </c>
      <c r="D1625" s="12">
        <v>2009</v>
      </c>
      <c r="E1625" s="18">
        <v>74333</v>
      </c>
      <c r="F1625" s="8">
        <v>2.3466969166726703</v>
      </c>
    </row>
    <row r="1626" spans="1:6" x14ac:dyDescent="0.25">
      <c r="A1626" s="4" t="s">
        <v>144</v>
      </c>
      <c r="B1626" s="4" t="str">
        <f>VLOOKUP(A1626,Codes!$G$2:$H$217,2,0)</f>
        <v>ESP</v>
      </c>
      <c r="C1626" s="11">
        <v>31743266</v>
      </c>
      <c r="D1626" s="12">
        <v>2010</v>
      </c>
      <c r="E1626" s="18">
        <v>75885</v>
      </c>
      <c r="F1626" s="8">
        <v>2.3905857702228874</v>
      </c>
    </row>
    <row r="1627" spans="1:6" x14ac:dyDescent="0.25">
      <c r="A1627" s="4" t="s">
        <v>144</v>
      </c>
      <c r="B1627" s="4" t="str">
        <f>VLOOKUP(A1627,Codes!$G$2:$H$217,2,0)</f>
        <v>ESP</v>
      </c>
      <c r="C1627" s="11">
        <v>31656950</v>
      </c>
      <c r="D1627" s="12">
        <v>2011</v>
      </c>
      <c r="E1627" s="18">
        <v>81027</v>
      </c>
      <c r="F1627" s="8">
        <v>2.5595327408357407</v>
      </c>
    </row>
    <row r="1628" spans="1:6" x14ac:dyDescent="0.25">
      <c r="A1628" s="4" t="s">
        <v>144</v>
      </c>
      <c r="B1628" s="4" t="str">
        <f>VLOOKUP(A1628,Codes!$G$2:$H$217,2,0)</f>
        <v>ESP</v>
      </c>
      <c r="C1628" s="11">
        <v>31516639</v>
      </c>
      <c r="D1628" s="12">
        <v>2012</v>
      </c>
      <c r="E1628" s="18">
        <v>84399</v>
      </c>
      <c r="F1628" s="8">
        <v>2.6779187971153902</v>
      </c>
    </row>
    <row r="1629" spans="1:6" x14ac:dyDescent="0.25">
      <c r="A1629" s="4" t="s">
        <v>144</v>
      </c>
      <c r="B1629" s="4" t="str">
        <f>VLOOKUP(A1629,Codes!$G$2:$H$217,2,0)</f>
        <v>ESP</v>
      </c>
      <c r="C1629" s="11">
        <v>31273135</v>
      </c>
      <c r="D1629" s="12">
        <v>2013</v>
      </c>
      <c r="E1629" s="18">
        <v>90373</v>
      </c>
      <c r="F1629" s="8">
        <v>2.889796625762016</v>
      </c>
    </row>
    <row r="1630" spans="1:6" x14ac:dyDescent="0.25">
      <c r="A1630" s="4" t="s">
        <v>144</v>
      </c>
      <c r="B1630" s="4" t="str">
        <f>VLOOKUP(A1630,Codes!$G$2:$H$217,2,0)</f>
        <v>ESP</v>
      </c>
      <c r="C1630" s="11">
        <v>31037663</v>
      </c>
      <c r="D1630" s="16">
        <v>2014</v>
      </c>
      <c r="E1630" s="18">
        <v>91544</v>
      </c>
      <c r="F1630" s="8">
        <v>2.9494488679769479</v>
      </c>
    </row>
    <row r="1631" spans="1:6" x14ac:dyDescent="0.25">
      <c r="A1631" s="4" t="s">
        <v>144</v>
      </c>
      <c r="B1631" s="4" t="str">
        <f>VLOOKUP(A1631,Codes!$G$2:$H$217,2,0)</f>
        <v>ESP</v>
      </c>
      <c r="C1631" s="11">
        <v>30861123</v>
      </c>
      <c r="D1631" s="16">
        <v>2015</v>
      </c>
      <c r="E1631" s="18">
        <v>91750</v>
      </c>
      <c r="F1631" s="8">
        <v>2.9729961544173231</v>
      </c>
    </row>
    <row r="1632" spans="1:6" x14ac:dyDescent="0.25">
      <c r="A1632" s="4" t="s">
        <v>144</v>
      </c>
      <c r="B1632" s="4" t="str">
        <f>VLOOKUP(A1632,Codes!$G$2:$H$217,2,0)</f>
        <v>ESP</v>
      </c>
      <c r="C1632" s="11">
        <v>30830121</v>
      </c>
      <c r="D1632" s="16">
        <v>2016</v>
      </c>
      <c r="E1632" s="18">
        <v>98824</v>
      </c>
      <c r="F1632" s="8">
        <v>3.2054366572223314</v>
      </c>
    </row>
    <row r="1633" spans="1:6" x14ac:dyDescent="0.25">
      <c r="A1633" s="4" t="s">
        <v>144</v>
      </c>
      <c r="B1633" s="4" t="str">
        <f>VLOOKUP(A1633,Codes!$G$2:$H$217,2,0)</f>
        <v>ESP</v>
      </c>
      <c r="C1633" s="11">
        <v>30821805</v>
      </c>
      <c r="D1633" s="16">
        <v>2017</v>
      </c>
      <c r="E1633" s="18">
        <v>92613</v>
      </c>
      <c r="F1633" s="8">
        <v>3.0047883308586245</v>
      </c>
    </row>
    <row r="1634" spans="1:6" x14ac:dyDescent="0.25">
      <c r="A1634" s="4" t="s">
        <v>144</v>
      </c>
      <c r="B1634" s="4" t="str">
        <f>VLOOKUP(A1634,Codes!$G$2:$H$217,2,0)</f>
        <v>ESP</v>
      </c>
      <c r="C1634" s="11">
        <v>30865221</v>
      </c>
      <c r="D1634" s="16">
        <v>2018</v>
      </c>
      <c r="E1634" s="18">
        <v>93560</v>
      </c>
      <c r="F1634" s="8">
        <v>3.0312434827536143</v>
      </c>
    </row>
    <row r="1635" spans="1:6" x14ac:dyDescent="0.25">
      <c r="A1635" s="4" t="s">
        <v>144</v>
      </c>
      <c r="B1635" s="4" t="str">
        <f>VLOOKUP(A1635,Codes!$G$2:$H$217,2,0)</f>
        <v>ESP</v>
      </c>
      <c r="C1635" s="11">
        <v>31002217</v>
      </c>
      <c r="D1635" s="16">
        <v>2019</v>
      </c>
      <c r="E1635" s="18">
        <v>92010</v>
      </c>
      <c r="F1635" s="8">
        <v>2.9678522668233693</v>
      </c>
    </row>
    <row r="1636" spans="1:6" x14ac:dyDescent="0.25">
      <c r="A1636" s="4" t="s">
        <v>144</v>
      </c>
      <c r="B1636" s="4" t="str">
        <f>VLOOKUP(A1636,Codes!$G$2:$H$217,2,0)</f>
        <v>ESP</v>
      </c>
      <c r="C1636" s="11">
        <v>31073481</v>
      </c>
      <c r="D1636" s="16">
        <v>2020</v>
      </c>
      <c r="E1636" s="18">
        <v>77541</v>
      </c>
      <c r="F1636" s="8">
        <v>2.4954075792152155</v>
      </c>
    </row>
    <row r="1637" spans="1:6" x14ac:dyDescent="0.25">
      <c r="A1637" s="3" t="s">
        <v>145</v>
      </c>
      <c r="B1637" s="4" t="str">
        <f>VLOOKUP(A1637,Codes!$G$2:$H$217,2,0)</f>
        <v>LKA</v>
      </c>
      <c r="C1637" s="11">
        <v>13466576</v>
      </c>
      <c r="D1637" s="12">
        <v>2008</v>
      </c>
      <c r="E1637" s="13">
        <v>4321</v>
      </c>
      <c r="F1637" s="8">
        <v>0.320868496936415</v>
      </c>
    </row>
    <row r="1638" spans="1:6" x14ac:dyDescent="0.25">
      <c r="A1638" s="4" t="s">
        <v>145</v>
      </c>
      <c r="B1638" s="4" t="str">
        <f>VLOOKUP(A1638,Codes!$G$2:$H$217,2,0)</f>
        <v>LKA</v>
      </c>
      <c r="C1638" s="11">
        <v>13546119</v>
      </c>
      <c r="D1638" s="12">
        <v>2009</v>
      </c>
      <c r="E1638" s="13">
        <v>4062</v>
      </c>
      <c r="F1638" s="8">
        <v>0.29986448517099251</v>
      </c>
    </row>
    <row r="1639" spans="1:6" x14ac:dyDescent="0.25">
      <c r="A1639" s="4" t="s">
        <v>145</v>
      </c>
      <c r="B1639" s="4" t="str">
        <f>VLOOKUP(A1639,Codes!$G$2:$H$217,2,0)</f>
        <v>LKA</v>
      </c>
      <c r="C1639" s="11">
        <v>13613884</v>
      </c>
      <c r="D1639" s="12">
        <v>2010</v>
      </c>
      <c r="E1639" s="13">
        <v>6110</v>
      </c>
      <c r="F1639" s="8">
        <v>0.44880652721883046</v>
      </c>
    </row>
    <row r="1640" spans="1:6" x14ac:dyDescent="0.25">
      <c r="A1640" s="4" t="s">
        <v>145</v>
      </c>
      <c r="B1640" s="4" t="str">
        <f>VLOOKUP(A1640,Codes!$G$2:$H$217,2,0)</f>
        <v>LKA</v>
      </c>
      <c r="C1640" s="11">
        <v>13659777</v>
      </c>
      <c r="D1640" s="12">
        <v>2011</v>
      </c>
      <c r="E1640" s="13">
        <v>7662</v>
      </c>
      <c r="F1640" s="8">
        <v>0.56091691687206902</v>
      </c>
    </row>
    <row r="1641" spans="1:6" x14ac:dyDescent="0.25">
      <c r="A1641" s="4" t="s">
        <v>145</v>
      </c>
      <c r="B1641" s="4" t="str">
        <f>VLOOKUP(A1641,Codes!$G$2:$H$217,2,0)</f>
        <v>LKA</v>
      </c>
      <c r="C1641" s="11">
        <v>13618903</v>
      </c>
      <c r="D1641" s="12">
        <v>2012</v>
      </c>
      <c r="E1641" s="13">
        <v>6975</v>
      </c>
      <c r="F1641" s="8">
        <v>0.51215578817177865</v>
      </c>
    </row>
    <row r="1642" spans="1:6" x14ac:dyDescent="0.25">
      <c r="A1642" s="4" t="s">
        <v>145</v>
      </c>
      <c r="B1642" s="4" t="str">
        <f>VLOOKUP(A1642,Codes!$G$2:$H$217,2,0)</f>
        <v>LKA</v>
      </c>
      <c r="C1642" s="11">
        <v>13661314</v>
      </c>
      <c r="D1642" s="12">
        <v>2013</v>
      </c>
      <c r="E1642" s="13">
        <v>5788</v>
      </c>
      <c r="F1642" s="8">
        <v>0.42367813227922291</v>
      </c>
    </row>
    <row r="1643" spans="1:6" x14ac:dyDescent="0.25">
      <c r="A1643" s="4" t="s">
        <v>145</v>
      </c>
      <c r="B1643" s="4" t="str">
        <f>VLOOKUP(A1643,Codes!$G$2:$H$217,2,0)</f>
        <v>LKA</v>
      </c>
      <c r="C1643" s="11">
        <v>13729471</v>
      </c>
      <c r="D1643" s="16">
        <v>2014</v>
      </c>
      <c r="E1643" s="13">
        <v>6674</v>
      </c>
      <c r="F1643" s="8">
        <v>0.48610758564550666</v>
      </c>
    </row>
    <row r="1644" spans="1:6" x14ac:dyDescent="0.25">
      <c r="A1644" s="4" t="s">
        <v>145</v>
      </c>
      <c r="B1644" s="4" t="str">
        <f>VLOOKUP(A1644,Codes!$G$2:$H$217,2,0)</f>
        <v>LKA</v>
      </c>
      <c r="C1644" s="11">
        <v>13805689</v>
      </c>
      <c r="D1644" s="16">
        <v>2015</v>
      </c>
      <c r="E1644" s="13">
        <v>7583</v>
      </c>
      <c r="F1644" s="8">
        <v>0.5492663205726277</v>
      </c>
    </row>
    <row r="1645" spans="1:6" x14ac:dyDescent="0.25">
      <c r="A1645" s="4" t="s">
        <v>145</v>
      </c>
      <c r="B1645" s="4" t="str">
        <f>VLOOKUP(A1645,Codes!$G$2:$H$217,2,0)</f>
        <v>LKA</v>
      </c>
      <c r="C1645" s="11">
        <v>13916964</v>
      </c>
      <c r="D1645" s="16">
        <v>2016</v>
      </c>
      <c r="E1645" s="13">
        <v>8060</v>
      </c>
      <c r="F1645" s="8">
        <v>0.57914930296579048</v>
      </c>
    </row>
    <row r="1646" spans="1:6" x14ac:dyDescent="0.25">
      <c r="A1646" s="4" t="s">
        <v>145</v>
      </c>
      <c r="B1646" s="4" t="str">
        <f>VLOOKUP(A1646,Codes!$G$2:$H$217,2,0)</f>
        <v>LKA</v>
      </c>
      <c r="C1646" s="11">
        <v>14039241</v>
      </c>
      <c r="D1646" s="16">
        <v>2017</v>
      </c>
      <c r="E1646" s="13">
        <v>9474</v>
      </c>
      <c r="F1646" s="8">
        <v>0.67482280559184082</v>
      </c>
    </row>
    <row r="1647" spans="1:6" x14ac:dyDescent="0.25">
      <c r="A1647" s="4" t="s">
        <v>145</v>
      </c>
      <c r="B1647" s="4" t="str">
        <f>VLOOKUP(A1647,Codes!$G$2:$H$217,2,0)</f>
        <v>LKA</v>
      </c>
      <c r="C1647" s="11">
        <v>14156963</v>
      </c>
      <c r="D1647" s="16">
        <v>2018</v>
      </c>
      <c r="E1647" s="13">
        <v>10510</v>
      </c>
      <c r="F1647" s="8">
        <v>0.74239086448131564</v>
      </c>
    </row>
    <row r="1648" spans="1:6" x14ac:dyDescent="0.25">
      <c r="A1648" s="3" t="s">
        <v>146</v>
      </c>
      <c r="B1648" s="4" t="str">
        <f>VLOOKUP(A1648,Codes!$G$2:$H$217,2,0)</f>
        <v>LCA</v>
      </c>
      <c r="C1648" s="11">
        <v>108968</v>
      </c>
      <c r="D1648" s="12">
        <v>2006</v>
      </c>
      <c r="E1648" s="13">
        <v>484</v>
      </c>
      <c r="F1648" s="8">
        <v>4.4416709492695103</v>
      </c>
    </row>
    <row r="1649" spans="1:6" x14ac:dyDescent="0.25">
      <c r="A1649" s="4" t="s">
        <v>146</v>
      </c>
      <c r="B1649" s="4" t="str">
        <f>VLOOKUP(A1649,Codes!$G$2:$H$217,2,0)</f>
        <v>LCA</v>
      </c>
      <c r="C1649" s="11">
        <v>111654</v>
      </c>
      <c r="D1649" s="12">
        <v>2007</v>
      </c>
      <c r="E1649" s="13">
        <v>579</v>
      </c>
      <c r="F1649" s="8">
        <v>5.185662851308507</v>
      </c>
    </row>
    <row r="1650" spans="1:6" x14ac:dyDescent="0.25">
      <c r="A1650" s="4" t="s">
        <v>146</v>
      </c>
      <c r="B1650" s="4" t="str">
        <f>VLOOKUP(A1650,Codes!$G$2:$H$217,2,0)</f>
        <v>LCA</v>
      </c>
      <c r="C1650" s="11">
        <v>114307</v>
      </c>
      <c r="D1650" s="12">
        <v>2008</v>
      </c>
      <c r="E1650" s="13">
        <v>582</v>
      </c>
      <c r="F1650" s="8">
        <v>5.0915516984961551</v>
      </c>
    </row>
    <row r="1651" spans="1:6" x14ac:dyDescent="0.25">
      <c r="A1651" s="4" t="s">
        <v>146</v>
      </c>
      <c r="B1651" s="4" t="str">
        <f>VLOOKUP(A1651,Codes!$G$2:$H$217,2,0)</f>
        <v>LCA</v>
      </c>
      <c r="C1651" s="11">
        <v>116764</v>
      </c>
      <c r="D1651" s="12">
        <v>2009</v>
      </c>
      <c r="E1651" s="13">
        <v>427</v>
      </c>
      <c r="F1651" s="8">
        <v>3.6569490596416707</v>
      </c>
    </row>
    <row r="1652" spans="1:6" x14ac:dyDescent="0.25">
      <c r="A1652" s="4" t="s">
        <v>146</v>
      </c>
      <c r="B1652" s="4" t="str">
        <f>VLOOKUP(A1652,Codes!$G$2:$H$217,2,0)</f>
        <v>LCA</v>
      </c>
      <c r="C1652" s="11">
        <v>118859</v>
      </c>
      <c r="D1652" s="12">
        <v>2010</v>
      </c>
      <c r="E1652" s="13">
        <v>399</v>
      </c>
      <c r="F1652" s="8">
        <v>3.3569187019914355</v>
      </c>
    </row>
    <row r="1653" spans="1:6" x14ac:dyDescent="0.25">
      <c r="A1653" s="4" t="s">
        <v>146</v>
      </c>
      <c r="B1653" s="4" t="str">
        <f>VLOOKUP(A1653,Codes!$G$2:$H$217,2,0)</f>
        <v>LCA</v>
      </c>
      <c r="C1653" s="11">
        <v>121031</v>
      </c>
      <c r="D1653" s="12">
        <v>2011</v>
      </c>
      <c r="E1653" s="13">
        <v>369</v>
      </c>
      <c r="F1653" s="8">
        <v>3.0488056778841783</v>
      </c>
    </row>
    <row r="1654" spans="1:6" x14ac:dyDescent="0.25">
      <c r="A1654" s="4" t="s">
        <v>146</v>
      </c>
      <c r="B1654" s="4" t="str">
        <f>VLOOKUP(A1654,Codes!$G$2:$H$217,2,0)</f>
        <v>LCA</v>
      </c>
      <c r="C1654" s="11">
        <v>122855</v>
      </c>
      <c r="D1654" s="12">
        <v>2012</v>
      </c>
      <c r="E1654" s="13">
        <v>379</v>
      </c>
      <c r="F1654" s="8">
        <v>3.0849375279801392</v>
      </c>
    </row>
    <row r="1655" spans="1:6" x14ac:dyDescent="0.25">
      <c r="A1655" s="4" t="s">
        <v>146</v>
      </c>
      <c r="B1655" s="4" t="str">
        <f>VLOOKUP(A1655,Codes!$G$2:$H$217,2,0)</f>
        <v>LCA</v>
      </c>
      <c r="C1655" s="11">
        <v>124403</v>
      </c>
      <c r="D1655" s="12">
        <v>2013</v>
      </c>
      <c r="E1655" s="13">
        <v>237</v>
      </c>
      <c r="F1655" s="8">
        <v>1.9050987516378224</v>
      </c>
    </row>
    <row r="1656" spans="1:6" x14ac:dyDescent="0.25">
      <c r="A1656" s="4" t="s">
        <v>146</v>
      </c>
      <c r="B1656" s="4" t="str">
        <f>VLOOKUP(A1656,Codes!$G$2:$H$217,2,0)</f>
        <v>LCA</v>
      </c>
      <c r="C1656" s="11">
        <v>125833</v>
      </c>
      <c r="D1656" s="16">
        <v>2014</v>
      </c>
      <c r="E1656" s="13">
        <v>307</v>
      </c>
      <c r="F1656" s="8">
        <v>2.4397415622293042</v>
      </c>
    </row>
    <row r="1657" spans="1:6" x14ac:dyDescent="0.25">
      <c r="A1657" s="4" t="s">
        <v>146</v>
      </c>
      <c r="B1657" s="4" t="str">
        <f>VLOOKUP(A1657,Codes!$G$2:$H$217,2,0)</f>
        <v>LCA</v>
      </c>
      <c r="C1657" s="11">
        <v>127187</v>
      </c>
      <c r="D1657" s="16">
        <v>2015</v>
      </c>
      <c r="E1657" s="13">
        <v>367</v>
      </c>
      <c r="F1657" s="8">
        <v>2.8855150290517111</v>
      </c>
    </row>
    <row r="1658" spans="1:6" x14ac:dyDescent="0.25">
      <c r="A1658" s="4" t="s">
        <v>146</v>
      </c>
      <c r="B1658" s="4" t="str">
        <f>VLOOKUP(A1658,Codes!$G$2:$H$217,2,0)</f>
        <v>LCA</v>
      </c>
      <c r="C1658" s="11">
        <v>128281</v>
      </c>
      <c r="D1658" s="16">
        <v>2016</v>
      </c>
      <c r="E1658" s="13">
        <v>332</v>
      </c>
      <c r="F1658" s="8">
        <v>2.5880683811320457</v>
      </c>
    </row>
    <row r="1659" spans="1:6" x14ac:dyDescent="0.25">
      <c r="A1659" s="4" t="s">
        <v>146</v>
      </c>
      <c r="B1659" s="4" t="str">
        <f>VLOOKUP(A1659,Codes!$G$2:$H$217,2,0)</f>
        <v>LCA</v>
      </c>
      <c r="C1659" s="11">
        <v>129359</v>
      </c>
      <c r="D1659" s="16">
        <v>2017</v>
      </c>
      <c r="E1659" s="13">
        <v>322</v>
      </c>
      <c r="F1659" s="8">
        <v>2.4891967315764654</v>
      </c>
    </row>
    <row r="1660" spans="1:6" x14ac:dyDescent="0.25">
      <c r="A1660" s="4" t="s">
        <v>146</v>
      </c>
      <c r="B1660" s="4" t="str">
        <f>VLOOKUP(A1660,Codes!$G$2:$H$217,2,0)</f>
        <v>LCA</v>
      </c>
      <c r="C1660" s="11">
        <v>130351</v>
      </c>
      <c r="D1660" s="16">
        <v>2018</v>
      </c>
      <c r="E1660" s="13">
        <v>350</v>
      </c>
      <c r="F1660" s="8">
        <v>2.685058035611541</v>
      </c>
    </row>
    <row r="1661" spans="1:6" x14ac:dyDescent="0.25">
      <c r="A1661" s="4" t="s">
        <v>146</v>
      </c>
      <c r="B1661" s="4" t="str">
        <f>VLOOKUP(A1661,Codes!$G$2:$H$217,2,0)</f>
        <v>LCA</v>
      </c>
      <c r="C1661" s="11">
        <v>131163</v>
      </c>
      <c r="D1661" s="16">
        <v>2019</v>
      </c>
      <c r="E1661" s="13">
        <v>308</v>
      </c>
      <c r="F1661" s="8">
        <v>2.3482232031899239</v>
      </c>
    </row>
    <row r="1662" spans="1:6" x14ac:dyDescent="0.25">
      <c r="A1662" s="4" t="s">
        <v>146</v>
      </c>
      <c r="B1662" s="4" t="str">
        <f>VLOOKUP(A1662,Codes!$G$2:$H$217,2,0)</f>
        <v>LCA</v>
      </c>
      <c r="C1662" s="11">
        <v>131756</v>
      </c>
      <c r="D1662" s="16">
        <v>2020</v>
      </c>
      <c r="E1662" s="13">
        <v>244</v>
      </c>
      <c r="F1662" s="8">
        <v>1.8519080724976471</v>
      </c>
    </row>
    <row r="1663" spans="1:6" x14ac:dyDescent="0.25">
      <c r="A1663" s="3" t="s">
        <v>147</v>
      </c>
      <c r="B1663" s="4" t="str">
        <f>VLOOKUP(A1663,Codes!$G$2:$H$217,2,0)</f>
        <v>VCT</v>
      </c>
      <c r="C1663" s="11">
        <v>70284</v>
      </c>
      <c r="D1663" s="12">
        <v>2006</v>
      </c>
      <c r="E1663" s="13">
        <v>159</v>
      </c>
      <c r="F1663" s="8">
        <v>2.2622502987877753</v>
      </c>
    </row>
    <row r="1664" spans="1:6" x14ac:dyDescent="0.25">
      <c r="A1664" s="4" t="s">
        <v>147</v>
      </c>
      <c r="B1664" s="4" t="str">
        <f>VLOOKUP(A1664,Codes!$G$2:$H$217,2,0)</f>
        <v>VCT</v>
      </c>
      <c r="C1664" s="11">
        <v>70532</v>
      </c>
      <c r="D1664" s="12">
        <v>2007</v>
      </c>
      <c r="E1664" s="13">
        <v>210</v>
      </c>
      <c r="F1664" s="8">
        <v>2.9773719730051607</v>
      </c>
    </row>
    <row r="1665" spans="1:6" x14ac:dyDescent="0.25">
      <c r="A1665" s="4" t="s">
        <v>147</v>
      </c>
      <c r="B1665" s="4" t="str">
        <f>VLOOKUP(A1665,Codes!$G$2:$H$217,2,0)</f>
        <v>VCT</v>
      </c>
      <c r="C1665" s="11">
        <v>70754</v>
      </c>
      <c r="D1665" s="12">
        <v>2008</v>
      </c>
      <c r="E1665" s="13">
        <v>167</v>
      </c>
      <c r="F1665" s="9">
        <v>2.3602905842779207</v>
      </c>
    </row>
    <row r="1666" spans="1:6" x14ac:dyDescent="0.25">
      <c r="A1666" s="4" t="s">
        <v>147</v>
      </c>
      <c r="B1666" s="4" t="str">
        <f>VLOOKUP(A1666,Codes!$G$2:$H$217,2,0)</f>
        <v>VCT</v>
      </c>
      <c r="C1666" s="11">
        <v>71028</v>
      </c>
      <c r="D1666" s="12">
        <v>2009</v>
      </c>
      <c r="E1666" s="13">
        <v>131</v>
      </c>
      <c r="F1666" s="8">
        <v>1.8443430759700399</v>
      </c>
    </row>
    <row r="1667" spans="1:6" x14ac:dyDescent="0.25">
      <c r="A1667" s="4" t="s">
        <v>147</v>
      </c>
      <c r="B1667" s="4" t="str">
        <f>VLOOKUP(A1667,Codes!$G$2:$H$217,2,0)</f>
        <v>VCT</v>
      </c>
      <c r="C1667" s="11">
        <v>71385</v>
      </c>
      <c r="D1667" s="12">
        <v>2010</v>
      </c>
      <c r="E1667" s="13">
        <v>139</v>
      </c>
      <c r="F1667" s="8">
        <v>1.9471877845485748</v>
      </c>
    </row>
    <row r="1668" spans="1:6" x14ac:dyDescent="0.25">
      <c r="A1668" s="4" t="s">
        <v>147</v>
      </c>
      <c r="B1668" s="4" t="str">
        <f>VLOOKUP(A1668,Codes!$G$2:$H$217,2,0)</f>
        <v>VCT</v>
      </c>
      <c r="C1668" s="11">
        <v>71628</v>
      </c>
      <c r="D1668" s="12">
        <v>2011</v>
      </c>
      <c r="E1668" s="13">
        <v>134</v>
      </c>
      <c r="F1668" s="8">
        <v>1.8707767911989723</v>
      </c>
    </row>
    <row r="1669" spans="1:6" x14ac:dyDescent="0.25">
      <c r="A1669" s="4" t="s">
        <v>147</v>
      </c>
      <c r="B1669" s="4" t="str">
        <f>VLOOKUP(A1669,Codes!$G$2:$H$217,2,0)</f>
        <v>VCT</v>
      </c>
      <c r="C1669" s="11">
        <v>71978</v>
      </c>
      <c r="D1669" s="12">
        <v>2012</v>
      </c>
      <c r="E1669" s="13">
        <v>127</v>
      </c>
      <c r="F1669" s="8">
        <v>1.7644280196726778</v>
      </c>
    </row>
    <row r="1670" spans="1:6" x14ac:dyDescent="0.25">
      <c r="A1670" s="4" t="s">
        <v>147</v>
      </c>
      <c r="B1670" s="4" t="str">
        <f>VLOOKUP(A1670,Codes!$G$2:$H$217,2,0)</f>
        <v>VCT</v>
      </c>
      <c r="C1670" s="11">
        <v>72404</v>
      </c>
      <c r="D1670" s="12">
        <v>2013</v>
      </c>
      <c r="E1670" s="13">
        <v>133</v>
      </c>
      <c r="F1670" s="8">
        <v>1.8369150875642231</v>
      </c>
    </row>
    <row r="1671" spans="1:6" x14ac:dyDescent="0.25">
      <c r="A1671" s="4" t="s">
        <v>147</v>
      </c>
      <c r="B1671" s="4" t="str">
        <f>VLOOKUP(A1671,Codes!$G$2:$H$217,2,0)</f>
        <v>VCT</v>
      </c>
      <c r="C1671" s="11">
        <v>72821</v>
      </c>
      <c r="D1671" s="16">
        <v>2014</v>
      </c>
      <c r="E1671" s="13">
        <v>125</v>
      </c>
      <c r="F1671" s="8">
        <v>1.7165378118949204</v>
      </c>
    </row>
    <row r="1672" spans="1:6" x14ac:dyDescent="0.25">
      <c r="A1672" s="4" t="s">
        <v>147</v>
      </c>
      <c r="B1672" s="4" t="str">
        <f>VLOOKUP(A1672,Codes!$G$2:$H$217,2,0)</f>
        <v>VCT</v>
      </c>
      <c r="C1672" s="11">
        <v>73163</v>
      </c>
      <c r="D1672" s="16">
        <v>2015</v>
      </c>
      <c r="E1672" s="13">
        <v>119</v>
      </c>
      <c r="F1672" s="8">
        <v>1.6265052007162089</v>
      </c>
    </row>
    <row r="1673" spans="1:6" x14ac:dyDescent="0.25">
      <c r="A1673" s="4" t="s">
        <v>147</v>
      </c>
      <c r="B1673" s="4" t="str">
        <f>VLOOKUP(A1673,Codes!$G$2:$H$217,2,0)</f>
        <v>VCT</v>
      </c>
      <c r="C1673" s="11">
        <v>73681</v>
      </c>
      <c r="D1673" s="16">
        <v>2016</v>
      </c>
      <c r="E1673" s="13">
        <v>118</v>
      </c>
      <c r="F1673" s="8">
        <v>1.6014983509995793</v>
      </c>
    </row>
    <row r="1674" spans="1:6" x14ac:dyDescent="0.25">
      <c r="A1674" s="4" t="s">
        <v>147</v>
      </c>
      <c r="B1674" s="4" t="str">
        <f>VLOOKUP(A1674,Codes!$G$2:$H$217,2,0)</f>
        <v>VCT</v>
      </c>
      <c r="C1674" s="11">
        <v>74248</v>
      </c>
      <c r="D1674" s="16">
        <v>2017</v>
      </c>
      <c r="E1674" s="13">
        <v>175</v>
      </c>
      <c r="F1674" s="8">
        <v>2.3569658441978234</v>
      </c>
    </row>
    <row r="1675" spans="1:6" x14ac:dyDescent="0.25">
      <c r="A1675" s="4" t="s">
        <v>147</v>
      </c>
      <c r="B1675" s="4" t="str">
        <f>VLOOKUP(A1675,Codes!$G$2:$H$217,2,0)</f>
        <v>VCT</v>
      </c>
      <c r="C1675" s="11">
        <v>74798</v>
      </c>
      <c r="D1675" s="16">
        <v>2018</v>
      </c>
      <c r="E1675" s="13">
        <v>414</v>
      </c>
      <c r="F1675" s="8">
        <v>5.5349073504639161</v>
      </c>
    </row>
    <row r="1676" spans="1:6" x14ac:dyDescent="0.25">
      <c r="A1676" s="4" t="s">
        <v>147</v>
      </c>
      <c r="B1676" s="4" t="str">
        <f>VLOOKUP(A1676,Codes!$G$2:$H$217,2,0)</f>
        <v>VCT</v>
      </c>
      <c r="C1676" s="11">
        <v>75276</v>
      </c>
      <c r="D1676" s="16">
        <v>2019</v>
      </c>
      <c r="E1676" s="13">
        <v>284</v>
      </c>
      <c r="F1676" s="8">
        <v>3.7727828258674743</v>
      </c>
    </row>
    <row r="1677" spans="1:6" x14ac:dyDescent="0.25">
      <c r="A1677" s="4" t="s">
        <v>147</v>
      </c>
      <c r="B1677" s="4" t="str">
        <f>VLOOKUP(A1677,Codes!$G$2:$H$217,2,0)</f>
        <v>VCT</v>
      </c>
      <c r="C1677" s="11">
        <v>75653</v>
      </c>
      <c r="D1677" s="16">
        <v>2020</v>
      </c>
      <c r="E1677" s="13">
        <v>323</v>
      </c>
      <c r="F1677" s="8">
        <v>4.2694936089778324</v>
      </c>
    </row>
    <row r="1678" spans="1:6" x14ac:dyDescent="0.25">
      <c r="A1678" s="3" t="s">
        <v>148</v>
      </c>
      <c r="B1678" s="4" t="str">
        <f>VLOOKUP(A1678,Codes!$G$2:$H$217,2,0)</f>
        <v>SUR</v>
      </c>
      <c r="C1678" s="11">
        <v>318616</v>
      </c>
      <c r="D1678" s="12">
        <v>2006</v>
      </c>
      <c r="E1678" s="13">
        <v>114</v>
      </c>
      <c r="F1678" s="8">
        <v>0.35779747407537599</v>
      </c>
    </row>
    <row r="1679" spans="1:6" x14ac:dyDescent="0.25">
      <c r="A1679" s="4" t="s">
        <v>148</v>
      </c>
      <c r="B1679" s="4" t="str">
        <f>VLOOKUP(A1679,Codes!$G$2:$H$217,2,0)</f>
        <v>SUR</v>
      </c>
      <c r="C1679" s="11">
        <v>324055</v>
      </c>
      <c r="D1679" s="12">
        <v>2007</v>
      </c>
      <c r="E1679" s="13">
        <v>109</v>
      </c>
      <c r="F1679" s="8">
        <v>0.33636265448766411</v>
      </c>
    </row>
    <row r="1680" spans="1:6" x14ac:dyDescent="0.25">
      <c r="A1680" s="4" t="s">
        <v>148</v>
      </c>
      <c r="B1680" s="4" t="str">
        <f>VLOOKUP(A1680,Codes!$G$2:$H$217,2,0)</f>
        <v>SUR</v>
      </c>
      <c r="C1680" s="11">
        <v>329706</v>
      </c>
      <c r="D1680" s="12">
        <v>2008</v>
      </c>
      <c r="E1680" s="13">
        <v>169</v>
      </c>
      <c r="F1680" s="8">
        <v>0.51257787240753883</v>
      </c>
    </row>
    <row r="1681" spans="1:6" x14ac:dyDescent="0.25">
      <c r="A1681" s="4" t="s">
        <v>148</v>
      </c>
      <c r="B1681" s="4" t="str">
        <f>VLOOKUP(A1681,Codes!$G$2:$H$217,2,0)</f>
        <v>SUR</v>
      </c>
      <c r="C1681" s="11">
        <v>335361</v>
      </c>
      <c r="D1681" s="12">
        <v>2009</v>
      </c>
      <c r="E1681" s="13">
        <v>142</v>
      </c>
      <c r="F1681" s="8">
        <v>0.42342430992273999</v>
      </c>
    </row>
    <row r="1682" spans="1:6" x14ac:dyDescent="0.25">
      <c r="A1682" s="4" t="s">
        <v>148</v>
      </c>
      <c r="B1682" s="4" t="str">
        <f>VLOOKUP(A1682,Codes!$G$2:$H$217,2,0)</f>
        <v>SUR</v>
      </c>
      <c r="C1682" s="11">
        <v>340878</v>
      </c>
      <c r="D1682" s="12">
        <v>2010</v>
      </c>
      <c r="E1682" s="13">
        <v>214</v>
      </c>
      <c r="F1682" s="8">
        <v>0.62779058783494379</v>
      </c>
    </row>
    <row r="1683" spans="1:6" x14ac:dyDescent="0.25">
      <c r="A1683" s="4" t="s">
        <v>148</v>
      </c>
      <c r="B1683" s="4" t="str">
        <f>VLOOKUP(A1683,Codes!$G$2:$H$217,2,0)</f>
        <v>SUR</v>
      </c>
      <c r="C1683" s="11">
        <v>346192</v>
      </c>
      <c r="D1683" s="12">
        <v>2011</v>
      </c>
      <c r="E1683" s="13">
        <v>400</v>
      </c>
      <c r="F1683" s="8">
        <v>1.1554282016915469</v>
      </c>
    </row>
    <row r="1684" spans="1:6" x14ac:dyDescent="0.25">
      <c r="A1684" s="4" t="s">
        <v>148</v>
      </c>
      <c r="B1684" s="4" t="str">
        <f>VLOOKUP(A1684,Codes!$G$2:$H$217,2,0)</f>
        <v>SUR</v>
      </c>
      <c r="C1684" s="11">
        <v>351307</v>
      </c>
      <c r="D1684" s="12">
        <v>2012</v>
      </c>
      <c r="E1684" s="13">
        <v>583</v>
      </c>
      <c r="F1684" s="8">
        <v>1.6595171744371731</v>
      </c>
    </row>
    <row r="1685" spans="1:6" x14ac:dyDescent="0.25">
      <c r="A1685" s="4" t="s">
        <v>148</v>
      </c>
      <c r="B1685" s="4" t="str">
        <f>VLOOKUP(A1685,Codes!$G$2:$H$217,2,0)</f>
        <v>SUR</v>
      </c>
      <c r="C1685" s="11">
        <v>356276</v>
      </c>
      <c r="D1685" s="12">
        <v>2013</v>
      </c>
      <c r="E1685" s="13">
        <v>592</v>
      </c>
      <c r="F1685" s="8">
        <v>1.6616331158989099</v>
      </c>
    </row>
    <row r="1686" spans="1:6" x14ac:dyDescent="0.25">
      <c r="A1686" s="4" t="s">
        <v>148</v>
      </c>
      <c r="B1686" s="4" t="str">
        <f>VLOOKUP(A1686,Codes!$G$2:$H$217,2,0)</f>
        <v>SUR</v>
      </c>
      <c r="C1686" s="11">
        <v>361209</v>
      </c>
      <c r="D1686" s="16">
        <v>2014</v>
      </c>
      <c r="E1686" s="13">
        <v>495</v>
      </c>
      <c r="F1686" s="8">
        <v>1.3703977475644293</v>
      </c>
    </row>
    <row r="1687" spans="1:6" x14ac:dyDescent="0.25">
      <c r="A1687" s="4" t="s">
        <v>148</v>
      </c>
      <c r="B1687" s="4" t="str">
        <f>VLOOKUP(A1687,Codes!$G$2:$H$217,2,0)</f>
        <v>SUR</v>
      </c>
      <c r="C1687" s="11">
        <v>366153</v>
      </c>
      <c r="D1687" s="16">
        <v>2015</v>
      </c>
      <c r="E1687" s="13">
        <v>412</v>
      </c>
      <c r="F1687" s="8">
        <v>1.1252126843150267</v>
      </c>
    </row>
    <row r="1688" spans="1:6" x14ac:dyDescent="0.25">
      <c r="A1688" s="4" t="s">
        <v>148</v>
      </c>
      <c r="B1688" s="4" t="str">
        <f>VLOOKUP(A1688,Codes!$G$2:$H$217,2,0)</f>
        <v>SUR</v>
      </c>
      <c r="C1688" s="11">
        <v>370627</v>
      </c>
      <c r="D1688" s="16">
        <v>2016</v>
      </c>
      <c r="E1688" s="13">
        <v>523</v>
      </c>
      <c r="F1688" s="8">
        <v>1.411122233404474</v>
      </c>
    </row>
    <row r="1689" spans="1:6" x14ac:dyDescent="0.25">
      <c r="A1689" s="4" t="s">
        <v>148</v>
      </c>
      <c r="B1689" s="4" t="str">
        <f>VLOOKUP(A1689,Codes!$G$2:$H$217,2,0)</f>
        <v>SUR</v>
      </c>
      <c r="C1689" s="11">
        <v>375172</v>
      </c>
      <c r="D1689" s="16">
        <v>2017</v>
      </c>
      <c r="E1689" s="13">
        <v>860</v>
      </c>
      <c r="F1689" s="8">
        <v>2.2922819400168457</v>
      </c>
    </row>
    <row r="1690" spans="1:6" x14ac:dyDescent="0.25">
      <c r="A1690" s="4" t="s">
        <v>148</v>
      </c>
      <c r="B1690" s="4" t="str">
        <f>VLOOKUP(A1690,Codes!$G$2:$H$217,2,0)</f>
        <v>SUR</v>
      </c>
      <c r="C1690" s="11">
        <v>379710</v>
      </c>
      <c r="D1690" s="16">
        <v>2018</v>
      </c>
      <c r="E1690" s="13">
        <v>890</v>
      </c>
      <c r="F1690" s="8">
        <v>2.3438940243870325</v>
      </c>
    </row>
    <row r="1691" spans="1:6" x14ac:dyDescent="0.25">
      <c r="A1691" s="4" t="s">
        <v>148</v>
      </c>
      <c r="B1691" s="4" t="str">
        <f>VLOOKUP(A1691,Codes!$G$2:$H$217,2,0)</f>
        <v>SUR</v>
      </c>
      <c r="C1691" s="11">
        <v>384124</v>
      </c>
      <c r="D1691" s="16">
        <v>2019</v>
      </c>
      <c r="E1691" s="13">
        <v>946</v>
      </c>
      <c r="F1691" s="8">
        <v>2.4627464048067811</v>
      </c>
    </row>
    <row r="1692" spans="1:6" x14ac:dyDescent="0.25">
      <c r="A1692" s="4" t="s">
        <v>148</v>
      </c>
      <c r="B1692" s="4" t="str">
        <f>VLOOKUP(A1692,Codes!$G$2:$H$217,2,0)</f>
        <v>SUR</v>
      </c>
      <c r="C1692" s="11">
        <v>388349</v>
      </c>
      <c r="D1692" s="16">
        <v>2020</v>
      </c>
      <c r="E1692" s="13">
        <v>892</v>
      </c>
      <c r="F1692" s="8">
        <v>2.2969030433965325</v>
      </c>
    </row>
    <row r="1693" spans="1:6" x14ac:dyDescent="0.25">
      <c r="A1693" s="3" t="s">
        <v>149</v>
      </c>
      <c r="B1693" s="4" t="str">
        <f>VLOOKUP(A1693,Codes!$G$2:$H$217,2,0)</f>
        <v>SWE</v>
      </c>
      <c r="C1693" s="11">
        <v>5925947</v>
      </c>
      <c r="D1693" s="12">
        <v>2006</v>
      </c>
      <c r="E1693" s="13">
        <v>23894</v>
      </c>
      <c r="F1693" s="8">
        <v>4.0320981608509152</v>
      </c>
    </row>
    <row r="1694" spans="1:6" x14ac:dyDescent="0.25">
      <c r="A1694" s="4" t="s">
        <v>149</v>
      </c>
      <c r="B1694" s="4" t="str">
        <f>VLOOKUP(A1694,Codes!$G$2:$H$217,2,0)</f>
        <v>SWE</v>
      </c>
      <c r="C1694" s="11">
        <v>5976743</v>
      </c>
      <c r="D1694" s="12">
        <v>2007</v>
      </c>
      <c r="E1694" s="13">
        <v>27994</v>
      </c>
      <c r="F1694" s="8">
        <v>4.6838219411475448</v>
      </c>
    </row>
    <row r="1695" spans="1:6" x14ac:dyDescent="0.25">
      <c r="A1695" s="4" t="s">
        <v>149</v>
      </c>
      <c r="B1695" s="4" t="str">
        <f>VLOOKUP(A1695,Codes!$G$2:$H$217,2,0)</f>
        <v>SWE</v>
      </c>
      <c r="C1695" s="11">
        <v>6032481</v>
      </c>
      <c r="D1695" s="12">
        <v>2008</v>
      </c>
      <c r="E1695" s="13">
        <v>27554</v>
      </c>
      <c r="F1695" s="8">
        <v>4.5676065950311324</v>
      </c>
    </row>
    <row r="1696" spans="1:6" x14ac:dyDescent="0.25">
      <c r="A1696" s="4" t="s">
        <v>149</v>
      </c>
      <c r="B1696" s="4" t="str">
        <f>VLOOKUP(A1696,Codes!$G$2:$H$217,2,0)</f>
        <v>SWE</v>
      </c>
      <c r="C1696" s="11">
        <v>6084170</v>
      </c>
      <c r="D1696" s="12">
        <v>2009</v>
      </c>
      <c r="E1696" s="13">
        <v>24350</v>
      </c>
      <c r="F1696" s="8">
        <v>4.0021892879390286</v>
      </c>
    </row>
    <row r="1697" spans="1:6" x14ac:dyDescent="0.25">
      <c r="A1697" s="4" t="s">
        <v>149</v>
      </c>
      <c r="B1697" s="4" t="str">
        <f>VLOOKUP(A1697,Codes!$G$2:$H$217,2,0)</f>
        <v>SWE</v>
      </c>
      <c r="C1697" s="11">
        <v>6121432</v>
      </c>
      <c r="D1697" s="12">
        <v>2010</v>
      </c>
      <c r="E1697" s="13">
        <v>34709</v>
      </c>
      <c r="F1697" s="8">
        <v>5.6700785045067885</v>
      </c>
    </row>
    <row r="1698" spans="1:6" x14ac:dyDescent="0.25">
      <c r="A1698" s="4" t="s">
        <v>149</v>
      </c>
      <c r="B1698" s="4" t="str">
        <f>VLOOKUP(A1698,Codes!$G$2:$H$217,2,0)</f>
        <v>SWE</v>
      </c>
      <c r="C1698" s="11">
        <v>6140587</v>
      </c>
      <c r="D1698" s="12">
        <v>2011</v>
      </c>
      <c r="E1698" s="13">
        <v>43964</v>
      </c>
      <c r="F1698" s="8">
        <v>7.1595761121860173</v>
      </c>
    </row>
    <row r="1699" spans="1:6" x14ac:dyDescent="0.25">
      <c r="A1699" s="4" t="s">
        <v>149</v>
      </c>
      <c r="B1699" s="4" t="str">
        <f>VLOOKUP(A1699,Codes!$G$2:$H$217,2,0)</f>
        <v>SWE</v>
      </c>
      <c r="C1699" s="11">
        <v>6145741</v>
      </c>
      <c r="D1699" s="12">
        <v>2012</v>
      </c>
      <c r="E1699" s="13">
        <v>39262</v>
      </c>
      <c r="F1699" s="8">
        <v>6.3884891992682418</v>
      </c>
    </row>
    <row r="1700" spans="1:6" x14ac:dyDescent="0.25">
      <c r="A1700" s="4" t="s">
        <v>149</v>
      </c>
      <c r="B1700" s="4" t="str">
        <f>VLOOKUP(A1700,Codes!$G$2:$H$217,2,0)</f>
        <v>SWE</v>
      </c>
      <c r="C1700" s="11">
        <v>6147937</v>
      </c>
      <c r="D1700" s="12">
        <v>2013</v>
      </c>
      <c r="E1700" s="13">
        <v>39137</v>
      </c>
      <c r="F1700" s="8">
        <v>6.3658752521374247</v>
      </c>
    </row>
    <row r="1701" spans="1:6" x14ac:dyDescent="0.25">
      <c r="A1701" s="4" t="s">
        <v>149</v>
      </c>
      <c r="B1701" s="4" t="str">
        <f>VLOOKUP(A1701,Codes!$G$2:$H$217,2,0)</f>
        <v>SWE</v>
      </c>
      <c r="C1701" s="11">
        <v>6159447</v>
      </c>
      <c r="D1701" s="16">
        <v>2014</v>
      </c>
      <c r="E1701" s="13">
        <v>42068</v>
      </c>
      <c r="F1701" s="8">
        <v>6.8298339120378824</v>
      </c>
    </row>
    <row r="1702" spans="1:6" x14ac:dyDescent="0.25">
      <c r="A1702" s="4" t="s">
        <v>149</v>
      </c>
      <c r="B1702" s="4" t="str">
        <f>VLOOKUP(A1702,Codes!$G$2:$H$217,2,0)</f>
        <v>SWE</v>
      </c>
      <c r="C1702" s="11">
        <v>6183010</v>
      </c>
      <c r="D1702" s="16">
        <v>2015</v>
      </c>
      <c r="E1702" s="13">
        <v>45568</v>
      </c>
      <c r="F1702" s="8">
        <v>7.3698732494367629</v>
      </c>
    </row>
    <row r="1703" spans="1:6" x14ac:dyDescent="0.25">
      <c r="A1703" s="4" t="s">
        <v>149</v>
      </c>
      <c r="B1703" s="4" t="str">
        <f>VLOOKUP(A1703,Codes!$G$2:$H$217,2,0)</f>
        <v>SWE</v>
      </c>
      <c r="C1703" s="11">
        <v>6228866</v>
      </c>
      <c r="D1703" s="16">
        <v>2016</v>
      </c>
      <c r="E1703" s="13">
        <v>49751</v>
      </c>
      <c r="F1703" s="8">
        <v>7.9871681298008346</v>
      </c>
    </row>
    <row r="1704" spans="1:6" x14ac:dyDescent="0.25">
      <c r="A1704" s="4" t="s">
        <v>149</v>
      </c>
      <c r="B1704" s="4" t="str">
        <f>VLOOKUP(A1704,Codes!$G$2:$H$217,2,0)</f>
        <v>SWE</v>
      </c>
      <c r="C1704" s="11">
        <v>6287411</v>
      </c>
      <c r="D1704" s="16">
        <v>2017</v>
      </c>
      <c r="E1704" s="13">
        <v>48543</v>
      </c>
      <c r="F1704" s="8">
        <v>7.7206659466034591</v>
      </c>
    </row>
    <row r="1705" spans="1:6" x14ac:dyDescent="0.25">
      <c r="A1705" s="4" t="s">
        <v>149</v>
      </c>
      <c r="B1705" s="4" t="str">
        <f>VLOOKUP(A1705,Codes!$G$2:$H$217,2,0)</f>
        <v>SWE</v>
      </c>
      <c r="C1705" s="11">
        <v>6341467</v>
      </c>
      <c r="D1705" s="16">
        <v>2018</v>
      </c>
      <c r="E1705" s="13">
        <v>45590</v>
      </c>
      <c r="F1705" s="8">
        <v>7.1891882430358782</v>
      </c>
    </row>
    <row r="1706" spans="1:6" x14ac:dyDescent="0.25">
      <c r="A1706" s="4" t="s">
        <v>149</v>
      </c>
      <c r="B1706" s="4" t="str">
        <f>VLOOKUP(A1706,Codes!$G$2:$H$217,2,0)</f>
        <v>SWE</v>
      </c>
      <c r="C1706" s="11">
        <v>6390995</v>
      </c>
      <c r="D1706" s="16">
        <v>2019</v>
      </c>
      <c r="E1706" s="13">
        <v>46377</v>
      </c>
      <c r="F1706" s="8">
        <v>7.2566165362357511</v>
      </c>
    </row>
    <row r="1707" spans="1:6" x14ac:dyDescent="0.25">
      <c r="A1707" s="4" t="s">
        <v>149</v>
      </c>
      <c r="B1707" s="4" t="str">
        <f>VLOOKUP(A1707,Codes!$G$2:$H$217,2,0)</f>
        <v>SWE</v>
      </c>
      <c r="C1707" s="11">
        <v>6424064</v>
      </c>
      <c r="D1707" s="16">
        <v>2020</v>
      </c>
      <c r="E1707" s="13">
        <v>57682</v>
      </c>
      <c r="F1707" s="8">
        <v>8.9790512672351959</v>
      </c>
    </row>
    <row r="1708" spans="1:6" x14ac:dyDescent="0.25">
      <c r="A1708" s="3" t="s">
        <v>150</v>
      </c>
      <c r="B1708" s="4" t="str">
        <f>VLOOKUP(A1708,Codes!$G$2:$H$217,2,0)</f>
        <v>CHE</v>
      </c>
      <c r="C1708" s="11">
        <v>5091240</v>
      </c>
      <c r="D1708" s="12">
        <v>2006</v>
      </c>
      <c r="E1708" s="13">
        <v>19471</v>
      </c>
      <c r="F1708" s="8">
        <v>3.824412127497427</v>
      </c>
    </row>
    <row r="1709" spans="1:6" x14ac:dyDescent="0.25">
      <c r="A1709" s="4" t="s">
        <v>150</v>
      </c>
      <c r="B1709" s="4" t="str">
        <f>VLOOKUP(A1709,Codes!$G$2:$H$217,2,0)</f>
        <v>CHE</v>
      </c>
      <c r="C1709" s="11">
        <v>5142566</v>
      </c>
      <c r="D1709" s="12">
        <v>2007</v>
      </c>
      <c r="E1709" s="13">
        <v>21391</v>
      </c>
      <c r="F1709" s="8">
        <v>4.1595965904958732</v>
      </c>
    </row>
    <row r="1710" spans="1:6" x14ac:dyDescent="0.25">
      <c r="A1710" s="4" t="s">
        <v>150</v>
      </c>
      <c r="B1710" s="4" t="str">
        <f>VLOOKUP(A1710,Codes!$G$2:$H$217,2,0)</f>
        <v>CHE</v>
      </c>
      <c r="C1710" s="11">
        <v>5210999</v>
      </c>
      <c r="D1710" s="12">
        <v>2008</v>
      </c>
      <c r="E1710" s="13">
        <v>21733</v>
      </c>
      <c r="F1710" s="8">
        <v>4.1706014528116393</v>
      </c>
    </row>
    <row r="1711" spans="1:6" x14ac:dyDescent="0.25">
      <c r="A1711" s="4" t="s">
        <v>150</v>
      </c>
      <c r="B1711" s="4" t="str">
        <f>VLOOKUP(A1711,Codes!$G$2:$H$217,2,0)</f>
        <v>CHE</v>
      </c>
      <c r="C1711" s="11">
        <v>5275346</v>
      </c>
      <c r="D1711" s="12">
        <v>2009</v>
      </c>
      <c r="E1711" s="13">
        <v>20810</v>
      </c>
      <c r="F1711" s="8">
        <v>3.9447649500146529</v>
      </c>
    </row>
    <row r="1712" spans="1:6" x14ac:dyDescent="0.25">
      <c r="A1712" s="4" t="s">
        <v>150</v>
      </c>
      <c r="B1712" s="4" t="str">
        <f>VLOOKUP(A1712,Codes!$G$2:$H$217,2,0)</f>
        <v>CHE</v>
      </c>
      <c r="C1712" s="11">
        <v>5324873</v>
      </c>
      <c r="D1712" s="12">
        <v>2010</v>
      </c>
      <c r="E1712" s="13">
        <v>22139</v>
      </c>
      <c r="F1712" s="8">
        <v>4.1576578446096271</v>
      </c>
    </row>
    <row r="1713" spans="1:6" x14ac:dyDescent="0.25">
      <c r="A1713" s="4" t="s">
        <v>150</v>
      </c>
      <c r="B1713" s="4" t="str">
        <f>VLOOKUP(A1713,Codes!$G$2:$H$217,2,0)</f>
        <v>CHE</v>
      </c>
      <c r="C1713" s="11">
        <v>5375881</v>
      </c>
      <c r="D1713" s="12">
        <v>2011</v>
      </c>
      <c r="E1713" s="13">
        <v>23765</v>
      </c>
      <c r="F1713" s="8">
        <v>4.4206707700561081</v>
      </c>
    </row>
    <row r="1714" spans="1:6" x14ac:dyDescent="0.25">
      <c r="A1714" s="4" t="s">
        <v>150</v>
      </c>
      <c r="B1714" s="4" t="str">
        <f>VLOOKUP(A1714,Codes!$G$2:$H$217,2,0)</f>
        <v>CHE</v>
      </c>
      <c r="C1714" s="11">
        <v>5421980</v>
      </c>
      <c r="D1714" s="12">
        <v>2012</v>
      </c>
      <c r="E1714" s="13">
        <v>23608</v>
      </c>
      <c r="F1714" s="8">
        <v>4.3541289344483012</v>
      </c>
    </row>
    <row r="1715" spans="1:6" x14ac:dyDescent="0.25">
      <c r="A1715" s="4" t="s">
        <v>150</v>
      </c>
      <c r="B1715" s="4" t="str">
        <f>VLOOKUP(A1715,Codes!$G$2:$H$217,2,0)</f>
        <v>CHE</v>
      </c>
      <c r="C1715" s="11">
        <v>5469973</v>
      </c>
      <c r="D1715" s="12">
        <v>2013</v>
      </c>
      <c r="E1715" s="13">
        <v>24601</v>
      </c>
      <c r="F1715" s="8">
        <v>4.4974627845512218</v>
      </c>
    </row>
    <row r="1716" spans="1:6" x14ac:dyDescent="0.25">
      <c r="A1716" s="4" t="s">
        <v>150</v>
      </c>
      <c r="B1716" s="4" t="str">
        <f>VLOOKUP(A1716,Codes!$G$2:$H$217,2,0)</f>
        <v>CHE</v>
      </c>
      <c r="C1716" s="11">
        <v>5520268</v>
      </c>
      <c r="D1716" s="16">
        <v>2014</v>
      </c>
      <c r="E1716" s="13">
        <v>25085</v>
      </c>
      <c r="F1716" s="8">
        <v>4.5441634355433465</v>
      </c>
    </row>
    <row r="1717" spans="1:6" x14ac:dyDescent="0.25">
      <c r="A1717" s="4" t="s">
        <v>150</v>
      </c>
      <c r="B1717" s="4" t="str">
        <f>VLOOKUP(A1717,Codes!$G$2:$H$217,2,0)</f>
        <v>CHE</v>
      </c>
      <c r="C1717" s="11">
        <v>5566544</v>
      </c>
      <c r="D1717" s="16">
        <v>2015</v>
      </c>
      <c r="E1717" s="13">
        <v>24244</v>
      </c>
      <c r="F1717" s="8">
        <v>4.3553055540385559</v>
      </c>
    </row>
    <row r="1718" spans="1:6" x14ac:dyDescent="0.25">
      <c r="A1718" s="4" t="s">
        <v>150</v>
      </c>
      <c r="B1718" s="4" t="str">
        <f>VLOOKUP(A1718,Codes!$G$2:$H$217,2,0)</f>
        <v>CHE</v>
      </c>
      <c r="C1718" s="11">
        <v>5604990</v>
      </c>
      <c r="D1718" s="16">
        <v>2016</v>
      </c>
      <c r="E1718" s="13">
        <v>24135</v>
      </c>
      <c r="F1718" s="8">
        <v>4.3059844888215677</v>
      </c>
    </row>
    <row r="1719" spans="1:6" x14ac:dyDescent="0.25">
      <c r="A1719" s="4" t="s">
        <v>150</v>
      </c>
      <c r="B1719" s="4" t="str">
        <f>VLOOKUP(A1719,Codes!$G$2:$H$217,2,0)</f>
        <v>CHE</v>
      </c>
      <c r="C1719" s="11">
        <v>5637093</v>
      </c>
      <c r="D1719" s="16">
        <v>2017</v>
      </c>
      <c r="E1719" s="13">
        <v>25790</v>
      </c>
      <c r="F1719" s="8">
        <v>4.5750531346564625</v>
      </c>
    </row>
    <row r="1720" spans="1:6" x14ac:dyDescent="0.25">
      <c r="A1720" s="4" t="s">
        <v>150</v>
      </c>
      <c r="B1720" s="4" t="str">
        <f>VLOOKUP(A1720,Codes!$G$2:$H$217,2,0)</f>
        <v>CHE</v>
      </c>
      <c r="C1720" s="11">
        <v>5659119</v>
      </c>
      <c r="D1720" s="16">
        <v>2018</v>
      </c>
      <c r="E1720" s="13">
        <v>25637</v>
      </c>
      <c r="F1720" s="8">
        <v>4.5302104444172322</v>
      </c>
    </row>
    <row r="1721" spans="1:6" x14ac:dyDescent="0.25">
      <c r="A1721" s="4" t="s">
        <v>150</v>
      </c>
      <c r="B1721" s="4" t="str">
        <f>VLOOKUP(A1721,Codes!$G$2:$H$217,2,0)</f>
        <v>CHE</v>
      </c>
      <c r="C1721" s="11">
        <v>5678664</v>
      </c>
      <c r="D1721" s="16">
        <v>2019</v>
      </c>
      <c r="E1721" s="13">
        <v>26347</v>
      </c>
      <c r="F1721" s="8">
        <v>4.6396476354297418</v>
      </c>
    </row>
    <row r="1722" spans="1:6" x14ac:dyDescent="0.25">
      <c r="A1722" s="3" t="s">
        <v>151</v>
      </c>
      <c r="B1722" s="4" t="str">
        <f>VLOOKUP(A1722,Codes!$G$2:$H$217,2,0)</f>
        <v>TWN</v>
      </c>
      <c r="C1722" s="13">
        <v>16322782</v>
      </c>
      <c r="D1722" s="12">
        <v>2006</v>
      </c>
      <c r="E1722" s="13">
        <v>37626</v>
      </c>
      <c r="F1722" s="8">
        <v>2.3051217617192949</v>
      </c>
    </row>
    <row r="1723" spans="1:6" x14ac:dyDescent="0.25">
      <c r="A1723" s="4" t="s">
        <v>151</v>
      </c>
      <c r="B1723" s="4" t="str">
        <f>VLOOKUP(A1723,Codes!$G$2:$H$217,2,0)</f>
        <v>TWN</v>
      </c>
      <c r="C1723" s="13">
        <v>16447619</v>
      </c>
      <c r="D1723" s="12">
        <v>2007</v>
      </c>
      <c r="E1723" s="13">
        <v>33157</v>
      </c>
      <c r="F1723" s="8">
        <v>2.0159148871335115</v>
      </c>
    </row>
    <row r="1724" spans="1:6" x14ac:dyDescent="0.25">
      <c r="A1724" s="4" t="s">
        <v>151</v>
      </c>
      <c r="B1724" s="4" t="str">
        <f>VLOOKUP(A1724,Codes!$G$2:$H$217,2,0)</f>
        <v>TWN</v>
      </c>
      <c r="C1724" s="13">
        <v>16566872</v>
      </c>
      <c r="D1724" s="12">
        <v>2008</v>
      </c>
      <c r="E1724" s="13">
        <v>29676</v>
      </c>
      <c r="F1724" s="8">
        <v>1.7912856452322443</v>
      </c>
    </row>
    <row r="1725" spans="1:6" x14ac:dyDescent="0.25">
      <c r="A1725" s="4" t="s">
        <v>151</v>
      </c>
      <c r="B1725" s="4" t="str">
        <f>VLOOKUP(A1725,Codes!$G$2:$H$217,2,0)</f>
        <v>TWN</v>
      </c>
      <c r="C1725" s="13">
        <v>16683975</v>
      </c>
      <c r="D1725" s="12">
        <v>2009</v>
      </c>
      <c r="E1725" s="13">
        <v>31240</v>
      </c>
      <c r="F1725" s="8">
        <v>1.8724554550099721</v>
      </c>
    </row>
    <row r="1726" spans="1:6" x14ac:dyDescent="0.25">
      <c r="A1726" s="4" t="s">
        <v>151</v>
      </c>
      <c r="B1726" s="4" t="str">
        <f>VLOOKUP(A1726,Codes!$G$2:$H$217,2,0)</f>
        <v>TWN</v>
      </c>
      <c r="C1726" s="13">
        <v>16683975</v>
      </c>
      <c r="D1726" s="12">
        <v>2010</v>
      </c>
      <c r="E1726" s="13">
        <v>36277</v>
      </c>
      <c r="F1726" s="8">
        <v>2.1743619251407416</v>
      </c>
    </row>
    <row r="1727" spans="1:6" x14ac:dyDescent="0.25">
      <c r="A1727" s="4" t="s">
        <v>151</v>
      </c>
      <c r="B1727" s="4" t="str">
        <f>VLOOKUP(A1727,Codes!$G$2:$H$217,2,0)</f>
        <v>TWN</v>
      </c>
      <c r="C1727" s="13">
        <v>16683975</v>
      </c>
      <c r="D1727" s="12">
        <v>2011</v>
      </c>
      <c r="E1727" s="13">
        <v>36840</v>
      </c>
      <c r="F1727" s="8">
        <v>2.2081068810040776</v>
      </c>
    </row>
    <row r="1728" spans="1:6" x14ac:dyDescent="0.25">
      <c r="A1728" s="4" t="s">
        <v>151</v>
      </c>
      <c r="B1728" s="4" t="str">
        <f>VLOOKUP(A1728,Codes!$G$2:$H$217,2,0)</f>
        <v>TWN</v>
      </c>
      <c r="C1728" s="13">
        <v>16683975</v>
      </c>
      <c r="D1728" s="12">
        <v>2012</v>
      </c>
      <c r="E1728" s="13">
        <v>36445</v>
      </c>
      <c r="F1728" s="8">
        <v>2.1844314679205645</v>
      </c>
    </row>
    <row r="1729" spans="1:6" x14ac:dyDescent="0.25">
      <c r="A1729" s="4" t="s">
        <v>151</v>
      </c>
      <c r="B1729" s="4" t="str">
        <f>VLOOKUP(A1729,Codes!$G$2:$H$217,2,0)</f>
        <v>TWN</v>
      </c>
      <c r="C1729" s="13">
        <v>16220340</v>
      </c>
      <c r="D1729" s="12">
        <v>2013</v>
      </c>
      <c r="E1729" s="13">
        <v>38895</v>
      </c>
      <c r="F1729" s="8">
        <v>2.3979152101620556</v>
      </c>
    </row>
    <row r="1730" spans="1:6" x14ac:dyDescent="0.25">
      <c r="A1730" s="4" t="s">
        <v>151</v>
      </c>
      <c r="B1730" s="4" t="str">
        <f>VLOOKUP(A1730,Codes!$G$2:$H$217,2,0)</f>
        <v>TWN</v>
      </c>
      <c r="C1730" s="13">
        <v>16638140</v>
      </c>
      <c r="D1730" s="16">
        <v>2014</v>
      </c>
      <c r="E1730" s="13">
        <v>41164</v>
      </c>
      <c r="F1730" s="8">
        <v>2.4740746261300841</v>
      </c>
    </row>
    <row r="1731" spans="1:6" x14ac:dyDescent="0.25">
      <c r="A1731" s="4" t="s">
        <v>151</v>
      </c>
      <c r="B1731" s="4" t="str">
        <f>VLOOKUP(A1731,Codes!$G$2:$H$217,2,0)</f>
        <v>TWN</v>
      </c>
      <c r="C1731" s="13">
        <v>17365715</v>
      </c>
      <c r="D1731" s="16">
        <v>2015</v>
      </c>
      <c r="E1731" s="13">
        <v>42848</v>
      </c>
      <c r="F1731" s="8">
        <v>2.4673904875209569</v>
      </c>
    </row>
    <row r="1732" spans="1:6" x14ac:dyDescent="0.25">
      <c r="A1732" s="4" t="s">
        <v>151</v>
      </c>
      <c r="B1732" s="4" t="str">
        <f>VLOOKUP(A1732,Codes!$G$2:$H$217,2,0)</f>
        <v>TWN</v>
      </c>
      <c r="C1732" s="13">
        <v>17291830</v>
      </c>
      <c r="D1732" s="16">
        <v>2016</v>
      </c>
      <c r="E1732" s="13">
        <v>42903</v>
      </c>
      <c r="F1732" s="8">
        <v>2.4811139133336377</v>
      </c>
    </row>
    <row r="1733" spans="1:6" x14ac:dyDescent="0.25">
      <c r="A1733" s="4" t="s">
        <v>151</v>
      </c>
      <c r="B1733" s="4" t="str">
        <f>VLOOKUP(A1733,Codes!$G$2:$H$217,2,0)</f>
        <v>TWN</v>
      </c>
      <c r="C1733" s="13">
        <v>17211341</v>
      </c>
      <c r="D1733" s="16">
        <v>2017</v>
      </c>
      <c r="E1733" s="13">
        <v>45131</v>
      </c>
      <c r="F1733" s="8">
        <v>2.6221663959827417</v>
      </c>
    </row>
    <row r="1734" spans="1:6" x14ac:dyDescent="0.25">
      <c r="A1734" s="4" t="s">
        <v>151</v>
      </c>
      <c r="B1734" s="4" t="str">
        <f>VLOOKUP(A1734,Codes!$G$2:$H$217,2,0)</f>
        <v>TWN</v>
      </c>
      <c r="C1734" s="13">
        <v>17107188</v>
      </c>
      <c r="D1734" s="16">
        <v>2018</v>
      </c>
      <c r="E1734" s="13">
        <v>41931</v>
      </c>
      <c r="F1734" s="8">
        <v>2.4510749516519019</v>
      </c>
    </row>
    <row r="1735" spans="1:6" x14ac:dyDescent="0.25">
      <c r="A1735" s="4" t="s">
        <v>151</v>
      </c>
      <c r="B1735" s="4" t="str">
        <f>VLOOKUP(A1735,Codes!$G$2:$H$217,2,0)</f>
        <v>TWN</v>
      </c>
      <c r="C1735" s="13">
        <v>16985643</v>
      </c>
      <c r="D1735" s="16">
        <v>2019</v>
      </c>
      <c r="E1735" s="13">
        <v>41236</v>
      </c>
      <c r="F1735" s="8">
        <v>2.4276973206136501</v>
      </c>
    </row>
    <row r="1736" spans="1:6" x14ac:dyDescent="0.25">
      <c r="A1736" s="4" t="s">
        <v>151</v>
      </c>
      <c r="B1736" s="4" t="str">
        <f>VLOOKUP(A1736,Codes!$G$2:$H$217,2,0)</f>
        <v>TWN</v>
      </c>
      <c r="C1736" s="13">
        <v>16810525</v>
      </c>
      <c r="D1736" s="16">
        <v>2020</v>
      </c>
      <c r="E1736" s="13">
        <v>45454</v>
      </c>
      <c r="F1736" s="8">
        <v>2.7039012761350403</v>
      </c>
    </row>
    <row r="1737" spans="1:6" x14ac:dyDescent="0.25">
      <c r="A1737" s="3" t="s">
        <v>152</v>
      </c>
      <c r="B1737" s="4" t="str">
        <f>VLOOKUP(A1737,Codes!$G$2:$H$217,2,0)</f>
        <v>TJK</v>
      </c>
      <c r="C1737" s="11">
        <v>4077728</v>
      </c>
      <c r="D1737" s="12">
        <v>2006</v>
      </c>
      <c r="E1737" s="13">
        <v>878</v>
      </c>
      <c r="F1737" s="8">
        <v>0.21531597987899145</v>
      </c>
    </row>
    <row r="1738" spans="1:6" x14ac:dyDescent="0.25">
      <c r="A1738" s="4" t="s">
        <v>152</v>
      </c>
      <c r="B1738" s="4" t="str">
        <f>VLOOKUP(A1738,Codes!$G$2:$H$217,2,0)</f>
        <v>TJK</v>
      </c>
      <c r="C1738" s="11">
        <v>4205652</v>
      </c>
      <c r="D1738" s="12">
        <v>2007</v>
      </c>
      <c r="E1738" s="13">
        <v>885</v>
      </c>
      <c r="F1738" s="8">
        <v>0.21043110556936237</v>
      </c>
    </row>
    <row r="1739" spans="1:6" x14ac:dyDescent="0.25">
      <c r="A1739" s="4" t="s">
        <v>152</v>
      </c>
      <c r="B1739" s="4" t="str">
        <f>VLOOKUP(A1739,Codes!$G$2:$H$217,2,0)</f>
        <v>TJK</v>
      </c>
      <c r="C1739" s="11">
        <v>4333572</v>
      </c>
      <c r="D1739" s="12">
        <v>2008</v>
      </c>
      <c r="E1739" s="13">
        <v>1080</v>
      </c>
      <c r="F1739" s="8">
        <v>0.2492170431228557</v>
      </c>
    </row>
    <row r="1740" spans="1:6" x14ac:dyDescent="0.25">
      <c r="A1740" s="4" t="s">
        <v>152</v>
      </c>
      <c r="B1740" s="4" t="str">
        <f>VLOOKUP(A1740,Codes!$G$2:$H$217,2,0)</f>
        <v>TJK</v>
      </c>
      <c r="C1740" s="11">
        <v>4462896</v>
      </c>
      <c r="D1740" s="12">
        <v>2009</v>
      </c>
      <c r="E1740" s="13">
        <v>1855</v>
      </c>
      <c r="F1740" s="8">
        <v>0.41564938999250711</v>
      </c>
    </row>
    <row r="1741" spans="1:6" x14ac:dyDescent="0.25">
      <c r="A1741" s="4" t="s">
        <v>152</v>
      </c>
      <c r="B1741" s="4" t="str">
        <f>VLOOKUP(A1741,Codes!$G$2:$H$217,2,0)</f>
        <v>TJK</v>
      </c>
      <c r="C1741" s="11">
        <v>4593410</v>
      </c>
      <c r="D1741" s="12">
        <v>2010</v>
      </c>
      <c r="E1741" s="13">
        <v>2178</v>
      </c>
      <c r="F1741" s="8">
        <v>0.47415754308890345</v>
      </c>
    </row>
    <row r="1742" spans="1:6" x14ac:dyDescent="0.25">
      <c r="A1742" s="4" t="s">
        <v>152</v>
      </c>
      <c r="B1742" s="4" t="str">
        <f>VLOOKUP(A1742,Codes!$G$2:$H$217,2,0)</f>
        <v>TJK</v>
      </c>
      <c r="C1742" s="11">
        <v>4709898</v>
      </c>
      <c r="D1742" s="12">
        <v>2011</v>
      </c>
      <c r="E1742" s="13">
        <v>1242</v>
      </c>
      <c r="F1742" s="8">
        <v>0.26369997821608876</v>
      </c>
    </row>
    <row r="1743" spans="1:6" x14ac:dyDescent="0.25">
      <c r="A1743" s="4" t="s">
        <v>152</v>
      </c>
      <c r="B1743" s="4" t="str">
        <f>VLOOKUP(A1743,Codes!$G$2:$H$217,2,0)</f>
        <v>TJK</v>
      </c>
      <c r="C1743" s="11">
        <v>4830247</v>
      </c>
      <c r="D1743" s="12">
        <v>2012</v>
      </c>
      <c r="E1743" s="13">
        <v>1272</v>
      </c>
      <c r="F1743" s="8">
        <v>0.26334057036834763</v>
      </c>
    </row>
    <row r="1744" spans="1:6" x14ac:dyDescent="0.25">
      <c r="A1744" s="4" t="s">
        <v>152</v>
      </c>
      <c r="B1744" s="4" t="str">
        <f>VLOOKUP(A1744,Codes!$G$2:$H$217,2,0)</f>
        <v>TJK</v>
      </c>
      <c r="C1744" s="11">
        <v>4950131</v>
      </c>
      <c r="D1744" s="12">
        <v>2013</v>
      </c>
      <c r="E1744" s="13">
        <v>5555</v>
      </c>
      <c r="F1744" s="8">
        <v>1.1221925237938146</v>
      </c>
    </row>
    <row r="1745" spans="1:6" x14ac:dyDescent="0.25">
      <c r="A1745" s="4" t="s">
        <v>152</v>
      </c>
      <c r="B1745" s="4" t="str">
        <f>VLOOKUP(A1745,Codes!$G$2:$H$217,2,0)</f>
        <v>TJK</v>
      </c>
      <c r="C1745" s="11">
        <v>5065390</v>
      </c>
      <c r="D1745" s="16">
        <v>2014</v>
      </c>
      <c r="E1745" s="13">
        <v>1514</v>
      </c>
      <c r="F1745" s="8">
        <v>0.29889110216587467</v>
      </c>
    </row>
    <row r="1746" spans="1:6" x14ac:dyDescent="0.25">
      <c r="A1746" s="4" t="s">
        <v>152</v>
      </c>
      <c r="B1746" s="4" t="str">
        <f>VLOOKUP(A1746,Codes!$G$2:$H$217,2,0)</f>
        <v>TJK</v>
      </c>
      <c r="C1746" s="11">
        <v>5175181</v>
      </c>
      <c r="D1746" s="16">
        <v>2015</v>
      </c>
      <c r="E1746" s="13">
        <v>1218</v>
      </c>
      <c r="F1746" s="8">
        <v>0.2353540871324114</v>
      </c>
    </row>
    <row r="1747" spans="1:6" x14ac:dyDescent="0.25">
      <c r="A1747" s="4" t="s">
        <v>152</v>
      </c>
      <c r="B1747" s="4" t="str">
        <f>VLOOKUP(A1747,Codes!$G$2:$H$217,2,0)</f>
        <v>TJK</v>
      </c>
      <c r="C1747" s="11">
        <v>5277119</v>
      </c>
      <c r="D1747" s="16">
        <v>2016</v>
      </c>
      <c r="E1747" s="13">
        <v>984</v>
      </c>
      <c r="F1747" s="8">
        <v>0.18646538006817734</v>
      </c>
    </row>
    <row r="1748" spans="1:6" x14ac:dyDescent="0.25">
      <c r="A1748" s="4" t="s">
        <v>152</v>
      </c>
      <c r="B1748" s="4" t="str">
        <f>VLOOKUP(A1748,Codes!$G$2:$H$217,2,0)</f>
        <v>TJK</v>
      </c>
      <c r="C1748" s="11">
        <v>5378324</v>
      </c>
      <c r="D1748" s="16">
        <v>2017</v>
      </c>
      <c r="E1748" s="13">
        <v>793</v>
      </c>
      <c r="F1748" s="8">
        <v>0.14744370179260305</v>
      </c>
    </row>
    <row r="1749" spans="1:6" x14ac:dyDescent="0.25">
      <c r="A1749" s="4" t="s">
        <v>152</v>
      </c>
      <c r="B1749" s="4" t="str">
        <f>VLOOKUP(A1749,Codes!$G$2:$H$217,2,0)</f>
        <v>TJK</v>
      </c>
      <c r="C1749" s="11">
        <v>5478148</v>
      </c>
      <c r="D1749" s="16">
        <v>2018</v>
      </c>
      <c r="E1749" s="13">
        <v>831</v>
      </c>
      <c r="F1749" s="8">
        <v>0.15169360156023531</v>
      </c>
    </row>
    <row r="1750" spans="1:6" x14ac:dyDescent="0.25">
      <c r="A1750" s="3" t="s">
        <v>153</v>
      </c>
      <c r="B1750" s="4" t="str">
        <f>VLOOKUP(A1750,Codes!$G$2:$H$217,2,0)</f>
        <v>TZA</v>
      </c>
      <c r="C1750" s="11">
        <v>20812604</v>
      </c>
      <c r="D1750" s="12">
        <v>2006</v>
      </c>
      <c r="E1750" s="13">
        <v>3745</v>
      </c>
      <c r="F1750" s="8">
        <v>0.17993904078509348</v>
      </c>
    </row>
    <row r="1751" spans="1:6" x14ac:dyDescent="0.25">
      <c r="A1751" s="4" t="s">
        <v>153</v>
      </c>
      <c r="B1751" s="4" t="str">
        <f>VLOOKUP(A1751,Codes!$G$2:$H$217,2,0)</f>
        <v>TZA</v>
      </c>
      <c r="C1751" s="11">
        <v>21401861</v>
      </c>
      <c r="D1751" s="12">
        <v>2007</v>
      </c>
      <c r="E1751" s="13">
        <v>4234</v>
      </c>
      <c r="F1751" s="8">
        <v>0.19783326319145797</v>
      </c>
    </row>
    <row r="1752" spans="1:6" x14ac:dyDescent="0.25">
      <c r="A1752" s="4" t="s">
        <v>153</v>
      </c>
      <c r="B1752" s="4" t="str">
        <f>VLOOKUP(A1752,Codes!$G$2:$H$217,2,0)</f>
        <v>TZA</v>
      </c>
      <c r="C1752" s="11">
        <v>22026441</v>
      </c>
      <c r="D1752" s="12">
        <v>2008</v>
      </c>
      <c r="E1752" s="13">
        <v>5099</v>
      </c>
      <c r="F1752" s="8">
        <v>0.23149450244821665</v>
      </c>
    </row>
    <row r="1753" spans="1:6" x14ac:dyDescent="0.25">
      <c r="A1753" s="4" t="s">
        <v>153</v>
      </c>
      <c r="B1753" s="4" t="str">
        <f>VLOOKUP(A1753,Codes!$G$2:$H$217,2,0)</f>
        <v>TZA</v>
      </c>
      <c r="C1753" s="11">
        <v>22675303</v>
      </c>
      <c r="D1753" s="12">
        <v>2009</v>
      </c>
      <c r="E1753" s="13">
        <v>5020</v>
      </c>
      <c r="F1753" s="8">
        <v>0.22138623682338446</v>
      </c>
    </row>
    <row r="1754" spans="1:6" x14ac:dyDescent="0.25">
      <c r="A1754" s="4" t="s">
        <v>153</v>
      </c>
      <c r="B1754" s="4" t="str">
        <f>VLOOKUP(A1754,Codes!$G$2:$H$217,2,0)</f>
        <v>TZA</v>
      </c>
      <c r="C1754" s="11">
        <v>23345453</v>
      </c>
      <c r="D1754" s="12">
        <v>2010</v>
      </c>
      <c r="E1754" s="13">
        <v>6800</v>
      </c>
      <c r="F1754" s="8">
        <v>0.29127727784935253</v>
      </c>
    </row>
    <row r="1755" spans="1:6" x14ac:dyDescent="0.25">
      <c r="A1755" s="4" t="s">
        <v>153</v>
      </c>
      <c r="B1755" s="4" t="str">
        <f>VLOOKUP(A1755,Codes!$G$2:$H$217,2,0)</f>
        <v>TZA</v>
      </c>
      <c r="C1755" s="11">
        <v>24031752</v>
      </c>
      <c r="D1755" s="12">
        <v>2011</v>
      </c>
      <c r="E1755" s="13">
        <v>7606</v>
      </c>
      <c r="F1755" s="8">
        <v>0.31649793989218933</v>
      </c>
    </row>
    <row r="1756" spans="1:6" x14ac:dyDescent="0.25">
      <c r="A1756" s="4" t="s">
        <v>153</v>
      </c>
      <c r="B1756" s="4" t="str">
        <f>VLOOKUP(A1756,Codes!$G$2:$H$217,2,0)</f>
        <v>TZA</v>
      </c>
      <c r="C1756" s="11">
        <v>24753898</v>
      </c>
      <c r="D1756" s="12">
        <v>2012</v>
      </c>
      <c r="E1756" s="13">
        <v>8126</v>
      </c>
      <c r="F1756" s="8">
        <v>0.32827153121500297</v>
      </c>
    </row>
    <row r="1757" spans="1:6" x14ac:dyDescent="0.25">
      <c r="A1757" s="4" t="s">
        <v>153</v>
      </c>
      <c r="B1757" s="4" t="str">
        <f>VLOOKUP(A1757,Codes!$G$2:$H$217,2,0)</f>
        <v>TZA</v>
      </c>
      <c r="C1757" s="11">
        <v>25514111</v>
      </c>
      <c r="D1757" s="12">
        <v>2013</v>
      </c>
      <c r="E1757" s="13">
        <v>8662</v>
      </c>
      <c r="F1757" s="8">
        <v>0.33949840541181309</v>
      </c>
    </row>
    <row r="1758" spans="1:6" x14ac:dyDescent="0.25">
      <c r="A1758" s="4" t="s">
        <v>153</v>
      </c>
      <c r="B1758" s="4" t="str">
        <f>VLOOKUP(A1758,Codes!$G$2:$H$217,2,0)</f>
        <v>TZA</v>
      </c>
      <c r="C1758" s="11">
        <v>26318920</v>
      </c>
      <c r="D1758" s="16">
        <v>2014</v>
      </c>
      <c r="E1758" s="13">
        <v>8768</v>
      </c>
      <c r="F1758" s="8">
        <v>0.33314436914584639</v>
      </c>
    </row>
    <row r="1759" spans="1:6" x14ac:dyDescent="0.25">
      <c r="A1759" s="4" t="s">
        <v>153</v>
      </c>
      <c r="B1759" s="4" t="str">
        <f>VLOOKUP(A1759,Codes!$G$2:$H$217,2,0)</f>
        <v>TZA</v>
      </c>
      <c r="C1759" s="11">
        <v>27172514</v>
      </c>
      <c r="D1759" s="16">
        <v>2015</v>
      </c>
      <c r="E1759" s="13">
        <v>8890</v>
      </c>
      <c r="F1759" s="8">
        <v>0.32716884422251102</v>
      </c>
    </row>
    <row r="1760" spans="1:6" x14ac:dyDescent="0.25">
      <c r="A1760" s="4" t="s">
        <v>153</v>
      </c>
      <c r="B1760" s="4" t="str">
        <f>VLOOKUP(A1760,Codes!$G$2:$H$217,2,0)</f>
        <v>TZA</v>
      </c>
      <c r="C1760" s="11">
        <v>28078281</v>
      </c>
      <c r="D1760" s="16">
        <v>2016</v>
      </c>
      <c r="E1760" s="13">
        <v>8326</v>
      </c>
      <c r="F1760" s="8">
        <v>0.29652812435348164</v>
      </c>
    </row>
    <row r="1761" spans="1:6" x14ac:dyDescent="0.25">
      <c r="A1761" s="4" t="s">
        <v>153</v>
      </c>
      <c r="B1761" s="4" t="str">
        <f>VLOOKUP(A1761,Codes!$G$2:$H$217,2,0)</f>
        <v>TZA</v>
      </c>
      <c r="C1761" s="11">
        <v>29024583</v>
      </c>
      <c r="D1761" s="16">
        <v>2017</v>
      </c>
      <c r="E1761" s="13">
        <v>6504</v>
      </c>
      <c r="F1761" s="8">
        <v>0.22408590676393181</v>
      </c>
    </row>
    <row r="1762" spans="1:6" x14ac:dyDescent="0.25">
      <c r="A1762" s="4" t="s">
        <v>153</v>
      </c>
      <c r="B1762" s="4" t="str">
        <f>VLOOKUP(A1762,Codes!$G$2:$H$217,2,0)</f>
        <v>TZA</v>
      </c>
      <c r="C1762" s="11">
        <v>30015326</v>
      </c>
      <c r="D1762" s="16">
        <v>2018</v>
      </c>
      <c r="E1762" s="13">
        <v>5276</v>
      </c>
      <c r="F1762" s="8">
        <v>0.17577686812397106</v>
      </c>
    </row>
    <row r="1763" spans="1:6" x14ac:dyDescent="0.25">
      <c r="A1763" s="3" t="s">
        <v>154</v>
      </c>
      <c r="B1763" s="4" t="str">
        <f>VLOOKUP(A1763,Codes!$G$2:$H$217,2,0)</f>
        <v>THA</v>
      </c>
      <c r="C1763" s="11">
        <v>46859629</v>
      </c>
      <c r="D1763" s="12">
        <v>2006</v>
      </c>
      <c r="E1763" s="13">
        <v>30119</v>
      </c>
      <c r="F1763" s="8">
        <v>0.64274943363294657</v>
      </c>
    </row>
    <row r="1764" spans="1:6" x14ac:dyDescent="0.25">
      <c r="A1764" s="4" t="s">
        <v>154</v>
      </c>
      <c r="B1764" s="4" t="str">
        <f>VLOOKUP(A1764,Codes!$G$2:$H$217,2,0)</f>
        <v>THA</v>
      </c>
      <c r="C1764" s="11">
        <v>47269795</v>
      </c>
      <c r="D1764" s="12">
        <v>2007</v>
      </c>
      <c r="E1764" s="13">
        <v>25156</v>
      </c>
      <c r="F1764" s="8">
        <v>0.53217916430566281</v>
      </c>
    </row>
    <row r="1765" spans="1:6" x14ac:dyDescent="0.25">
      <c r="A1765" s="4" t="s">
        <v>154</v>
      </c>
      <c r="B1765" s="4" t="str">
        <f>VLOOKUP(A1765,Codes!$G$2:$H$217,2,0)</f>
        <v>THA</v>
      </c>
      <c r="C1765" s="11">
        <v>47652306</v>
      </c>
      <c r="D1765" s="12">
        <v>2008</v>
      </c>
      <c r="E1765" s="13">
        <v>27655</v>
      </c>
      <c r="F1765" s="8">
        <v>0.58034966870228699</v>
      </c>
    </row>
    <row r="1766" spans="1:6" x14ac:dyDescent="0.25">
      <c r="A1766" s="4" t="s">
        <v>154</v>
      </c>
      <c r="B1766" s="4" t="str">
        <f>VLOOKUP(A1766,Codes!$G$2:$H$217,2,0)</f>
        <v>THA</v>
      </c>
      <c r="C1766" s="11">
        <v>48005328</v>
      </c>
      <c r="D1766" s="12">
        <v>2009</v>
      </c>
      <c r="E1766" s="13">
        <v>27520</v>
      </c>
      <c r="F1766" s="8">
        <v>0.57326970039658931</v>
      </c>
    </row>
    <row r="1767" spans="1:6" x14ac:dyDescent="0.25">
      <c r="A1767" s="4" t="s">
        <v>154</v>
      </c>
      <c r="B1767" s="4" t="str">
        <f>VLOOKUP(A1767,Codes!$G$2:$H$217,2,0)</f>
        <v>THA</v>
      </c>
      <c r="C1767" s="11">
        <v>48326222</v>
      </c>
      <c r="D1767" s="12">
        <v>2010</v>
      </c>
      <c r="E1767" s="13">
        <v>31707</v>
      </c>
      <c r="F1767" s="8">
        <v>0.65610342972806768</v>
      </c>
    </row>
    <row r="1768" spans="1:6" x14ac:dyDescent="0.25">
      <c r="A1768" s="4" t="s">
        <v>154</v>
      </c>
      <c r="B1768" s="4" t="str">
        <f>VLOOKUP(A1768,Codes!$G$2:$H$217,2,0)</f>
        <v>THA</v>
      </c>
      <c r="C1768" s="11">
        <v>48493776</v>
      </c>
      <c r="D1768" s="12">
        <v>2011</v>
      </c>
      <c r="E1768" s="13">
        <v>33704</v>
      </c>
      <c r="F1768" s="8">
        <v>0.69501702651490782</v>
      </c>
    </row>
    <row r="1769" spans="1:6" x14ac:dyDescent="0.25">
      <c r="A1769" s="4" t="s">
        <v>154</v>
      </c>
      <c r="B1769" s="4" t="str">
        <f>VLOOKUP(A1769,Codes!$G$2:$H$217,2,0)</f>
        <v>THA</v>
      </c>
      <c r="C1769" s="11">
        <v>48669140</v>
      </c>
      <c r="D1769" s="12">
        <v>2012</v>
      </c>
      <c r="E1769" s="13">
        <v>40900</v>
      </c>
      <c r="F1769" s="8">
        <v>0.84036824977799074</v>
      </c>
    </row>
    <row r="1770" spans="1:6" x14ac:dyDescent="0.25">
      <c r="A1770" s="4" t="s">
        <v>154</v>
      </c>
      <c r="B1770" s="4" t="str">
        <f>VLOOKUP(A1770,Codes!$G$2:$H$217,2,0)</f>
        <v>THA</v>
      </c>
      <c r="C1770" s="11">
        <v>48838167</v>
      </c>
      <c r="D1770" s="12">
        <v>2013</v>
      </c>
      <c r="E1770" s="13">
        <v>44482</v>
      </c>
      <c r="F1770" s="8">
        <v>0.91080404389460401</v>
      </c>
    </row>
    <row r="1771" spans="1:6" x14ac:dyDescent="0.25">
      <c r="A1771" s="4" t="s">
        <v>154</v>
      </c>
      <c r="B1771" s="4" t="str">
        <f>VLOOKUP(A1771,Codes!$G$2:$H$217,2,0)</f>
        <v>THA</v>
      </c>
      <c r="C1771" s="11">
        <v>48979007</v>
      </c>
      <c r="D1771" s="16">
        <v>2014</v>
      </c>
      <c r="E1771" s="13">
        <v>43589</v>
      </c>
      <c r="F1771" s="8">
        <v>0.88995270973950125</v>
      </c>
    </row>
    <row r="1772" spans="1:6" x14ac:dyDescent="0.25">
      <c r="A1772" s="4" t="s">
        <v>154</v>
      </c>
      <c r="B1772" s="4" t="str">
        <f>VLOOKUP(A1772,Codes!$G$2:$H$217,2,0)</f>
        <v>THA</v>
      </c>
      <c r="C1772" s="11">
        <v>49078487</v>
      </c>
      <c r="D1772" s="16">
        <v>2015</v>
      </c>
      <c r="E1772" s="13">
        <v>44809</v>
      </c>
      <c r="F1772" s="8">
        <v>0.91300695557301925</v>
      </c>
    </row>
    <row r="1773" spans="1:6" x14ac:dyDescent="0.25">
      <c r="A1773" s="4" t="s">
        <v>154</v>
      </c>
      <c r="B1773" s="4" t="str">
        <f>VLOOKUP(A1773,Codes!$G$2:$H$217,2,0)</f>
        <v>THA</v>
      </c>
      <c r="C1773" s="11">
        <v>49209847</v>
      </c>
      <c r="D1773" s="16">
        <v>2016</v>
      </c>
      <c r="E1773" s="13">
        <v>48907</v>
      </c>
      <c r="F1773" s="8">
        <v>0.99384580488535146</v>
      </c>
    </row>
    <row r="1774" spans="1:6" x14ac:dyDescent="0.25">
      <c r="A1774" s="4" t="s">
        <v>154</v>
      </c>
      <c r="B1774" s="4" t="str">
        <f>VLOOKUP(A1774,Codes!$G$2:$H$217,2,0)</f>
        <v>THA</v>
      </c>
      <c r="C1774" s="11">
        <v>49283767</v>
      </c>
      <c r="D1774" s="16">
        <v>2017</v>
      </c>
      <c r="E1774" s="13">
        <v>55525</v>
      </c>
      <c r="F1774" s="8">
        <v>1.1266387165575229</v>
      </c>
    </row>
    <row r="1775" spans="1:6" x14ac:dyDescent="0.25">
      <c r="A1775" s="4" t="s">
        <v>154</v>
      </c>
      <c r="B1775" s="4" t="str">
        <f>VLOOKUP(A1775,Codes!$G$2:$H$217,2,0)</f>
        <v>THA</v>
      </c>
      <c r="C1775" s="11">
        <v>49302616</v>
      </c>
      <c r="D1775" s="16">
        <v>2018</v>
      </c>
      <c r="E1775" s="13">
        <v>72109</v>
      </c>
      <c r="F1775" s="8">
        <v>1.4625795921254969</v>
      </c>
    </row>
    <row r="1776" spans="1:6" x14ac:dyDescent="0.25">
      <c r="A1776" s="4" t="s">
        <v>154</v>
      </c>
      <c r="B1776" s="4" t="str">
        <f>VLOOKUP(A1776,Codes!$G$2:$H$217,2,0)</f>
        <v>THA</v>
      </c>
      <c r="C1776" s="11">
        <v>49274172</v>
      </c>
      <c r="D1776" s="16">
        <v>2019</v>
      </c>
      <c r="E1776" s="13">
        <v>71485</v>
      </c>
      <c r="F1776" s="8">
        <v>1.4507600452423635</v>
      </c>
    </row>
    <row r="1777" spans="1:6" x14ac:dyDescent="0.25">
      <c r="A1777" s="4" t="s">
        <v>154</v>
      </c>
      <c r="B1777" s="4" t="str">
        <f>VLOOKUP(A1777,Codes!$G$2:$H$217,2,0)</f>
        <v>THA</v>
      </c>
      <c r="C1777" s="11">
        <v>49201842</v>
      </c>
      <c r="D1777" s="16">
        <v>2020</v>
      </c>
      <c r="E1777" s="13">
        <v>63340</v>
      </c>
      <c r="F1777" s="8">
        <v>1.2873501768490698</v>
      </c>
    </row>
    <row r="1778" spans="1:6" x14ac:dyDescent="0.25">
      <c r="A1778" s="3" t="s">
        <v>155</v>
      </c>
      <c r="B1778" s="4" t="str">
        <f>VLOOKUP(A1778,Codes!$G$2:$H$217,2,0)</f>
        <v>TLS</v>
      </c>
      <c r="C1778" s="11">
        <v>554293</v>
      </c>
      <c r="D1778" s="12">
        <v>2008</v>
      </c>
      <c r="E1778" s="13">
        <v>409</v>
      </c>
      <c r="F1778" s="8">
        <v>0.73787689904076004</v>
      </c>
    </row>
    <row r="1779" spans="1:6" x14ac:dyDescent="0.25">
      <c r="A1779" s="4" t="s">
        <v>155</v>
      </c>
      <c r="B1779" s="4" t="str">
        <f>VLOOKUP(A1779,Codes!$G$2:$H$217,2,0)</f>
        <v>TLS</v>
      </c>
      <c r="C1779" s="11">
        <v>569340</v>
      </c>
      <c r="D1779" s="12">
        <v>2009</v>
      </c>
      <c r="E1779" s="13">
        <v>1170</v>
      </c>
      <c r="F1779" s="8">
        <v>2.0550110654441984</v>
      </c>
    </row>
    <row r="1780" spans="1:6" x14ac:dyDescent="0.25">
      <c r="A1780" s="4" t="s">
        <v>155</v>
      </c>
      <c r="B1780" s="4" t="str">
        <f>VLOOKUP(A1780,Codes!$G$2:$H$217,2,0)</f>
        <v>TLS</v>
      </c>
      <c r="C1780" s="11">
        <v>584186</v>
      </c>
      <c r="D1780" s="12">
        <v>2010</v>
      </c>
      <c r="E1780" s="13">
        <v>4445</v>
      </c>
      <c r="F1780" s="8">
        <v>7.6088779943374201</v>
      </c>
    </row>
    <row r="1781" spans="1:6" x14ac:dyDescent="0.25">
      <c r="A1781" s="4" t="s">
        <v>155</v>
      </c>
      <c r="B1781" s="4" t="str">
        <f>VLOOKUP(A1781,Codes!$G$2:$H$217,2,0)</f>
        <v>TLS</v>
      </c>
      <c r="C1781" s="11">
        <v>601483</v>
      </c>
      <c r="D1781" s="12">
        <v>2011</v>
      </c>
      <c r="E1781" s="13">
        <v>2212</v>
      </c>
      <c r="F1781" s="8">
        <v>3.6775769223735337</v>
      </c>
    </row>
    <row r="1782" spans="1:6" x14ac:dyDescent="0.25">
      <c r="A1782" s="4" t="s">
        <v>155</v>
      </c>
      <c r="B1782" s="4" t="str">
        <f>VLOOKUP(A1782,Codes!$G$2:$H$217,2,0)</f>
        <v>TLS</v>
      </c>
      <c r="C1782" s="11">
        <v>618079</v>
      </c>
      <c r="D1782" s="12">
        <v>2012</v>
      </c>
      <c r="E1782" s="13">
        <v>1686</v>
      </c>
      <c r="F1782" s="8">
        <v>2.7278066396043226</v>
      </c>
    </row>
    <row r="1783" spans="1:6" x14ac:dyDescent="0.25">
      <c r="A1783" s="4" t="s">
        <v>155</v>
      </c>
      <c r="B1783" s="4" t="str">
        <f>VLOOKUP(A1783,Codes!$G$2:$H$217,2,0)</f>
        <v>TLS</v>
      </c>
      <c r="C1783" s="11">
        <v>634679</v>
      </c>
      <c r="D1783" s="12">
        <v>2013</v>
      </c>
      <c r="E1783" s="13">
        <v>3571</v>
      </c>
      <c r="F1783" s="8">
        <v>5.6264662924092335</v>
      </c>
    </row>
    <row r="1784" spans="1:6" x14ac:dyDescent="0.25">
      <c r="A1784" s="4" t="s">
        <v>155</v>
      </c>
      <c r="B1784" s="4" t="str">
        <f>VLOOKUP(A1784,Codes!$G$2:$H$217,2,0)</f>
        <v>TLS</v>
      </c>
      <c r="C1784" s="11">
        <v>652340</v>
      </c>
      <c r="D1784" s="16">
        <v>2014</v>
      </c>
      <c r="E1784" s="13">
        <v>2889</v>
      </c>
      <c r="F1784" s="8">
        <v>4.428672164822026</v>
      </c>
    </row>
    <row r="1785" spans="1:6" x14ac:dyDescent="0.25">
      <c r="A1785" s="3" t="s">
        <v>156</v>
      </c>
      <c r="B1785" s="4" t="str">
        <f>VLOOKUP(A1785,Codes!$G$2:$H$217,2,0)</f>
        <v>TGO</v>
      </c>
      <c r="C1785" s="11">
        <v>3402044</v>
      </c>
      <c r="D1785" s="12">
        <v>2009</v>
      </c>
      <c r="E1785" s="13">
        <v>515</v>
      </c>
      <c r="F1785" s="8">
        <v>0.15137958239223243</v>
      </c>
    </row>
    <row r="1786" spans="1:6" x14ac:dyDescent="0.25">
      <c r="A1786" s="4" t="s">
        <v>156</v>
      </c>
      <c r="B1786" s="4" t="str">
        <f>VLOOKUP(A1786,Codes!$G$2:$H$217,2,0)</f>
        <v>TGO</v>
      </c>
      <c r="C1786" s="11">
        <v>3498698</v>
      </c>
      <c r="D1786" s="12">
        <v>2010</v>
      </c>
      <c r="E1786" s="13">
        <v>560</v>
      </c>
      <c r="F1786" s="8">
        <v>0.16005954214967968</v>
      </c>
    </row>
    <row r="1787" spans="1:6" x14ac:dyDescent="0.25">
      <c r="A1787" s="4" t="s">
        <v>156</v>
      </c>
      <c r="B1787" s="4" t="str">
        <f>VLOOKUP(A1787,Codes!$G$2:$H$217,2,0)</f>
        <v>TGO</v>
      </c>
      <c r="C1787" s="11">
        <v>3594867</v>
      </c>
      <c r="D1787" s="12">
        <v>2011</v>
      </c>
      <c r="E1787" s="13">
        <v>615</v>
      </c>
      <c r="F1787" s="8">
        <v>0.17107726099463486</v>
      </c>
    </row>
    <row r="1788" spans="1:6" x14ac:dyDescent="0.25">
      <c r="A1788" s="4" t="s">
        <v>156</v>
      </c>
      <c r="B1788" s="4" t="str">
        <f>VLOOKUP(A1788,Codes!$G$2:$H$217,2,0)</f>
        <v>TGO</v>
      </c>
      <c r="C1788" s="11">
        <v>3696456</v>
      </c>
      <c r="D1788" s="12">
        <v>2012</v>
      </c>
      <c r="E1788" s="13">
        <v>723</v>
      </c>
      <c r="F1788" s="8">
        <v>0.1955927515436407</v>
      </c>
    </row>
    <row r="1789" spans="1:6" x14ac:dyDescent="0.25">
      <c r="A1789" s="4" t="s">
        <v>156</v>
      </c>
      <c r="B1789" s="4" t="str">
        <f>VLOOKUP(A1789,Codes!$G$2:$H$217,2,0)</f>
        <v>TGO</v>
      </c>
      <c r="C1789" s="11">
        <v>3803351</v>
      </c>
      <c r="D1789" s="12">
        <v>2013</v>
      </c>
      <c r="E1789" s="13">
        <v>737</v>
      </c>
      <c r="F1789" s="8">
        <v>0.19377648815478771</v>
      </c>
    </row>
    <row r="1790" spans="1:6" x14ac:dyDescent="0.25">
      <c r="A1790" s="4" t="s">
        <v>156</v>
      </c>
      <c r="B1790" s="4" t="str">
        <f>VLOOKUP(A1790,Codes!$G$2:$H$217,2,0)</f>
        <v>TGO</v>
      </c>
      <c r="C1790" s="11">
        <v>3915330</v>
      </c>
      <c r="D1790" s="16">
        <v>2014</v>
      </c>
      <c r="E1790" s="13">
        <v>1082</v>
      </c>
      <c r="F1790" s="8">
        <v>0.27634963081017433</v>
      </c>
    </row>
    <row r="1791" spans="1:6" x14ac:dyDescent="0.25">
      <c r="A1791" s="4" t="s">
        <v>156</v>
      </c>
      <c r="B1791" s="4" t="str">
        <f>VLOOKUP(A1791,Codes!$G$2:$H$217,2,0)</f>
        <v>TGO</v>
      </c>
      <c r="C1791" s="11">
        <v>4032230</v>
      </c>
      <c r="D1791" s="16">
        <v>2015</v>
      </c>
      <c r="E1791" s="13">
        <v>1704</v>
      </c>
      <c r="F1791" s="8">
        <v>0.42259494126079117</v>
      </c>
    </row>
    <row r="1792" spans="1:6" x14ac:dyDescent="0.25">
      <c r="A1792" s="4" t="s">
        <v>156</v>
      </c>
      <c r="B1792" s="4" t="str">
        <f>VLOOKUP(A1792,Codes!$G$2:$H$217,2,0)</f>
        <v>TGO</v>
      </c>
      <c r="C1792" s="11">
        <v>4150527</v>
      </c>
      <c r="D1792" s="16">
        <v>2016</v>
      </c>
      <c r="E1792" s="13">
        <v>1660</v>
      </c>
      <c r="F1792" s="8">
        <v>0.39994921126883404</v>
      </c>
    </row>
    <row r="1793" spans="1:6" x14ac:dyDescent="0.25">
      <c r="A1793" s="4" t="s">
        <v>156</v>
      </c>
      <c r="B1793" s="4" t="str">
        <f>VLOOKUP(A1793,Codes!$G$2:$H$217,2,0)</f>
        <v>TGO</v>
      </c>
      <c r="C1793" s="11">
        <v>4273593</v>
      </c>
      <c r="D1793" s="16">
        <v>2017</v>
      </c>
      <c r="E1793" s="13">
        <v>1767</v>
      </c>
      <c r="F1793" s="8">
        <v>0.41346941554799438</v>
      </c>
    </row>
    <row r="1794" spans="1:6" x14ac:dyDescent="0.25">
      <c r="A1794" s="4" t="s">
        <v>156</v>
      </c>
      <c r="B1794" s="4" t="str">
        <f>VLOOKUP(A1794,Codes!$G$2:$H$217,2,0)</f>
        <v>TGO</v>
      </c>
      <c r="C1794" s="11">
        <v>4401800</v>
      </c>
      <c r="D1794" s="16">
        <v>2018</v>
      </c>
      <c r="E1794" s="13">
        <v>2587</v>
      </c>
      <c r="F1794" s="8">
        <v>0.58771411695215592</v>
      </c>
    </row>
    <row r="1795" spans="1:6" x14ac:dyDescent="0.25">
      <c r="A1795" s="4" t="s">
        <v>156</v>
      </c>
      <c r="B1795" s="4" t="str">
        <f>VLOOKUP(A1795,Codes!$G$2:$H$217,2,0)</f>
        <v>TGO</v>
      </c>
      <c r="C1795" s="11">
        <v>4535359</v>
      </c>
      <c r="D1795" s="16">
        <v>2019</v>
      </c>
      <c r="E1795" s="13">
        <v>3393</v>
      </c>
      <c r="F1795" s="8">
        <v>0.7481215930205305</v>
      </c>
    </row>
    <row r="1796" spans="1:6" x14ac:dyDescent="0.25">
      <c r="A1796" s="4" t="s">
        <v>156</v>
      </c>
      <c r="B1796" s="4" t="str">
        <f>VLOOKUP(A1796,Codes!$G$2:$H$217,2,0)</f>
        <v>TGO</v>
      </c>
      <c r="C1796" s="11">
        <v>4674062</v>
      </c>
      <c r="D1796" s="16">
        <v>2020</v>
      </c>
      <c r="E1796" s="13">
        <v>4410</v>
      </c>
      <c r="F1796" s="8">
        <v>0.9435048144419137</v>
      </c>
    </row>
    <row r="1797" spans="1:6" x14ac:dyDescent="0.25">
      <c r="A1797" s="3" t="s">
        <v>157</v>
      </c>
      <c r="B1797" s="4" t="str">
        <f>VLOOKUP(A1797,Codes!$G$2:$H$217,2,0)</f>
        <v>TON</v>
      </c>
      <c r="C1797" s="11">
        <v>56887</v>
      </c>
      <c r="D1797" s="12">
        <v>2006</v>
      </c>
      <c r="E1797" s="13">
        <v>107</v>
      </c>
      <c r="F1797" s="8">
        <v>1.8809218274825532</v>
      </c>
    </row>
    <row r="1798" spans="1:6" x14ac:dyDescent="0.25">
      <c r="A1798" s="4" t="s">
        <v>157</v>
      </c>
      <c r="B1798" s="4" t="str">
        <f>VLOOKUP(A1798,Codes!$G$2:$H$217,2,0)</f>
        <v>TON</v>
      </c>
      <c r="C1798" s="11">
        <v>57527</v>
      </c>
      <c r="D1798" s="12">
        <v>2007</v>
      </c>
      <c r="E1798" s="13">
        <v>144</v>
      </c>
      <c r="F1798" s="8">
        <v>2.5031724233838024</v>
      </c>
    </row>
    <row r="1799" spans="1:6" x14ac:dyDescent="0.25">
      <c r="A1799" s="4" t="s">
        <v>157</v>
      </c>
      <c r="B1799" s="4" t="str">
        <f>VLOOKUP(A1799,Codes!$G$2:$H$217,2,0)</f>
        <v>TON</v>
      </c>
      <c r="C1799" s="11">
        <v>58236</v>
      </c>
      <c r="D1799" s="12">
        <v>2008</v>
      </c>
      <c r="E1799" s="13">
        <v>103</v>
      </c>
      <c r="F1799" s="8">
        <v>1.7686654303180163</v>
      </c>
    </row>
    <row r="1800" spans="1:6" x14ac:dyDescent="0.25">
      <c r="A1800" s="4" t="s">
        <v>157</v>
      </c>
      <c r="B1800" s="4" t="str">
        <f>VLOOKUP(A1800,Codes!$G$2:$H$217,2,0)</f>
        <v>TON</v>
      </c>
      <c r="C1800" s="11">
        <v>58811</v>
      </c>
      <c r="D1800" s="12">
        <v>2009</v>
      </c>
      <c r="E1800" s="13">
        <v>105</v>
      </c>
      <c r="F1800" s="8">
        <v>1.7853802860009182</v>
      </c>
    </row>
    <row r="1801" spans="1:6" x14ac:dyDescent="0.25">
      <c r="A1801" s="4" t="s">
        <v>157</v>
      </c>
      <c r="B1801" s="4" t="str">
        <f>VLOOKUP(A1801,Codes!$G$2:$H$217,2,0)</f>
        <v>TON</v>
      </c>
      <c r="C1801" s="11">
        <v>59139</v>
      </c>
      <c r="D1801" s="12">
        <v>2010</v>
      </c>
      <c r="E1801" s="13">
        <v>139</v>
      </c>
      <c r="F1801" s="8">
        <v>2.3503948325132313</v>
      </c>
    </row>
    <row r="1802" spans="1:6" x14ac:dyDescent="0.25">
      <c r="A1802" s="4" t="s">
        <v>157</v>
      </c>
      <c r="B1802" s="4" t="str">
        <f>VLOOKUP(A1802,Codes!$G$2:$H$217,2,0)</f>
        <v>TON</v>
      </c>
      <c r="C1802" s="11">
        <v>59083</v>
      </c>
      <c r="D1802" s="12">
        <v>2011</v>
      </c>
      <c r="E1802" s="13">
        <v>116</v>
      </c>
      <c r="F1802" s="8">
        <v>1.9633397085456052</v>
      </c>
    </row>
    <row r="1803" spans="1:6" x14ac:dyDescent="0.25">
      <c r="A1803" s="4" t="s">
        <v>157</v>
      </c>
      <c r="B1803" s="4" t="str">
        <f>VLOOKUP(A1803,Codes!$G$2:$H$217,2,0)</f>
        <v>TON</v>
      </c>
      <c r="C1803" s="11">
        <v>58734</v>
      </c>
      <c r="D1803" s="12">
        <v>2012</v>
      </c>
      <c r="E1803" s="13">
        <v>115</v>
      </c>
      <c r="F1803" s="8">
        <v>1.9579800456294478</v>
      </c>
    </row>
    <row r="1804" spans="1:6" x14ac:dyDescent="0.25">
      <c r="A1804" s="4" t="s">
        <v>157</v>
      </c>
      <c r="B1804" s="4" t="str">
        <f>VLOOKUP(A1804,Codes!$G$2:$H$217,2,0)</f>
        <v>TON</v>
      </c>
      <c r="C1804" s="11">
        <v>58314</v>
      </c>
      <c r="D1804" s="12">
        <v>2013</v>
      </c>
      <c r="E1804" s="13">
        <v>112</v>
      </c>
      <c r="F1804" s="8">
        <v>1.9206365538292691</v>
      </c>
    </row>
    <row r="1805" spans="1:6" x14ac:dyDescent="0.25">
      <c r="A1805" s="4" t="s">
        <v>157</v>
      </c>
      <c r="B1805" s="4" t="str">
        <f>VLOOKUP(A1805,Codes!$G$2:$H$217,2,0)</f>
        <v>TON</v>
      </c>
      <c r="C1805" s="11">
        <v>58044</v>
      </c>
      <c r="D1805" s="16">
        <v>2014</v>
      </c>
      <c r="E1805" s="13">
        <v>65</v>
      </c>
      <c r="F1805" s="8">
        <v>1.1198401212872993</v>
      </c>
    </row>
    <row r="1806" spans="1:6" x14ac:dyDescent="0.25">
      <c r="A1806" s="4" t="s">
        <v>157</v>
      </c>
      <c r="B1806" s="4" t="str">
        <f>VLOOKUP(A1806,Codes!$G$2:$H$217,2,0)</f>
        <v>TON</v>
      </c>
      <c r="C1806" s="11">
        <v>58047</v>
      </c>
      <c r="D1806" s="16">
        <v>2015</v>
      </c>
      <c r="E1806" s="13">
        <v>71</v>
      </c>
      <c r="F1806" s="8">
        <v>1.2231467603838269</v>
      </c>
    </row>
    <row r="1807" spans="1:6" x14ac:dyDescent="0.25">
      <c r="A1807" s="4" t="s">
        <v>157</v>
      </c>
      <c r="B1807" s="4" t="str">
        <f>VLOOKUP(A1807,Codes!$G$2:$H$217,2,0)</f>
        <v>TON</v>
      </c>
      <c r="C1807" s="11">
        <v>58558</v>
      </c>
      <c r="D1807" s="16">
        <v>2016</v>
      </c>
      <c r="E1807" s="13">
        <v>49</v>
      </c>
      <c r="F1807" s="8">
        <v>0.83677721233648683</v>
      </c>
    </row>
    <row r="1808" spans="1:6" x14ac:dyDescent="0.25">
      <c r="A1808" s="4" t="s">
        <v>157</v>
      </c>
      <c r="B1808" s="4" t="str">
        <f>VLOOKUP(A1808,Codes!$G$2:$H$217,2,0)</f>
        <v>TON</v>
      </c>
      <c r="C1808" s="11">
        <v>59418</v>
      </c>
      <c r="D1808" s="16">
        <v>2017</v>
      </c>
      <c r="E1808" s="13">
        <v>27</v>
      </c>
      <c r="F1808" s="8">
        <v>0.45440775522568921</v>
      </c>
    </row>
    <row r="1809" spans="1:6" x14ac:dyDescent="0.25">
      <c r="A1809" s="4" t="s">
        <v>157</v>
      </c>
      <c r="B1809" s="4" t="str">
        <f>VLOOKUP(A1809,Codes!$G$2:$H$217,2,0)</f>
        <v>TON</v>
      </c>
      <c r="C1809" s="11">
        <v>60506</v>
      </c>
      <c r="D1809" s="16">
        <v>2018</v>
      </c>
      <c r="E1809" s="13">
        <v>32</v>
      </c>
      <c r="F1809" s="8">
        <v>0.52887316960301456</v>
      </c>
    </row>
    <row r="1810" spans="1:6" x14ac:dyDescent="0.25">
      <c r="A1810" s="4" t="s">
        <v>157</v>
      </c>
      <c r="B1810" s="4" t="str">
        <f>VLOOKUP(A1810,Codes!$G$2:$H$217,2,0)</f>
        <v>TON</v>
      </c>
      <c r="C1810" s="11">
        <v>61638</v>
      </c>
      <c r="D1810" s="16">
        <v>2019</v>
      </c>
      <c r="E1810" s="13">
        <v>42</v>
      </c>
      <c r="F1810" s="8">
        <v>0.68139783899542494</v>
      </c>
    </row>
    <row r="1811" spans="1:6" x14ac:dyDescent="0.25">
      <c r="A1811" s="4" t="s">
        <v>157</v>
      </c>
      <c r="B1811" s="4" t="str">
        <f>VLOOKUP(A1811,Codes!$G$2:$H$217,2,0)</f>
        <v>TON</v>
      </c>
      <c r="C1811" s="11">
        <v>62694</v>
      </c>
      <c r="D1811" s="16">
        <v>2020</v>
      </c>
      <c r="E1811" s="13">
        <v>45</v>
      </c>
      <c r="F1811" s="8">
        <v>0.71777203560149294</v>
      </c>
    </row>
    <row r="1812" spans="1:6" x14ac:dyDescent="0.25">
      <c r="A1812" s="3" t="s">
        <v>158</v>
      </c>
      <c r="B1812" s="4" t="str">
        <f>VLOOKUP(A1812,Codes!$G$2:$H$217,2,0)</f>
        <v>TTO</v>
      </c>
      <c r="C1812" s="11">
        <v>926426</v>
      </c>
      <c r="D1812" s="12">
        <v>2006</v>
      </c>
      <c r="E1812" s="13">
        <v>3421</v>
      </c>
      <c r="F1812" s="8">
        <v>3.6926856543318087</v>
      </c>
    </row>
    <row r="1813" spans="1:6" x14ac:dyDescent="0.25">
      <c r="A1813" s="4" t="s">
        <v>158</v>
      </c>
      <c r="B1813" s="4" t="str">
        <f>VLOOKUP(A1813,Codes!$G$2:$H$217,2,0)</f>
        <v>TTO</v>
      </c>
      <c r="C1813" s="11">
        <v>931908</v>
      </c>
      <c r="D1813" s="12">
        <v>2007</v>
      </c>
      <c r="E1813" s="13">
        <v>3520</v>
      </c>
      <c r="F1813" s="8">
        <v>3.7771968906801958</v>
      </c>
    </row>
    <row r="1814" spans="1:6" x14ac:dyDescent="0.25">
      <c r="A1814" s="4" t="s">
        <v>158</v>
      </c>
      <c r="B1814" s="4" t="str">
        <f>VLOOKUP(A1814,Codes!$G$2:$H$217,2,0)</f>
        <v>TTO</v>
      </c>
      <c r="C1814" s="11">
        <v>936269</v>
      </c>
      <c r="D1814" s="12">
        <v>2008</v>
      </c>
      <c r="E1814" s="13">
        <v>3470</v>
      </c>
      <c r="F1814" s="8">
        <v>3.7061998207780027</v>
      </c>
    </row>
    <row r="1815" spans="1:6" x14ac:dyDescent="0.25">
      <c r="A1815" s="4" t="s">
        <v>158</v>
      </c>
      <c r="B1815" s="4" t="str">
        <f>VLOOKUP(A1815,Codes!$G$2:$H$217,2,0)</f>
        <v>TTO</v>
      </c>
      <c r="C1815" s="11">
        <v>939770</v>
      </c>
      <c r="D1815" s="12">
        <v>2009</v>
      </c>
      <c r="E1815" s="13">
        <v>2693</v>
      </c>
      <c r="F1815" s="8">
        <v>2.8655947731891844</v>
      </c>
    </row>
    <row r="1816" spans="1:6" x14ac:dyDescent="0.25">
      <c r="A1816" s="4" t="s">
        <v>158</v>
      </c>
      <c r="B1816" s="4" t="str">
        <f>VLOOKUP(A1816,Codes!$G$2:$H$217,2,0)</f>
        <v>TTO</v>
      </c>
      <c r="C1816" s="11">
        <v>942740</v>
      </c>
      <c r="D1816" s="12">
        <v>2010</v>
      </c>
      <c r="E1816" s="13">
        <v>3372</v>
      </c>
      <c r="F1816" s="8">
        <v>3.5768080276640433</v>
      </c>
    </row>
    <row r="1817" spans="1:6" x14ac:dyDescent="0.25">
      <c r="A1817" s="4" t="s">
        <v>158</v>
      </c>
      <c r="B1817" s="4" t="str">
        <f>VLOOKUP(A1817,Codes!$G$2:$H$217,2,0)</f>
        <v>TTO</v>
      </c>
      <c r="C1817" s="11">
        <v>945608</v>
      </c>
      <c r="D1817" s="12">
        <v>2011</v>
      </c>
      <c r="E1817" s="13">
        <v>3825</v>
      </c>
      <c r="F1817" s="8">
        <v>4.0450165396231839</v>
      </c>
    </row>
    <row r="1818" spans="1:6" x14ac:dyDescent="0.25">
      <c r="A1818" s="4" t="s">
        <v>158</v>
      </c>
      <c r="B1818" s="4" t="str">
        <f>VLOOKUP(A1818,Codes!$G$2:$H$217,2,0)</f>
        <v>TTO</v>
      </c>
      <c r="C1818" s="11">
        <v>948326</v>
      </c>
      <c r="D1818" s="12">
        <v>2012</v>
      </c>
      <c r="E1818" s="13">
        <v>3446</v>
      </c>
      <c r="F1818" s="8">
        <v>3.6337715089536724</v>
      </c>
    </row>
    <row r="1819" spans="1:6" x14ac:dyDescent="0.25">
      <c r="A1819" s="4" t="s">
        <v>158</v>
      </c>
      <c r="B1819" s="4" t="str">
        <f>VLOOKUP(A1819,Codes!$G$2:$H$217,2,0)</f>
        <v>TTO</v>
      </c>
      <c r="C1819" s="11">
        <v>950761</v>
      </c>
      <c r="D1819" s="12">
        <v>2013</v>
      </c>
      <c r="E1819" s="13">
        <v>4334</v>
      </c>
      <c r="F1819" s="8">
        <v>4.5584537018241171</v>
      </c>
    </row>
    <row r="1820" spans="1:6" x14ac:dyDescent="0.25">
      <c r="A1820" s="4" t="s">
        <v>158</v>
      </c>
      <c r="B1820" s="4" t="str">
        <f>VLOOKUP(A1820,Codes!$G$2:$H$217,2,0)</f>
        <v>TTO</v>
      </c>
      <c r="C1820" s="11">
        <v>952821</v>
      </c>
      <c r="D1820" s="16">
        <v>2014</v>
      </c>
      <c r="E1820" s="13">
        <v>4682</v>
      </c>
      <c r="F1820" s="8">
        <v>4.9138295650494692</v>
      </c>
    </row>
    <row r="1821" spans="1:6" x14ac:dyDescent="0.25">
      <c r="A1821" s="4" t="s">
        <v>158</v>
      </c>
      <c r="B1821" s="4" t="str">
        <f>VLOOKUP(A1821,Codes!$G$2:$H$217,2,0)</f>
        <v>TTO</v>
      </c>
      <c r="C1821" s="11">
        <v>954488</v>
      </c>
      <c r="D1821" s="16">
        <v>2015</v>
      </c>
      <c r="E1821" s="13">
        <v>5165</v>
      </c>
      <c r="F1821" s="8">
        <v>5.4112780883573182</v>
      </c>
    </row>
    <row r="1822" spans="1:6" x14ac:dyDescent="0.25">
      <c r="A1822" s="4" t="s">
        <v>158</v>
      </c>
      <c r="B1822" s="4" t="str">
        <f>VLOOKUP(A1822,Codes!$G$2:$H$217,2,0)</f>
        <v>TTO</v>
      </c>
      <c r="C1822" s="11">
        <v>955607</v>
      </c>
      <c r="D1822" s="16">
        <v>2016</v>
      </c>
      <c r="E1822" s="13">
        <v>4341</v>
      </c>
      <c r="F1822" s="8">
        <v>4.5426624124770951</v>
      </c>
    </row>
    <row r="1823" spans="1:6" x14ac:dyDescent="0.25">
      <c r="A1823" s="4" t="s">
        <v>158</v>
      </c>
      <c r="B1823" s="4" t="str">
        <f>VLOOKUP(A1823,Codes!$G$2:$H$217,2,0)</f>
        <v>TTO</v>
      </c>
      <c r="C1823" s="11">
        <v>956343</v>
      </c>
      <c r="D1823" s="16">
        <v>2017</v>
      </c>
      <c r="E1823" s="13">
        <v>3877</v>
      </c>
      <c r="F1823" s="8">
        <v>4.0539848150715798</v>
      </c>
    </row>
    <row r="1824" spans="1:6" x14ac:dyDescent="0.25">
      <c r="A1824" s="4" t="s">
        <v>158</v>
      </c>
      <c r="B1824" s="4" t="str">
        <f>VLOOKUP(A1824,Codes!$G$2:$H$217,2,0)</f>
        <v>TTO</v>
      </c>
      <c r="C1824" s="11">
        <v>956843</v>
      </c>
      <c r="D1824" s="16">
        <v>2018</v>
      </c>
      <c r="E1824" s="13">
        <v>4115</v>
      </c>
      <c r="F1824" s="8">
        <v>4.3006010390419327</v>
      </c>
    </row>
    <row r="1825" spans="1:6" x14ac:dyDescent="0.25">
      <c r="A1825" s="4" t="s">
        <v>158</v>
      </c>
      <c r="B1825" s="4" t="str">
        <f>VLOOKUP(A1825,Codes!$G$2:$H$217,2,0)</f>
        <v>TTO</v>
      </c>
      <c r="C1825" s="11">
        <v>957236</v>
      </c>
      <c r="D1825" s="16">
        <v>2019</v>
      </c>
      <c r="E1825" s="13">
        <v>4511</v>
      </c>
      <c r="F1825" s="8">
        <v>4.7125264824975241</v>
      </c>
    </row>
    <row r="1826" spans="1:6" x14ac:dyDescent="0.25">
      <c r="A1826" s="4" t="s">
        <v>158</v>
      </c>
      <c r="B1826" s="4" t="str">
        <f>VLOOKUP(A1826,Codes!$G$2:$H$217,2,0)</f>
        <v>TTO</v>
      </c>
      <c r="C1826" s="11">
        <v>957576</v>
      </c>
      <c r="D1826" s="16">
        <v>2020</v>
      </c>
      <c r="E1826" s="13">
        <v>4344</v>
      </c>
      <c r="F1826" s="8">
        <v>4.536454547733026</v>
      </c>
    </row>
    <row r="1827" spans="1:6" x14ac:dyDescent="0.25">
      <c r="A1827" s="3" t="s">
        <v>159</v>
      </c>
      <c r="B1827" s="4" t="str">
        <f>VLOOKUP(A1827,Codes!$G$2:$H$217,2,0)</f>
        <v>TUN</v>
      </c>
      <c r="C1827" s="11">
        <v>6905237</v>
      </c>
      <c r="D1827" s="12">
        <v>2006</v>
      </c>
      <c r="E1827" s="13">
        <v>6368</v>
      </c>
      <c r="F1827" s="8">
        <v>0.92219861534079139</v>
      </c>
    </row>
    <row r="1828" spans="1:6" x14ac:dyDescent="0.25">
      <c r="A1828" s="4" t="s">
        <v>159</v>
      </c>
      <c r="B1828" s="4" t="str">
        <f>VLOOKUP(A1828,Codes!$G$2:$H$217,2,0)</f>
        <v>TUN</v>
      </c>
      <c r="C1828" s="11">
        <v>7027305</v>
      </c>
      <c r="D1828" s="12">
        <v>2007</v>
      </c>
      <c r="E1828" s="13">
        <v>8997</v>
      </c>
      <c r="F1828" s="8">
        <v>1.280291662308666</v>
      </c>
    </row>
    <row r="1829" spans="1:6" x14ac:dyDescent="0.25">
      <c r="A1829" s="4" t="s">
        <v>159</v>
      </c>
      <c r="B1829" s="4" t="str">
        <f>VLOOKUP(A1829,Codes!$G$2:$H$217,2,0)</f>
        <v>TUN</v>
      </c>
      <c r="C1829" s="11">
        <v>7146399</v>
      </c>
      <c r="D1829" s="12">
        <v>2008</v>
      </c>
      <c r="E1829" s="13">
        <v>8297</v>
      </c>
      <c r="F1829" s="8">
        <v>1.1610043044056175</v>
      </c>
    </row>
    <row r="1830" spans="1:6" x14ac:dyDescent="0.25">
      <c r="A1830" s="4" t="s">
        <v>159</v>
      </c>
      <c r="B1830" s="4" t="str">
        <f>VLOOKUP(A1830,Codes!$G$2:$H$217,2,0)</f>
        <v>TUN</v>
      </c>
      <c r="C1830" s="11">
        <v>7257783</v>
      </c>
      <c r="D1830" s="12">
        <v>2009</v>
      </c>
      <c r="E1830" s="13">
        <v>9138</v>
      </c>
      <c r="F1830" s="8">
        <v>1.2590621681579621</v>
      </c>
    </row>
    <row r="1831" spans="1:6" x14ac:dyDescent="0.25">
      <c r="A1831" s="4" t="s">
        <v>159</v>
      </c>
      <c r="B1831" s="4" t="str">
        <f>VLOOKUP(A1831,Codes!$G$2:$H$217,2,0)</f>
        <v>TUN</v>
      </c>
      <c r="C1831" s="11">
        <v>7357532</v>
      </c>
      <c r="D1831" s="12">
        <v>2010</v>
      </c>
      <c r="E1831" s="13">
        <v>11317</v>
      </c>
      <c r="F1831" s="8">
        <v>1.5381516519398082</v>
      </c>
    </row>
    <row r="1832" spans="1:6" x14ac:dyDescent="0.25">
      <c r="A1832" s="4" t="s">
        <v>159</v>
      </c>
      <c r="B1832" s="4" t="str">
        <f>VLOOKUP(A1832,Codes!$G$2:$H$217,2,0)</f>
        <v>TUN</v>
      </c>
      <c r="C1832" s="11">
        <v>7436917</v>
      </c>
      <c r="D1832" s="12">
        <v>2011</v>
      </c>
      <c r="E1832" s="13">
        <v>11307</v>
      </c>
      <c r="F1832" s="8">
        <v>1.5203880855467393</v>
      </c>
    </row>
    <row r="1833" spans="1:6" x14ac:dyDescent="0.25">
      <c r="A1833" s="4" t="s">
        <v>159</v>
      </c>
      <c r="B1833" s="4" t="str">
        <f>VLOOKUP(A1833,Codes!$G$2:$H$217,2,0)</f>
        <v>TUN</v>
      </c>
      <c r="C1833" s="11">
        <v>7503265</v>
      </c>
      <c r="D1833" s="12">
        <v>2012</v>
      </c>
      <c r="E1833" s="13">
        <v>12556</v>
      </c>
      <c r="F1833" s="8">
        <v>1.6734048444243941</v>
      </c>
    </row>
    <row r="1834" spans="1:6" x14ac:dyDescent="0.25">
      <c r="A1834" s="4" t="s">
        <v>159</v>
      </c>
      <c r="B1834" s="4" t="str">
        <f>VLOOKUP(A1834,Codes!$G$2:$H$217,2,0)</f>
        <v>TUN</v>
      </c>
      <c r="C1834" s="11">
        <v>7559740</v>
      </c>
      <c r="D1834" s="12">
        <v>2013</v>
      </c>
      <c r="E1834" s="13">
        <v>12691</v>
      </c>
      <c r="F1834" s="8">
        <v>1.6787614388854644</v>
      </c>
    </row>
    <row r="1835" spans="1:6" x14ac:dyDescent="0.25">
      <c r="A1835" s="4" t="s">
        <v>159</v>
      </c>
      <c r="B1835" s="4" t="str">
        <f>VLOOKUP(A1835,Codes!$G$2:$H$217,2,0)</f>
        <v>TUN</v>
      </c>
      <c r="C1835" s="11">
        <v>7611874</v>
      </c>
      <c r="D1835" s="16">
        <v>2014</v>
      </c>
      <c r="E1835" s="13">
        <v>11973</v>
      </c>
      <c r="F1835" s="8">
        <v>1.5729372293866135</v>
      </c>
    </row>
    <row r="1836" spans="1:6" x14ac:dyDescent="0.25">
      <c r="A1836" s="4" t="s">
        <v>159</v>
      </c>
      <c r="B1836" s="4" t="str">
        <f>VLOOKUP(A1836,Codes!$G$2:$H$217,2,0)</f>
        <v>TUN</v>
      </c>
      <c r="C1836" s="11">
        <v>7663296</v>
      </c>
      <c r="D1836" s="16">
        <v>2015</v>
      </c>
      <c r="E1836" s="13">
        <v>11661</v>
      </c>
      <c r="F1836" s="8">
        <v>1.5216690050860622</v>
      </c>
    </row>
    <row r="1837" spans="1:6" x14ac:dyDescent="0.25">
      <c r="A1837" s="4" t="s">
        <v>159</v>
      </c>
      <c r="B1837" s="4" t="str">
        <f>VLOOKUP(A1837,Codes!$G$2:$H$217,2,0)</f>
        <v>TUN</v>
      </c>
      <c r="C1837" s="11">
        <v>7706137</v>
      </c>
      <c r="D1837" s="16">
        <v>2016</v>
      </c>
      <c r="E1837" s="13">
        <v>12450</v>
      </c>
      <c r="F1837" s="8">
        <v>1.6155954663147047</v>
      </c>
    </row>
    <row r="1838" spans="1:6" x14ac:dyDescent="0.25">
      <c r="A1838" s="4" t="s">
        <v>159</v>
      </c>
      <c r="B1838" s="4" t="str">
        <f>VLOOKUP(A1838,Codes!$G$2:$H$217,2,0)</f>
        <v>TUN</v>
      </c>
      <c r="C1838" s="11">
        <v>7755992</v>
      </c>
      <c r="D1838" s="16">
        <v>2017</v>
      </c>
      <c r="E1838" s="13">
        <v>11647</v>
      </c>
      <c r="F1838" s="8">
        <v>1.501677670631945</v>
      </c>
    </row>
    <row r="1839" spans="1:6" x14ac:dyDescent="0.25">
      <c r="A1839" s="4" t="s">
        <v>159</v>
      </c>
      <c r="B1839" s="4" t="str">
        <f>VLOOKUP(A1839,Codes!$G$2:$H$217,2,0)</f>
        <v>TUN</v>
      </c>
      <c r="C1839" s="11">
        <v>7808154</v>
      </c>
      <c r="D1839" s="16">
        <v>2018</v>
      </c>
      <c r="E1839" s="13">
        <v>13134</v>
      </c>
      <c r="F1839" s="8">
        <v>1.6820877252164852</v>
      </c>
    </row>
    <row r="1840" spans="1:6" x14ac:dyDescent="0.25">
      <c r="A1840" s="4" t="s">
        <v>159</v>
      </c>
      <c r="B1840" s="4" t="str">
        <f>VLOOKUP(A1840,Codes!$G$2:$H$217,2,0)</f>
        <v>TUN</v>
      </c>
      <c r="C1840" s="11">
        <v>7856564</v>
      </c>
      <c r="D1840" s="16">
        <v>2019</v>
      </c>
      <c r="E1840" s="13">
        <v>15715</v>
      </c>
      <c r="F1840" s="8">
        <v>2.0002382720996099</v>
      </c>
    </row>
    <row r="1841" spans="1:6" x14ac:dyDescent="0.25">
      <c r="A1841" t="s">
        <v>587</v>
      </c>
      <c r="B1841" s="4" t="str">
        <f>VLOOKUP(A1841,Codes!$G$2:$H$217,2,0)</f>
        <v>TUR</v>
      </c>
      <c r="C1841" s="11">
        <v>51304360</v>
      </c>
      <c r="D1841" s="16">
        <v>2014</v>
      </c>
      <c r="E1841" s="13">
        <v>53375</v>
      </c>
      <c r="F1841" s="8">
        <v>1.040359922626459</v>
      </c>
    </row>
    <row r="1842" spans="1:6" x14ac:dyDescent="0.25">
      <c r="A1842" t="s">
        <v>587</v>
      </c>
      <c r="B1842" s="4" t="str">
        <f>VLOOKUP(A1842,Codes!$G$2:$H$217,2,0)</f>
        <v>TUR</v>
      </c>
      <c r="C1842" s="11">
        <v>52246676</v>
      </c>
      <c r="D1842" s="16">
        <v>2015</v>
      </c>
      <c r="E1842" s="13">
        <v>65324</v>
      </c>
      <c r="F1842" s="8">
        <v>1.2502996362869094</v>
      </c>
    </row>
    <row r="1843" spans="1:6" x14ac:dyDescent="0.25">
      <c r="A1843" t="s">
        <v>587</v>
      </c>
      <c r="B1843" s="4" t="str">
        <f>VLOOKUP(A1843,Codes!$G$2:$H$217,2,0)</f>
        <v>TUR</v>
      </c>
      <c r="C1843" s="11">
        <v>53185895</v>
      </c>
      <c r="D1843" s="16">
        <v>2016</v>
      </c>
      <c r="E1843" s="13">
        <v>62674</v>
      </c>
      <c r="F1843" s="8">
        <v>1.1783951365300893</v>
      </c>
    </row>
    <row r="1844" spans="1:6" x14ac:dyDescent="0.25">
      <c r="A1844" t="s">
        <v>587</v>
      </c>
      <c r="B1844" s="4" t="str">
        <f>VLOOKUP(A1844,Codes!$G$2:$H$217,2,0)</f>
        <v>TUR</v>
      </c>
      <c r="C1844" s="11">
        <v>54138362</v>
      </c>
      <c r="D1844" s="16">
        <v>2017</v>
      </c>
      <c r="E1844" s="13">
        <v>71468</v>
      </c>
      <c r="F1844" s="8">
        <v>1.3200990454790633</v>
      </c>
    </row>
    <row r="1845" spans="1:6" x14ac:dyDescent="0.25">
      <c r="A1845" t="s">
        <v>587</v>
      </c>
      <c r="B1845" s="4" t="str">
        <f>VLOOKUP(A1845,Codes!$G$2:$H$217,2,0)</f>
        <v>TUR</v>
      </c>
      <c r="C1845" s="11">
        <v>55058658</v>
      </c>
      <c r="D1845" s="16">
        <v>2018</v>
      </c>
      <c r="E1845" s="13">
        <v>83397</v>
      </c>
      <c r="F1845" s="8">
        <v>1.5146936563546463</v>
      </c>
    </row>
    <row r="1846" spans="1:6" x14ac:dyDescent="0.25">
      <c r="A1846" t="s">
        <v>587</v>
      </c>
      <c r="B1846" s="4" t="str">
        <f>VLOOKUP(A1846,Codes!$G$2:$H$217,2,0)</f>
        <v>TUR</v>
      </c>
      <c r="C1846" s="11">
        <v>55883565</v>
      </c>
      <c r="D1846" s="16">
        <v>2019</v>
      </c>
      <c r="E1846" s="13">
        <v>82762</v>
      </c>
      <c r="F1846" s="8">
        <v>1.4809720890211637</v>
      </c>
    </row>
    <row r="1847" spans="1:6" x14ac:dyDescent="0.25">
      <c r="A1847" t="s">
        <v>587</v>
      </c>
      <c r="B1847" s="4" t="str">
        <f>VLOOKUP(A1847,Codes!$G$2:$H$217,2,0)</f>
        <v>TUR</v>
      </c>
      <c r="C1847" s="11">
        <v>56572012</v>
      </c>
      <c r="D1847" s="16">
        <v>2020</v>
      </c>
      <c r="E1847" s="13">
        <v>100409</v>
      </c>
      <c r="F1847" s="8">
        <v>1.7748882610008638</v>
      </c>
    </row>
    <row r="1848" spans="1:6" x14ac:dyDescent="0.25">
      <c r="A1848" s="3" t="s">
        <v>161</v>
      </c>
      <c r="B1848" s="4" t="str">
        <f>VLOOKUP(A1848,Codes!$G$2:$H$217,2,0)</f>
        <v>UGA</v>
      </c>
      <c r="C1848" s="11">
        <v>13838299</v>
      </c>
      <c r="D1848" s="12">
        <v>2006</v>
      </c>
      <c r="E1848" s="13">
        <v>7104</v>
      </c>
      <c r="F1848" s="8">
        <v>0.51335789174666624</v>
      </c>
    </row>
    <row r="1849" spans="1:6" x14ac:dyDescent="0.25">
      <c r="A1849" s="4" t="s">
        <v>161</v>
      </c>
      <c r="B1849" s="4" t="str">
        <f>VLOOKUP(A1849,Codes!$G$2:$H$217,2,0)</f>
        <v>UGA</v>
      </c>
      <c r="C1849" s="11">
        <v>14314634</v>
      </c>
      <c r="D1849" s="12">
        <v>2007</v>
      </c>
      <c r="E1849" s="13">
        <v>7479</v>
      </c>
      <c r="F1849" s="8">
        <v>0.52247231748991974</v>
      </c>
    </row>
    <row r="1850" spans="1:6" x14ac:dyDescent="0.25">
      <c r="A1850" s="4" t="s">
        <v>161</v>
      </c>
      <c r="B1850" s="4" t="str">
        <f>VLOOKUP(A1850,Codes!$G$2:$H$217,2,0)</f>
        <v>UGA</v>
      </c>
      <c r="C1850" s="11">
        <v>14816819</v>
      </c>
      <c r="D1850" s="12">
        <v>2008</v>
      </c>
      <c r="E1850" s="13">
        <v>8376</v>
      </c>
      <c r="F1850" s="8">
        <v>0.56530352432597042</v>
      </c>
    </row>
    <row r="1851" spans="1:6" x14ac:dyDescent="0.25">
      <c r="A1851" s="4" t="s">
        <v>161</v>
      </c>
      <c r="B1851" s="4" t="str">
        <f>VLOOKUP(A1851,Codes!$G$2:$H$217,2,0)</f>
        <v>UGA</v>
      </c>
      <c r="C1851" s="11">
        <v>15345306</v>
      </c>
      <c r="D1851" s="12">
        <v>2009</v>
      </c>
      <c r="E1851" s="13">
        <v>9486</v>
      </c>
      <c r="F1851" s="8">
        <v>0.61816949104827235</v>
      </c>
    </row>
    <row r="1852" spans="1:6" x14ac:dyDescent="0.25">
      <c r="A1852" s="4" t="s">
        <v>161</v>
      </c>
      <c r="B1852" s="4" t="str">
        <f>VLOOKUP(A1852,Codes!$G$2:$H$217,2,0)</f>
        <v>UGA</v>
      </c>
      <c r="C1852" s="11">
        <v>15901551</v>
      </c>
      <c r="D1852" s="12">
        <v>2010</v>
      </c>
      <c r="E1852" s="13">
        <v>10490</v>
      </c>
      <c r="F1852" s="8">
        <v>0.65968407735824008</v>
      </c>
    </row>
    <row r="1853" spans="1:6" x14ac:dyDescent="0.25">
      <c r="A1853" s="4" t="s">
        <v>161</v>
      </c>
      <c r="B1853" s="4" t="str">
        <f>VLOOKUP(A1853,Codes!$G$2:$H$217,2,0)</f>
        <v>UGA</v>
      </c>
      <c r="C1853" s="11">
        <v>16468498</v>
      </c>
      <c r="D1853" s="12">
        <v>2011</v>
      </c>
      <c r="E1853" s="13">
        <v>14661</v>
      </c>
      <c r="F1853" s="8">
        <v>0.89024512132193234</v>
      </c>
    </row>
    <row r="1854" spans="1:6" x14ac:dyDescent="0.25">
      <c r="A1854" s="4" t="s">
        <v>161</v>
      </c>
      <c r="B1854" s="4" t="str">
        <f>VLOOKUP(A1854,Codes!$G$2:$H$217,2,0)</f>
        <v>UGA</v>
      </c>
      <c r="C1854" s="11">
        <v>17068075</v>
      </c>
      <c r="D1854" s="12">
        <v>2012</v>
      </c>
      <c r="E1854" s="13">
        <v>16686</v>
      </c>
      <c r="F1854" s="8">
        <v>0.9776146401981477</v>
      </c>
    </row>
    <row r="1855" spans="1:6" x14ac:dyDescent="0.25">
      <c r="A1855" s="4" t="s">
        <v>161</v>
      </c>
      <c r="B1855" s="4" t="str">
        <f>VLOOKUP(A1855,Codes!$G$2:$H$217,2,0)</f>
        <v>UGA</v>
      </c>
      <c r="C1855" s="11">
        <v>17709557</v>
      </c>
      <c r="D1855" s="12">
        <v>2013</v>
      </c>
      <c r="E1855" s="13">
        <v>15409</v>
      </c>
      <c r="F1855" s="8">
        <v>0.87009516951779209</v>
      </c>
    </row>
    <row r="1856" spans="1:6" x14ac:dyDescent="0.25">
      <c r="A1856" s="4" t="s">
        <v>161</v>
      </c>
      <c r="B1856" s="4" t="str">
        <f>VLOOKUP(A1856,Codes!$G$2:$H$217,2,0)</f>
        <v>UGA</v>
      </c>
      <c r="C1856" s="11">
        <v>18405460</v>
      </c>
      <c r="D1856" s="16">
        <v>2014</v>
      </c>
      <c r="E1856" s="13">
        <v>16757</v>
      </c>
      <c r="F1856" s="8">
        <v>0.910436359645453</v>
      </c>
    </row>
    <row r="1857" spans="1:6" x14ac:dyDescent="0.25">
      <c r="A1857" s="4" t="s">
        <v>161</v>
      </c>
      <c r="B1857" s="4" t="str">
        <f>VLOOKUP(A1857,Codes!$G$2:$H$217,2,0)</f>
        <v>UGA</v>
      </c>
      <c r="C1857" s="11">
        <v>19162280</v>
      </c>
      <c r="D1857" s="16">
        <v>2015</v>
      </c>
      <c r="E1857" s="13">
        <v>18387</v>
      </c>
      <c r="F1857" s="8">
        <v>0.95954134894177512</v>
      </c>
    </row>
    <row r="1858" spans="1:6" x14ac:dyDescent="0.25">
      <c r="A1858" s="4" t="s">
        <v>161</v>
      </c>
      <c r="B1858" s="4" t="str">
        <f>VLOOKUP(A1858,Codes!$G$2:$H$217,2,0)</f>
        <v>UGA</v>
      </c>
      <c r="C1858" s="11">
        <v>19993004</v>
      </c>
      <c r="D1858" s="16">
        <v>2016</v>
      </c>
      <c r="E1858" s="13">
        <v>18050</v>
      </c>
      <c r="F1858" s="8">
        <v>0.90281580496857794</v>
      </c>
    </row>
    <row r="1859" spans="1:6" x14ac:dyDescent="0.25">
      <c r="A1859" s="4" t="s">
        <v>161</v>
      </c>
      <c r="B1859" s="4" t="str">
        <f>VLOOKUP(A1859,Codes!$G$2:$H$217,2,0)</f>
        <v>UGA</v>
      </c>
      <c r="C1859" s="11">
        <v>20896060</v>
      </c>
      <c r="D1859" s="16">
        <v>2017</v>
      </c>
      <c r="E1859" s="13">
        <v>17423</v>
      </c>
      <c r="F1859" s="8">
        <v>0.83379354768315173</v>
      </c>
    </row>
    <row r="1860" spans="1:6" x14ac:dyDescent="0.25">
      <c r="A1860" s="4" t="s">
        <v>161</v>
      </c>
      <c r="B1860" s="4" t="str">
        <f>VLOOKUP(A1860,Codes!$G$2:$H$217,2,0)</f>
        <v>UGA</v>
      </c>
      <c r="C1860" s="11">
        <v>21846708</v>
      </c>
      <c r="D1860" s="16">
        <v>2018</v>
      </c>
      <c r="E1860" s="13">
        <v>18862</v>
      </c>
      <c r="F1860" s="8">
        <v>0.86337950779586559</v>
      </c>
    </row>
    <row r="1861" spans="1:6" x14ac:dyDescent="0.25">
      <c r="A1861" s="3" t="s">
        <v>162</v>
      </c>
      <c r="B1861" s="4" t="str">
        <f>VLOOKUP(A1861,Codes!$G$2:$H$217,2,0)</f>
        <v>UKR</v>
      </c>
      <c r="C1861" s="11">
        <v>32576986</v>
      </c>
      <c r="D1861" s="12">
        <v>2006</v>
      </c>
      <c r="E1861" s="13">
        <v>30934</v>
      </c>
      <c r="F1861" s="8">
        <v>0.94956605255010396</v>
      </c>
    </row>
    <row r="1862" spans="1:6" x14ac:dyDescent="0.25">
      <c r="A1862" s="4" t="s">
        <v>162</v>
      </c>
      <c r="B1862" s="4" t="str">
        <f>VLOOKUP(A1862,Codes!$G$2:$H$217,2,0)</f>
        <v>UKR</v>
      </c>
      <c r="C1862" s="11">
        <v>32472880</v>
      </c>
      <c r="D1862" s="12">
        <v>2007</v>
      </c>
      <c r="E1862" s="13">
        <v>38141</v>
      </c>
      <c r="F1862" s="8">
        <v>1.1745493470243475</v>
      </c>
    </row>
    <row r="1863" spans="1:6" x14ac:dyDescent="0.25">
      <c r="A1863" s="4" t="s">
        <v>162</v>
      </c>
      <c r="B1863" s="4" t="str">
        <f>VLOOKUP(A1863,Codes!$G$2:$H$217,2,0)</f>
        <v>UKR</v>
      </c>
      <c r="C1863" s="11">
        <v>32383057</v>
      </c>
      <c r="D1863" s="12">
        <v>2008</v>
      </c>
      <c r="E1863" s="13">
        <v>31385</v>
      </c>
      <c r="F1863" s="8">
        <v>0.96917965465706335</v>
      </c>
    </row>
    <row r="1864" spans="1:6" x14ac:dyDescent="0.25">
      <c r="A1864" s="4" t="s">
        <v>162</v>
      </c>
      <c r="B1864" s="4" t="str">
        <f>VLOOKUP(A1864,Codes!$G$2:$H$217,2,0)</f>
        <v>UKR</v>
      </c>
      <c r="C1864" s="11">
        <v>32296072</v>
      </c>
      <c r="D1864" s="12">
        <v>2009</v>
      </c>
      <c r="E1864" s="13">
        <v>21567</v>
      </c>
      <c r="F1864" s="8">
        <v>0.66779018823094027</v>
      </c>
    </row>
    <row r="1865" spans="1:6" x14ac:dyDescent="0.25">
      <c r="A1865" s="4" t="s">
        <v>162</v>
      </c>
      <c r="B1865" s="4" t="str">
        <f>VLOOKUP(A1865,Codes!$G$2:$H$217,2,0)</f>
        <v>UKR</v>
      </c>
      <c r="C1865" s="11">
        <v>32185923</v>
      </c>
      <c r="D1865" s="12">
        <v>2010</v>
      </c>
      <c r="E1865" s="13">
        <v>31450</v>
      </c>
      <c r="F1865" s="8">
        <v>0.9771352525761029</v>
      </c>
    </row>
    <row r="1866" spans="1:6" x14ac:dyDescent="0.25">
      <c r="A1866" s="4" t="s">
        <v>162</v>
      </c>
      <c r="B1866" s="4" t="str">
        <f>VLOOKUP(A1866,Codes!$G$2:$H$217,2,0)</f>
        <v>UKR</v>
      </c>
      <c r="C1866" s="11">
        <v>31986098</v>
      </c>
      <c r="D1866" s="12">
        <v>2011</v>
      </c>
      <c r="E1866" s="13">
        <v>34468</v>
      </c>
      <c r="F1866" s="8">
        <v>1.0775931468727447</v>
      </c>
    </row>
    <row r="1867" spans="1:6" x14ac:dyDescent="0.25">
      <c r="A1867" s="4" t="s">
        <v>162</v>
      </c>
      <c r="B1867" s="4" t="str">
        <f>VLOOKUP(A1867,Codes!$G$2:$H$217,2,0)</f>
        <v>UKR</v>
      </c>
      <c r="C1867" s="11">
        <v>31831484</v>
      </c>
      <c r="D1867" s="12">
        <v>2012</v>
      </c>
      <c r="E1867" s="13">
        <v>29619</v>
      </c>
      <c r="F1867" s="8">
        <v>0.93049384690955661</v>
      </c>
    </row>
    <row r="1868" spans="1:6" x14ac:dyDescent="0.25">
      <c r="A1868" s="4" t="s">
        <v>162</v>
      </c>
      <c r="B1868" s="4" t="str">
        <f>VLOOKUP(A1868,Codes!$G$2:$H$217,2,0)</f>
        <v>UKR</v>
      </c>
      <c r="C1868" s="11">
        <v>31674445</v>
      </c>
      <c r="D1868" s="12">
        <v>2013</v>
      </c>
      <c r="E1868" s="13">
        <v>35203</v>
      </c>
      <c r="F1868" s="8">
        <v>1.1114006891044186</v>
      </c>
    </row>
    <row r="1869" spans="1:6" x14ac:dyDescent="0.25">
      <c r="A1869" s="4" t="s">
        <v>162</v>
      </c>
      <c r="B1869" s="4" t="str">
        <f>VLOOKUP(A1869,Codes!$G$2:$H$217,2,0)</f>
        <v>UKR</v>
      </c>
      <c r="C1869" s="11">
        <v>31410583</v>
      </c>
      <c r="D1869" s="16">
        <v>2014</v>
      </c>
      <c r="E1869" s="13">
        <v>33406</v>
      </c>
      <c r="F1869" s="8">
        <v>1.0635269011084576</v>
      </c>
    </row>
    <row r="1870" spans="1:6" x14ac:dyDescent="0.25">
      <c r="A1870" s="4" t="s">
        <v>162</v>
      </c>
      <c r="B1870" s="4" t="str">
        <f>VLOOKUP(A1870,Codes!$G$2:$H$217,2,0)</f>
        <v>UKR</v>
      </c>
      <c r="C1870" s="11">
        <v>31186380</v>
      </c>
      <c r="D1870" s="16">
        <v>2015</v>
      </c>
      <c r="E1870" s="13">
        <v>38088</v>
      </c>
      <c r="F1870" s="8">
        <v>1.2213023762296233</v>
      </c>
    </row>
    <row r="1871" spans="1:6" x14ac:dyDescent="0.25">
      <c r="A1871" s="4" t="s">
        <v>162</v>
      </c>
      <c r="B1871" s="4" t="str">
        <f>VLOOKUP(A1871,Codes!$G$2:$H$217,2,0)</f>
        <v>UKR</v>
      </c>
      <c r="C1871" s="11">
        <v>30905273</v>
      </c>
      <c r="D1871" s="16">
        <v>2016</v>
      </c>
      <c r="E1871" s="13">
        <v>48138</v>
      </c>
      <c r="F1871" s="8">
        <v>1.5575982778084503</v>
      </c>
    </row>
    <row r="1872" spans="1:6" x14ac:dyDescent="0.25">
      <c r="A1872" s="4" t="s">
        <v>162</v>
      </c>
      <c r="B1872" s="4" t="str">
        <f>VLOOKUP(A1872,Codes!$G$2:$H$217,2,0)</f>
        <v>UKR</v>
      </c>
      <c r="C1872" s="11">
        <v>30581925</v>
      </c>
      <c r="D1872" s="16">
        <v>2017</v>
      </c>
      <c r="E1872" s="13">
        <v>51349</v>
      </c>
      <c r="F1872" s="8">
        <v>1.6790636953036802</v>
      </c>
    </row>
    <row r="1873" spans="1:6" x14ac:dyDescent="0.25">
      <c r="A1873" s="3" t="s">
        <v>163</v>
      </c>
      <c r="B1873" s="4" t="str">
        <f>VLOOKUP(A1873,Codes!$G$2:$H$217,2,0)</f>
        <v>ARE</v>
      </c>
      <c r="C1873" s="11">
        <v>4380865</v>
      </c>
      <c r="D1873" s="12">
        <v>2006</v>
      </c>
      <c r="E1873" s="13">
        <v>7698</v>
      </c>
      <c r="F1873" s="8">
        <v>1.757187222158181</v>
      </c>
    </row>
    <row r="1874" spans="1:6" x14ac:dyDescent="0.25">
      <c r="A1874" s="4" t="s">
        <v>163</v>
      </c>
      <c r="B1874" s="4" t="str">
        <f>VLOOKUP(A1874,Codes!$G$2:$H$217,2,0)</f>
        <v>ARE</v>
      </c>
      <c r="C1874" s="11">
        <v>5185748</v>
      </c>
      <c r="D1874" s="12">
        <v>2007</v>
      </c>
      <c r="E1874" s="13">
        <v>8778</v>
      </c>
      <c r="F1874" s="8">
        <v>1.6927162677399672</v>
      </c>
    </row>
    <row r="1875" spans="1:6" x14ac:dyDescent="0.25">
      <c r="A1875" s="4" t="s">
        <v>163</v>
      </c>
      <c r="B1875" s="4" t="str">
        <f>VLOOKUP(A1875,Codes!$G$2:$H$217,2,0)</f>
        <v>ARE</v>
      </c>
      <c r="C1875" s="11">
        <v>6026774</v>
      </c>
      <c r="D1875" s="12">
        <v>2008</v>
      </c>
      <c r="E1875" s="13">
        <v>9084</v>
      </c>
      <c r="F1875" s="8">
        <v>1.5072740408052465</v>
      </c>
    </row>
    <row r="1876" spans="1:6" x14ac:dyDescent="0.25">
      <c r="A1876" s="4" t="s">
        <v>163</v>
      </c>
      <c r="B1876" s="4" t="str">
        <f>VLOOKUP(A1876,Codes!$G$2:$H$217,2,0)</f>
        <v>ARE</v>
      </c>
      <c r="C1876" s="11">
        <v>6781156</v>
      </c>
      <c r="D1876" s="12">
        <v>2009</v>
      </c>
      <c r="E1876" s="13">
        <v>6963</v>
      </c>
      <c r="F1876" s="8">
        <v>1.0268160767869077</v>
      </c>
    </row>
    <row r="1877" spans="1:6" x14ac:dyDescent="0.25">
      <c r="A1877" s="4" t="s">
        <v>163</v>
      </c>
      <c r="B1877" s="4" t="str">
        <f>VLOOKUP(A1877,Codes!$G$2:$H$217,2,0)</f>
        <v>ARE</v>
      </c>
      <c r="C1877" s="11">
        <v>7366517</v>
      </c>
      <c r="D1877" s="12">
        <v>2010</v>
      </c>
      <c r="E1877" s="13">
        <v>8623</v>
      </c>
      <c r="F1877" s="8">
        <v>1.1705667685284646</v>
      </c>
    </row>
    <row r="1878" spans="1:6" x14ac:dyDescent="0.25">
      <c r="A1878" s="4" t="s">
        <v>163</v>
      </c>
      <c r="B1878" s="4" t="str">
        <f>VLOOKUP(A1878,Codes!$G$2:$H$217,2,0)</f>
        <v>ARE</v>
      </c>
      <c r="C1878" s="11">
        <v>7679368</v>
      </c>
      <c r="D1878" s="12">
        <v>2011</v>
      </c>
      <c r="E1878" s="13">
        <v>9644</v>
      </c>
      <c r="F1878" s="8">
        <v>1.2558325112170687</v>
      </c>
    </row>
    <row r="1879" spans="1:6" x14ac:dyDescent="0.25">
      <c r="A1879" s="4" t="s">
        <v>163</v>
      </c>
      <c r="B1879" s="4" t="str">
        <f>VLOOKUP(A1879,Codes!$G$2:$H$217,2,0)</f>
        <v>ARE</v>
      </c>
      <c r="C1879" s="11">
        <v>7826617</v>
      </c>
      <c r="D1879" s="12">
        <v>2012</v>
      </c>
      <c r="E1879" s="13">
        <v>11380</v>
      </c>
      <c r="F1879" s="8">
        <v>1.4540126340665449</v>
      </c>
    </row>
    <row r="1880" spans="1:6" x14ac:dyDescent="0.25">
      <c r="A1880" s="4" t="s">
        <v>163</v>
      </c>
      <c r="B1880" s="4" t="str">
        <f>VLOOKUP(A1880,Codes!$G$2:$H$217,2,0)</f>
        <v>ARE</v>
      </c>
      <c r="C1880" s="11">
        <v>7855947</v>
      </c>
      <c r="D1880" s="12">
        <v>2013</v>
      </c>
      <c r="E1880" s="13">
        <v>12784</v>
      </c>
      <c r="F1880" s="8">
        <v>1.6273022208525594</v>
      </c>
    </row>
    <row r="1881" spans="1:6" x14ac:dyDescent="0.25">
      <c r="A1881" s="4" t="s">
        <v>163</v>
      </c>
      <c r="B1881" s="4" t="str">
        <f>VLOOKUP(A1881,Codes!$G$2:$H$217,2,0)</f>
        <v>ARE</v>
      </c>
      <c r="C1881" s="11">
        <v>7847461</v>
      </c>
      <c r="D1881" s="16">
        <v>2014</v>
      </c>
      <c r="E1881" s="13">
        <v>15661</v>
      </c>
      <c r="F1881" s="8">
        <v>1.9956773279918181</v>
      </c>
    </row>
    <row r="1882" spans="1:6" x14ac:dyDescent="0.25">
      <c r="A1882" s="4" t="s">
        <v>163</v>
      </c>
      <c r="B1882" s="4" t="str">
        <f>VLOOKUP(A1882,Codes!$G$2:$H$217,2,0)</f>
        <v>ARE</v>
      </c>
      <c r="C1882" s="11">
        <v>7864453</v>
      </c>
      <c r="D1882" s="16">
        <v>2015</v>
      </c>
      <c r="E1882" s="13">
        <v>16625</v>
      </c>
      <c r="F1882" s="8">
        <v>2.1139423174122856</v>
      </c>
    </row>
    <row r="1883" spans="1:6" x14ac:dyDescent="0.25">
      <c r="A1883" s="4" t="s">
        <v>163</v>
      </c>
      <c r="B1883" s="4" t="str">
        <f>VLOOKUP(A1883,Codes!$G$2:$H$217,2,0)</f>
        <v>ARE</v>
      </c>
      <c r="C1883" s="11">
        <v>7921959</v>
      </c>
      <c r="D1883" s="16">
        <v>2016</v>
      </c>
      <c r="E1883" s="13">
        <v>16735</v>
      </c>
      <c r="F1883" s="8">
        <v>2.1124825311517013</v>
      </c>
    </row>
    <row r="1884" spans="1:6" x14ac:dyDescent="0.25">
      <c r="A1884" s="4" t="s">
        <v>163</v>
      </c>
      <c r="B1884" s="4" t="str">
        <f>VLOOKUP(A1884,Codes!$G$2:$H$217,2,0)</f>
        <v>ARE</v>
      </c>
      <c r="C1884" s="11">
        <v>8012980</v>
      </c>
      <c r="D1884" s="16">
        <v>2017</v>
      </c>
      <c r="E1884" s="13">
        <v>16285</v>
      </c>
      <c r="F1884" s="8">
        <v>2.0323275485524732</v>
      </c>
    </row>
    <row r="1885" spans="1:6" x14ac:dyDescent="0.25">
      <c r="A1885" s="4" t="s">
        <v>163</v>
      </c>
      <c r="B1885" s="4" t="str">
        <f>VLOOKUP(A1885,Codes!$G$2:$H$217,2,0)</f>
        <v>ARE</v>
      </c>
      <c r="C1885" s="11">
        <v>8120011</v>
      </c>
      <c r="D1885" s="16">
        <v>2018</v>
      </c>
      <c r="E1885" s="13">
        <v>17907</v>
      </c>
      <c r="F1885" s="8">
        <v>2.2052925790371467</v>
      </c>
    </row>
    <row r="1886" spans="1:6" x14ac:dyDescent="0.25">
      <c r="A1886" s="4" t="s">
        <v>163</v>
      </c>
      <c r="B1886" s="4" t="str">
        <f>VLOOKUP(A1886,Codes!$G$2:$H$217,2,0)</f>
        <v>ARE</v>
      </c>
      <c r="C1886" s="11">
        <v>8220025</v>
      </c>
      <c r="D1886" s="16">
        <v>2019</v>
      </c>
      <c r="E1886" s="13">
        <v>22593</v>
      </c>
      <c r="F1886" s="8">
        <v>2.7485317867038117</v>
      </c>
    </row>
    <row r="1887" spans="1:6" x14ac:dyDescent="0.25">
      <c r="A1887" s="4" t="s">
        <v>163</v>
      </c>
      <c r="B1887" s="4" t="str">
        <f>VLOOKUP(A1887,Codes!$G$2:$H$217,2,0)</f>
        <v>ARE</v>
      </c>
      <c r="C1887" s="11">
        <v>8300173</v>
      </c>
      <c r="D1887" s="16">
        <v>2020</v>
      </c>
      <c r="E1887" s="13">
        <v>19050</v>
      </c>
      <c r="F1887" s="8">
        <v>2.295132884579635</v>
      </c>
    </row>
    <row r="1888" spans="1:6" x14ac:dyDescent="0.25">
      <c r="A1888" s="3" t="s">
        <v>164</v>
      </c>
      <c r="B1888" s="4" t="str">
        <f>VLOOKUP(A1888,Codes!$G$2:$H$217,2,0)</f>
        <v>GBR</v>
      </c>
      <c r="C1888" s="11">
        <v>40196873</v>
      </c>
      <c r="D1888" s="12">
        <v>2006</v>
      </c>
      <c r="E1888" s="13">
        <v>403860</v>
      </c>
      <c r="F1888" s="8">
        <v>10.047050177261301</v>
      </c>
    </row>
    <row r="1889" spans="1:6" x14ac:dyDescent="0.25">
      <c r="A1889" s="4" t="s">
        <v>164</v>
      </c>
      <c r="B1889" s="4" t="str">
        <f>VLOOKUP(A1889,Codes!$G$2:$H$217,2,0)</f>
        <v>GBR</v>
      </c>
      <c r="C1889" s="11">
        <v>40539197</v>
      </c>
      <c r="D1889" s="12">
        <v>2007</v>
      </c>
      <c r="E1889" s="13">
        <v>452135</v>
      </c>
      <c r="F1889" s="8">
        <v>11.153032952280727</v>
      </c>
    </row>
    <row r="1890" spans="1:6" x14ac:dyDescent="0.25">
      <c r="A1890" s="4" t="s">
        <v>164</v>
      </c>
      <c r="B1890" s="4" t="str">
        <f>VLOOKUP(A1890,Codes!$G$2:$H$217,2,0)</f>
        <v>GBR</v>
      </c>
      <c r="C1890" s="11">
        <v>40859642</v>
      </c>
      <c r="D1890" s="12">
        <v>2008</v>
      </c>
      <c r="E1890" s="13">
        <v>362322</v>
      </c>
      <c r="F1890" s="8">
        <v>8.8674785745797777</v>
      </c>
    </row>
    <row r="1891" spans="1:6" x14ac:dyDescent="0.25">
      <c r="A1891" s="4" t="s">
        <v>164</v>
      </c>
      <c r="B1891" s="4" t="str">
        <f>VLOOKUP(A1891,Codes!$G$2:$H$217,2,0)</f>
        <v>GBR</v>
      </c>
      <c r="C1891" s="11">
        <v>41134819</v>
      </c>
      <c r="D1891" s="12">
        <v>2009</v>
      </c>
      <c r="E1891" s="13">
        <v>364131</v>
      </c>
      <c r="F1891" s="8">
        <v>8.8521357052768366</v>
      </c>
    </row>
    <row r="1892" spans="1:6" x14ac:dyDescent="0.25">
      <c r="A1892" s="4" t="s">
        <v>164</v>
      </c>
      <c r="B1892" s="4" t="str">
        <f>VLOOKUP(A1892,Codes!$G$2:$H$217,2,0)</f>
        <v>GBR</v>
      </c>
      <c r="C1892" s="11">
        <v>41384859</v>
      </c>
      <c r="D1892" s="12">
        <v>2010</v>
      </c>
      <c r="E1892" s="13">
        <v>400867</v>
      </c>
      <c r="F1892" s="8">
        <v>9.6863203037613346</v>
      </c>
    </row>
    <row r="1893" spans="1:6" x14ac:dyDescent="0.25">
      <c r="A1893" s="4" t="s">
        <v>164</v>
      </c>
      <c r="B1893" s="4" t="str">
        <f>VLOOKUP(A1893,Codes!$G$2:$H$217,2,0)</f>
        <v>GBR</v>
      </c>
      <c r="C1893" s="11">
        <v>41523732</v>
      </c>
      <c r="D1893" s="12">
        <v>2011</v>
      </c>
      <c r="E1893" s="13">
        <v>453898</v>
      </c>
      <c r="F1893" s="8">
        <v>10.931050224483675</v>
      </c>
    </row>
    <row r="1894" spans="1:6" x14ac:dyDescent="0.25">
      <c r="A1894" s="4" t="s">
        <v>164</v>
      </c>
      <c r="B1894" s="4" t="str">
        <f>VLOOKUP(A1894,Codes!$G$2:$H$217,2,0)</f>
        <v>GBR</v>
      </c>
      <c r="C1894" s="11">
        <v>41622578</v>
      </c>
      <c r="D1894" s="12">
        <v>2012</v>
      </c>
      <c r="E1894" s="13">
        <v>492754</v>
      </c>
      <c r="F1894" s="8">
        <v>11.838622778243097</v>
      </c>
    </row>
    <row r="1895" spans="1:6" x14ac:dyDescent="0.25">
      <c r="A1895" s="4" t="s">
        <v>164</v>
      </c>
      <c r="B1895" s="4" t="str">
        <f>VLOOKUP(A1895,Codes!$G$2:$H$217,2,0)</f>
        <v>GBR</v>
      </c>
      <c r="C1895" s="11">
        <v>41706559</v>
      </c>
      <c r="D1895" s="12">
        <v>2013</v>
      </c>
      <c r="E1895" s="13">
        <v>522439</v>
      </c>
      <c r="F1895" s="8">
        <v>12.526542887414903</v>
      </c>
    </row>
    <row r="1896" spans="1:6" x14ac:dyDescent="0.25">
      <c r="A1896" s="4" t="s">
        <v>164</v>
      </c>
      <c r="B1896" s="4" t="str">
        <f>VLOOKUP(A1896,Codes!$G$2:$H$217,2,0)</f>
        <v>GBR</v>
      </c>
      <c r="C1896" s="11">
        <v>41823572</v>
      </c>
      <c r="D1896" s="16">
        <v>2014</v>
      </c>
      <c r="E1896" s="13">
        <v>585672</v>
      </c>
      <c r="F1896" s="8">
        <v>14.003395023265826</v>
      </c>
    </row>
    <row r="1897" spans="1:6" x14ac:dyDescent="0.25">
      <c r="A1897" s="4" t="s">
        <v>164</v>
      </c>
      <c r="B1897" s="4" t="str">
        <f>VLOOKUP(A1897,Codes!$G$2:$H$217,2,0)</f>
        <v>GBR</v>
      </c>
      <c r="C1897" s="11">
        <v>41980393</v>
      </c>
      <c r="D1897" s="16">
        <v>2015</v>
      </c>
      <c r="E1897" s="13">
        <v>611478</v>
      </c>
      <c r="F1897" s="8">
        <v>14.565799800873709</v>
      </c>
    </row>
    <row r="1898" spans="1:6" x14ac:dyDescent="0.25">
      <c r="A1898" s="4" t="s">
        <v>164</v>
      </c>
      <c r="B1898" s="4" t="str">
        <f>VLOOKUP(A1898,Codes!$G$2:$H$217,2,0)</f>
        <v>GBR</v>
      </c>
      <c r="C1898" s="11">
        <v>42156712</v>
      </c>
      <c r="D1898" s="16">
        <v>2016</v>
      </c>
      <c r="E1898" s="13">
        <v>663616</v>
      </c>
      <c r="F1898" s="8">
        <v>15.741645126403595</v>
      </c>
    </row>
    <row r="1899" spans="1:6" x14ac:dyDescent="0.25">
      <c r="A1899" s="4" t="s">
        <v>164</v>
      </c>
      <c r="B1899" s="4" t="str">
        <f>VLOOKUP(A1899,Codes!$G$2:$H$217,2,0)</f>
        <v>GBR</v>
      </c>
      <c r="C1899" s="11">
        <v>42326458</v>
      </c>
      <c r="D1899" s="16">
        <v>2017</v>
      </c>
      <c r="E1899" s="13">
        <v>632517</v>
      </c>
      <c r="F1899" s="8">
        <v>14.943773466704915</v>
      </c>
    </row>
    <row r="1900" spans="1:6" x14ac:dyDescent="0.25">
      <c r="A1900" s="4" t="s">
        <v>164</v>
      </c>
      <c r="B1900" s="4" t="str">
        <f>VLOOKUP(A1900,Codes!$G$2:$H$217,2,0)</f>
        <v>GBR</v>
      </c>
      <c r="C1900" s="11">
        <v>42485474</v>
      </c>
      <c r="D1900" s="16">
        <v>2018</v>
      </c>
      <c r="E1900" s="13">
        <v>664974</v>
      </c>
      <c r="F1900" s="8">
        <v>15.651796658782718</v>
      </c>
    </row>
    <row r="1901" spans="1:6" x14ac:dyDescent="0.25">
      <c r="A1901" s="4" t="s">
        <v>164</v>
      </c>
      <c r="B1901" s="4" t="str">
        <f>VLOOKUP(A1901,Codes!$G$2:$H$217,2,0)</f>
        <v>GBR</v>
      </c>
      <c r="C1901" s="11">
        <v>42638638</v>
      </c>
      <c r="D1901" s="16">
        <v>2019</v>
      </c>
      <c r="E1901" s="13">
        <v>684874</v>
      </c>
      <c r="F1901" s="8">
        <v>16.062286042063537</v>
      </c>
    </row>
    <row r="1902" spans="1:6" x14ac:dyDescent="0.25">
      <c r="A1902" s="4" t="s">
        <v>164</v>
      </c>
      <c r="B1902" s="4" t="str">
        <f>VLOOKUP(A1902,Codes!$G$2:$H$217,2,0)</f>
        <v>GBR</v>
      </c>
      <c r="C1902" s="11">
        <v>42795559</v>
      </c>
      <c r="D1902" s="16">
        <v>2020</v>
      </c>
      <c r="E1902" s="13">
        <v>774854</v>
      </c>
      <c r="F1902" s="8">
        <v>18.105944123781629</v>
      </c>
    </row>
    <row r="1903" spans="1:6" x14ac:dyDescent="0.25">
      <c r="A1903" s="3" t="s">
        <v>165</v>
      </c>
      <c r="B1903" s="4" t="str">
        <f>VLOOKUP(A1903,Codes!$G$2:$H$217,2,0)</f>
        <v>URY</v>
      </c>
      <c r="C1903" s="11">
        <v>2091286</v>
      </c>
      <c r="D1903" s="12">
        <v>2006</v>
      </c>
      <c r="E1903" s="13">
        <v>4123</v>
      </c>
      <c r="F1903" s="8">
        <v>1.9715141783572405</v>
      </c>
    </row>
    <row r="1904" spans="1:6" x14ac:dyDescent="0.25">
      <c r="A1904" s="4" t="s">
        <v>165</v>
      </c>
      <c r="B1904" s="4" t="str">
        <f>VLOOKUP(A1904,Codes!$G$2:$H$217,2,0)</f>
        <v>URY</v>
      </c>
      <c r="C1904" s="11">
        <v>2102460</v>
      </c>
      <c r="D1904" s="12">
        <v>2007</v>
      </c>
      <c r="E1904" s="13">
        <v>4731</v>
      </c>
      <c r="F1904" s="8">
        <v>2.2502211694871721</v>
      </c>
    </row>
    <row r="1905" spans="1:6" x14ac:dyDescent="0.25">
      <c r="A1905" s="4" t="s">
        <v>165</v>
      </c>
      <c r="B1905" s="4" t="str">
        <f>VLOOKUP(A1905,Codes!$G$2:$H$217,2,0)</f>
        <v>URY</v>
      </c>
      <c r="C1905" s="11">
        <v>2116049</v>
      </c>
      <c r="D1905" s="12">
        <v>2008</v>
      </c>
      <c r="E1905" s="13">
        <v>4393</v>
      </c>
      <c r="F1905" s="8">
        <v>2.0760388818973472</v>
      </c>
    </row>
    <row r="1906" spans="1:6" x14ac:dyDescent="0.25">
      <c r="A1906" s="4" t="s">
        <v>165</v>
      </c>
      <c r="B1906" s="4" t="str">
        <f>VLOOKUP(A1906,Codes!$G$2:$H$217,2,0)</f>
        <v>URY</v>
      </c>
      <c r="C1906" s="11">
        <v>2130063</v>
      </c>
      <c r="D1906" s="12">
        <v>2009</v>
      </c>
      <c r="E1906" s="13">
        <v>3210</v>
      </c>
      <c r="F1906" s="8">
        <v>1.5069976803502996</v>
      </c>
    </row>
    <row r="1907" spans="1:6" x14ac:dyDescent="0.25">
      <c r="A1907" s="4" t="s">
        <v>165</v>
      </c>
      <c r="B1907" s="4" t="str">
        <f>VLOOKUP(A1907,Codes!$G$2:$H$217,2,0)</f>
        <v>URY</v>
      </c>
      <c r="C1907" s="11">
        <v>2143085</v>
      </c>
      <c r="D1907" s="12">
        <v>2010</v>
      </c>
      <c r="E1907" s="13">
        <v>4433</v>
      </c>
      <c r="F1907" s="8">
        <v>2.0685133814104435</v>
      </c>
    </row>
    <row r="1908" spans="1:6" x14ac:dyDescent="0.25">
      <c r="A1908" s="4" t="s">
        <v>165</v>
      </c>
      <c r="B1908" s="4" t="str">
        <f>VLOOKUP(A1908,Codes!$G$2:$H$217,2,0)</f>
        <v>URY</v>
      </c>
      <c r="C1908" s="11">
        <v>2155409</v>
      </c>
      <c r="D1908" s="12">
        <v>2011</v>
      </c>
      <c r="E1908" s="13">
        <v>5002</v>
      </c>
      <c r="F1908" s="8">
        <v>2.3206732457737722</v>
      </c>
    </row>
    <row r="1909" spans="1:6" x14ac:dyDescent="0.25">
      <c r="A1909" s="4" t="s">
        <v>165</v>
      </c>
      <c r="B1909" s="4" t="str">
        <f>VLOOKUP(A1909,Codes!$G$2:$H$217,2,0)</f>
        <v>URY</v>
      </c>
      <c r="C1909" s="11">
        <v>2166598</v>
      </c>
      <c r="D1909" s="12">
        <v>2012</v>
      </c>
      <c r="E1909" s="13">
        <v>7888</v>
      </c>
      <c r="F1909" s="8">
        <v>3.6407307677751017</v>
      </c>
    </row>
    <row r="1910" spans="1:6" x14ac:dyDescent="0.25">
      <c r="A1910" s="4" t="s">
        <v>165</v>
      </c>
      <c r="B1910" s="4" t="str">
        <f>VLOOKUP(A1910,Codes!$G$2:$H$217,2,0)</f>
        <v>URY</v>
      </c>
      <c r="C1910" s="11">
        <v>2177012</v>
      </c>
      <c r="D1910" s="12">
        <v>2013</v>
      </c>
      <c r="E1910" s="13">
        <v>6106</v>
      </c>
      <c r="F1910" s="8">
        <v>2.8047617560215565</v>
      </c>
    </row>
    <row r="1911" spans="1:6" x14ac:dyDescent="0.25">
      <c r="A1911" s="4" t="s">
        <v>165</v>
      </c>
      <c r="B1911" s="4" t="str">
        <f>VLOOKUP(A1911,Codes!$G$2:$H$217,2,0)</f>
        <v>URY</v>
      </c>
      <c r="C1911" s="11">
        <v>2187514</v>
      </c>
      <c r="D1911" s="16">
        <v>2014</v>
      </c>
      <c r="E1911" s="13">
        <v>6282</v>
      </c>
      <c r="F1911" s="8">
        <v>2.8717530493519128</v>
      </c>
    </row>
    <row r="1912" spans="1:6" x14ac:dyDescent="0.25">
      <c r="A1912" s="4" t="s">
        <v>165</v>
      </c>
      <c r="B1912" s="4" t="str">
        <f>VLOOKUP(A1912,Codes!$G$2:$H$217,2,0)</f>
        <v>URY</v>
      </c>
      <c r="C1912" s="11">
        <v>2198419</v>
      </c>
      <c r="D1912" s="16">
        <v>2015</v>
      </c>
      <c r="E1912" s="13">
        <v>4592</v>
      </c>
      <c r="F1912" s="8">
        <v>2.0887737960779997</v>
      </c>
    </row>
    <row r="1913" spans="1:6" x14ac:dyDescent="0.25">
      <c r="A1913" s="4" t="s">
        <v>165</v>
      </c>
      <c r="B1913" s="4" t="str">
        <f>VLOOKUP(A1913,Codes!$G$2:$H$217,2,0)</f>
        <v>URY</v>
      </c>
      <c r="C1913" s="11">
        <v>2207436</v>
      </c>
      <c r="D1913" s="16">
        <v>2016</v>
      </c>
      <c r="E1913" s="13">
        <v>3935</v>
      </c>
      <c r="F1913" s="8">
        <v>1.7826111379899574</v>
      </c>
    </row>
    <row r="1914" spans="1:6" x14ac:dyDescent="0.25">
      <c r="A1914" s="4" t="s">
        <v>165</v>
      </c>
      <c r="B1914" s="4" t="str">
        <f>VLOOKUP(A1914,Codes!$G$2:$H$217,2,0)</f>
        <v>URY</v>
      </c>
      <c r="C1914" s="11">
        <v>2217418</v>
      </c>
      <c r="D1914" s="16">
        <v>2017</v>
      </c>
      <c r="E1914" s="13">
        <v>4069</v>
      </c>
      <c r="F1914" s="8">
        <v>1.8350171235193364</v>
      </c>
    </row>
    <row r="1915" spans="1:6" x14ac:dyDescent="0.25">
      <c r="A1915" s="4" t="s">
        <v>165</v>
      </c>
      <c r="B1915" s="4" t="str">
        <f>VLOOKUP(A1915,Codes!$G$2:$H$217,2,0)</f>
        <v>URY</v>
      </c>
      <c r="C1915" s="11">
        <v>2227465</v>
      </c>
      <c r="D1915" s="16">
        <v>2018</v>
      </c>
      <c r="E1915" s="13">
        <v>3369</v>
      </c>
      <c r="F1915" s="8">
        <v>1.5124816776021173</v>
      </c>
    </row>
    <row r="1916" spans="1:6" x14ac:dyDescent="0.25">
      <c r="A1916" s="4" t="s">
        <v>165</v>
      </c>
      <c r="B1916" s="4" t="str">
        <f>VLOOKUP(A1916,Codes!$G$2:$H$217,2,0)</f>
        <v>URY</v>
      </c>
      <c r="C1916" s="11">
        <v>2236302</v>
      </c>
      <c r="D1916" s="16">
        <v>2019</v>
      </c>
      <c r="E1916" s="13">
        <v>3364</v>
      </c>
      <c r="F1916" s="8">
        <v>1.504269101400437</v>
      </c>
    </row>
    <row r="1917" spans="1:6" x14ac:dyDescent="0.25">
      <c r="A1917" s="4" t="s">
        <v>165</v>
      </c>
      <c r="B1917" s="4" t="str">
        <f>VLOOKUP(A1917,Codes!$G$2:$H$217,2,0)</f>
        <v>URY</v>
      </c>
      <c r="C1917" s="11">
        <v>2243239</v>
      </c>
      <c r="D1917" s="16">
        <v>2020</v>
      </c>
      <c r="E1917" s="13">
        <v>5139</v>
      </c>
      <c r="F1917" s="8">
        <v>2.2908838514309</v>
      </c>
    </row>
    <row r="1918" spans="1:6" x14ac:dyDescent="0.25">
      <c r="A1918" s="3" t="s">
        <v>166</v>
      </c>
      <c r="B1918" s="4" t="str">
        <f>VLOOKUP(A1918,Codes!$G$2:$H$217,2,0)</f>
        <v>UZB</v>
      </c>
      <c r="C1918" s="11">
        <v>16807380</v>
      </c>
      <c r="D1918" s="12">
        <v>2006</v>
      </c>
      <c r="E1918" s="13">
        <v>8994</v>
      </c>
      <c r="F1918" s="8">
        <v>0.53512207137578849</v>
      </c>
    </row>
    <row r="1919" spans="1:6" x14ac:dyDescent="0.25">
      <c r="A1919" s="4" t="s">
        <v>166</v>
      </c>
      <c r="B1919" s="4" t="str">
        <f>VLOOKUP(A1919,Codes!$G$2:$H$217,2,0)</f>
        <v>UZB</v>
      </c>
      <c r="C1919" s="11">
        <v>17271933</v>
      </c>
      <c r="D1919" s="12">
        <v>2007</v>
      </c>
      <c r="E1919" s="13">
        <v>9677</v>
      </c>
      <c r="F1919" s="8">
        <v>0.56027313213871321</v>
      </c>
    </row>
    <row r="1920" spans="1:6" x14ac:dyDescent="0.25">
      <c r="A1920" s="4" t="s">
        <v>166</v>
      </c>
      <c r="B1920" s="4" t="str">
        <f>VLOOKUP(A1920,Codes!$G$2:$H$217,2,0)</f>
        <v>UZB</v>
      </c>
      <c r="C1920" s="11">
        <v>17760358</v>
      </c>
      <c r="D1920" s="12">
        <v>2008</v>
      </c>
      <c r="E1920" s="18">
        <v>9753</v>
      </c>
      <c r="F1920" s="8">
        <v>0.54914433594187684</v>
      </c>
    </row>
    <row r="1921" spans="1:6" x14ac:dyDescent="0.25">
      <c r="A1921" s="4" t="s">
        <v>166</v>
      </c>
      <c r="B1921" s="4" t="str">
        <f>VLOOKUP(A1921,Codes!$G$2:$H$217,2,0)</f>
        <v>UZB</v>
      </c>
      <c r="C1921" s="11">
        <v>18255198</v>
      </c>
      <c r="D1921" s="12">
        <v>2009</v>
      </c>
      <c r="E1921" s="18">
        <v>13780</v>
      </c>
      <c r="F1921" s="8">
        <v>0.75485349433076543</v>
      </c>
    </row>
    <row r="1922" spans="1:6" x14ac:dyDescent="0.25">
      <c r="A1922" s="4" t="s">
        <v>166</v>
      </c>
      <c r="B1922" s="4" t="str">
        <f>VLOOKUP(A1922,Codes!$G$2:$H$217,2,0)</f>
        <v>UZB</v>
      </c>
      <c r="C1922" s="11">
        <v>18953212</v>
      </c>
      <c r="D1922" s="12">
        <v>2010</v>
      </c>
      <c r="E1922" s="18">
        <v>15097</v>
      </c>
      <c r="F1922" s="8">
        <v>0.79654044918613276</v>
      </c>
    </row>
    <row r="1923" spans="1:6" x14ac:dyDescent="0.25">
      <c r="A1923" s="4" t="s">
        <v>166</v>
      </c>
      <c r="B1923" s="4" t="str">
        <f>VLOOKUP(A1923,Codes!$G$2:$H$217,2,0)</f>
        <v>UZB</v>
      </c>
      <c r="C1923" s="11">
        <v>19578460</v>
      </c>
      <c r="D1923" s="12">
        <v>2011</v>
      </c>
      <c r="E1923" s="18">
        <v>16622</v>
      </c>
      <c r="F1923" s="8">
        <v>0.84899425184616162</v>
      </c>
    </row>
    <row r="1924" spans="1:6" x14ac:dyDescent="0.25">
      <c r="A1924" s="4" t="s">
        <v>166</v>
      </c>
      <c r="B1924" s="4" t="str">
        <f>VLOOKUP(A1924,Codes!$G$2:$H$217,2,0)</f>
        <v>UZB</v>
      </c>
      <c r="C1924" s="11">
        <v>19980914</v>
      </c>
      <c r="D1924" s="12">
        <v>2012</v>
      </c>
      <c r="E1924" s="18">
        <v>13261</v>
      </c>
      <c r="F1924" s="8">
        <v>0.66368335302379067</v>
      </c>
    </row>
    <row r="1925" spans="1:6" x14ac:dyDescent="0.25">
      <c r="A1925" s="4" t="s">
        <v>166</v>
      </c>
      <c r="B1925" s="4" t="str">
        <f>VLOOKUP(A1925,Codes!$G$2:$H$217,2,0)</f>
        <v>UZB</v>
      </c>
      <c r="C1925" s="11">
        <v>20389210</v>
      </c>
      <c r="D1925" s="12">
        <v>2013</v>
      </c>
      <c r="E1925" s="18">
        <v>17346</v>
      </c>
      <c r="F1925" s="8">
        <v>0.85074409454804778</v>
      </c>
    </row>
    <row r="1926" spans="1:6" x14ac:dyDescent="0.25">
      <c r="A1926" s="4" t="s">
        <v>166</v>
      </c>
      <c r="B1926" s="4" t="str">
        <f>VLOOKUP(A1926,Codes!$G$2:$H$217,2,0)</f>
        <v>UZB</v>
      </c>
      <c r="C1926" s="11">
        <v>20787251</v>
      </c>
      <c r="D1926" s="16">
        <v>2014</v>
      </c>
      <c r="E1926" s="18">
        <v>17469</v>
      </c>
      <c r="F1926" s="8">
        <v>0.84037086000452876</v>
      </c>
    </row>
    <row r="1927" spans="1:6" x14ac:dyDescent="0.25">
      <c r="A1927" s="4" t="s">
        <v>166</v>
      </c>
      <c r="B1927" s="4" t="str">
        <f>VLOOKUP(A1927,Codes!$G$2:$H$217,2,0)</f>
        <v>UZB</v>
      </c>
      <c r="C1927" s="11">
        <v>21153834</v>
      </c>
      <c r="D1927" s="16">
        <v>2015</v>
      </c>
      <c r="E1927" s="18">
        <v>18955</v>
      </c>
      <c r="F1927" s="8">
        <v>0.89605506027890736</v>
      </c>
    </row>
    <row r="1928" spans="1:6" x14ac:dyDescent="0.25">
      <c r="A1928" s="4" t="s">
        <v>166</v>
      </c>
      <c r="B1928" s="4" t="str">
        <f>VLOOKUP(A1928,Codes!$G$2:$H$217,2,0)</f>
        <v>UZB</v>
      </c>
      <c r="C1928" s="11">
        <v>21487722</v>
      </c>
      <c r="D1928" s="16">
        <v>2016</v>
      </c>
      <c r="E1928" s="18">
        <v>21893</v>
      </c>
      <c r="F1928" s="8">
        <v>1.018860910430617</v>
      </c>
    </row>
    <row r="1929" spans="1:6" x14ac:dyDescent="0.25">
      <c r="A1929" s="4" t="s">
        <v>166</v>
      </c>
      <c r="B1929" s="4" t="str">
        <f>VLOOKUP(A1929,Codes!$G$2:$H$217,2,0)</f>
        <v>UZB</v>
      </c>
      <c r="C1929" s="11">
        <v>21770618</v>
      </c>
      <c r="D1929" s="16">
        <v>2017</v>
      </c>
      <c r="E1929" s="18">
        <v>26186</v>
      </c>
      <c r="F1929" s="8">
        <v>1.2028138107976538</v>
      </c>
    </row>
    <row r="1930" spans="1:6" x14ac:dyDescent="0.25">
      <c r="A1930" s="4" t="s">
        <v>166</v>
      </c>
      <c r="B1930" s="4" t="str">
        <f>VLOOKUP(A1930,Codes!$G$2:$H$217,2,0)</f>
        <v>UZB</v>
      </c>
      <c r="C1930" s="11">
        <v>22045919</v>
      </c>
      <c r="D1930" s="16">
        <v>2018</v>
      </c>
      <c r="E1930" s="18">
        <v>35801</v>
      </c>
      <c r="F1930" s="8">
        <v>1.6239286736016765</v>
      </c>
    </row>
    <row r="1931" spans="1:6" x14ac:dyDescent="0.25">
      <c r="A1931" s="4" t="s">
        <v>166</v>
      </c>
      <c r="B1931" s="4" t="str">
        <f>VLOOKUP(A1931,Codes!$G$2:$H$217,2,0)</f>
        <v>UZB</v>
      </c>
      <c r="C1931" s="11">
        <v>22366854</v>
      </c>
      <c r="D1931" s="16">
        <v>2019</v>
      </c>
      <c r="E1931" s="18">
        <v>60814</v>
      </c>
      <c r="F1931" s="8">
        <v>2.7189340083321505</v>
      </c>
    </row>
    <row r="1932" spans="1:6" x14ac:dyDescent="0.25">
      <c r="A1932" s="4" t="s">
        <v>166</v>
      </c>
      <c r="B1932" s="4" t="str">
        <f>VLOOKUP(A1932,Codes!$G$2:$H$217,2,0)</f>
        <v>UZB</v>
      </c>
      <c r="C1932" s="11">
        <v>22733880</v>
      </c>
      <c r="D1932" s="16">
        <v>2020</v>
      </c>
      <c r="E1932" s="18">
        <v>61677</v>
      </c>
      <c r="F1932" s="8">
        <v>2.7129992768502338</v>
      </c>
    </row>
    <row r="1933" spans="1:6" x14ac:dyDescent="0.25">
      <c r="A1933" s="3" t="s">
        <v>167</v>
      </c>
      <c r="B1933" s="4" t="str">
        <f>VLOOKUP(A1933,Codes!$G$2:$H$217,2,0)</f>
        <v>VUT</v>
      </c>
      <c r="C1933" s="11">
        <v>123437</v>
      </c>
      <c r="D1933" s="12">
        <v>2006</v>
      </c>
      <c r="E1933" s="13">
        <v>53</v>
      </c>
      <c r="F1933" s="8">
        <v>0.42936882782310004</v>
      </c>
    </row>
    <row r="1934" spans="1:6" x14ac:dyDescent="0.25">
      <c r="A1934" s="4" t="s">
        <v>167</v>
      </c>
      <c r="B1934" s="4" t="str">
        <f>VLOOKUP(A1934,Codes!$G$2:$H$217,2,0)</f>
        <v>VUT</v>
      </c>
      <c r="C1934" s="11">
        <v>126931</v>
      </c>
      <c r="D1934" s="12">
        <v>2007</v>
      </c>
      <c r="E1934" s="13">
        <v>72</v>
      </c>
      <c r="F1934" s="8">
        <v>0.56723731791288179</v>
      </c>
    </row>
    <row r="1935" spans="1:6" x14ac:dyDescent="0.25">
      <c r="A1935" s="4" t="s">
        <v>167</v>
      </c>
      <c r="B1935" s="4" t="str">
        <f>VLOOKUP(A1935,Codes!$G$2:$H$217,2,0)</f>
        <v>VUT</v>
      </c>
      <c r="C1935" s="11">
        <v>130067</v>
      </c>
      <c r="D1935" s="12">
        <v>2008</v>
      </c>
      <c r="E1935" s="13">
        <v>66</v>
      </c>
      <c r="F1935" s="8">
        <v>0.50743078567199984</v>
      </c>
    </row>
    <row r="1936" spans="1:6" x14ac:dyDescent="0.25">
      <c r="A1936" s="4" t="s">
        <v>167</v>
      </c>
      <c r="B1936" s="4" t="str">
        <f>VLOOKUP(A1936,Codes!$G$2:$H$217,2,0)</f>
        <v>VUT</v>
      </c>
      <c r="C1936" s="11">
        <v>133231</v>
      </c>
      <c r="D1936" s="12">
        <v>2009</v>
      </c>
      <c r="E1936" s="13">
        <v>23</v>
      </c>
      <c r="F1936" s="8">
        <v>0.17263249544025039</v>
      </c>
    </row>
    <row r="1937" spans="1:6" x14ac:dyDescent="0.25">
      <c r="A1937" s="4" t="s">
        <v>167</v>
      </c>
      <c r="B1937" s="4" t="str">
        <f>VLOOKUP(A1937,Codes!$G$2:$H$217,2,0)</f>
        <v>VUT</v>
      </c>
      <c r="C1937" s="11">
        <v>136723</v>
      </c>
      <c r="D1937" s="12">
        <v>2010</v>
      </c>
      <c r="E1937" s="13">
        <v>87</v>
      </c>
      <c r="F1937" s="8">
        <v>0.63632307658550502</v>
      </c>
    </row>
    <row r="1938" spans="1:6" x14ac:dyDescent="0.25">
      <c r="A1938" s="4" t="s">
        <v>167</v>
      </c>
      <c r="B1938" s="4" t="str">
        <f>VLOOKUP(A1938,Codes!$G$2:$H$217,2,0)</f>
        <v>VUT</v>
      </c>
      <c r="C1938" s="11">
        <v>140049</v>
      </c>
      <c r="D1938" s="12">
        <v>2011</v>
      </c>
      <c r="E1938" s="13">
        <v>74</v>
      </c>
      <c r="F1938" s="8">
        <v>0.52838649329877407</v>
      </c>
    </row>
    <row r="1939" spans="1:6" x14ac:dyDescent="0.25">
      <c r="A1939" s="4" t="s">
        <v>167</v>
      </c>
      <c r="B1939" s="4" t="str">
        <f>VLOOKUP(A1939,Codes!$G$2:$H$217,2,0)</f>
        <v>VUT</v>
      </c>
      <c r="C1939" s="11">
        <v>144096</v>
      </c>
      <c r="D1939" s="12">
        <v>2012</v>
      </c>
      <c r="E1939" s="13">
        <v>70</v>
      </c>
      <c r="F1939" s="8">
        <v>0.48578725294248276</v>
      </c>
    </row>
    <row r="1940" spans="1:6" x14ac:dyDescent="0.25">
      <c r="A1940" s="4" t="s">
        <v>167</v>
      </c>
      <c r="B1940" s="4" t="str">
        <f>VLOOKUP(A1940,Codes!$G$2:$H$217,2,0)</f>
        <v>VUT</v>
      </c>
      <c r="C1940" s="11">
        <v>148207</v>
      </c>
      <c r="D1940" s="12">
        <v>2013</v>
      </c>
      <c r="E1940" s="13">
        <v>54</v>
      </c>
      <c r="F1940" s="8">
        <v>0.36435525987301542</v>
      </c>
    </row>
    <row r="1941" spans="1:6" x14ac:dyDescent="0.25">
      <c r="A1941" s="4" t="s">
        <v>167</v>
      </c>
      <c r="B1941" s="4" t="str">
        <f>VLOOKUP(A1941,Codes!$G$2:$H$217,2,0)</f>
        <v>VUT</v>
      </c>
      <c r="C1941" s="11">
        <v>151869</v>
      </c>
      <c r="D1941" s="16">
        <v>2014</v>
      </c>
      <c r="E1941" s="13">
        <v>88</v>
      </c>
      <c r="F1941" s="8">
        <v>0.57944676003661055</v>
      </c>
    </row>
    <row r="1942" spans="1:6" x14ac:dyDescent="0.25">
      <c r="A1942" s="4" t="s">
        <v>167</v>
      </c>
      <c r="B1942" s="4" t="str">
        <f>VLOOKUP(A1942,Codes!$G$2:$H$217,2,0)</f>
        <v>VUT</v>
      </c>
      <c r="C1942" s="11">
        <v>155094</v>
      </c>
      <c r="D1942" s="16">
        <v>2015</v>
      </c>
      <c r="E1942" s="13">
        <v>83</v>
      </c>
      <c r="F1942" s="8">
        <v>0.53515932273331013</v>
      </c>
    </row>
    <row r="1943" spans="1:6" x14ac:dyDescent="0.25">
      <c r="A1943" s="4" t="s">
        <v>167</v>
      </c>
      <c r="B1943" s="4" t="str">
        <f>VLOOKUP(A1943,Codes!$G$2:$H$217,2,0)</f>
        <v>VUT</v>
      </c>
      <c r="C1943" s="11">
        <v>159758</v>
      </c>
      <c r="D1943" s="16">
        <v>2016</v>
      </c>
      <c r="E1943" s="13">
        <v>130</v>
      </c>
      <c r="F1943" s="8">
        <v>0.81373076778627673</v>
      </c>
    </row>
    <row r="1944" spans="1:6" x14ac:dyDescent="0.25">
      <c r="A1944" s="4" t="s">
        <v>167</v>
      </c>
      <c r="B1944" s="4" t="str">
        <f>VLOOKUP(A1944,Codes!$G$2:$H$217,2,0)</f>
        <v>VUT</v>
      </c>
      <c r="C1944" s="11">
        <v>164059</v>
      </c>
      <c r="D1944" s="16">
        <v>2017</v>
      </c>
      <c r="E1944" s="13">
        <v>168</v>
      </c>
      <c r="F1944" s="8">
        <v>1.0240218457993771</v>
      </c>
    </row>
    <row r="1945" spans="1:6" x14ac:dyDescent="0.25">
      <c r="A1945" s="4" t="s">
        <v>167</v>
      </c>
      <c r="B1945" s="4" t="str">
        <f>VLOOKUP(A1945,Codes!$G$2:$H$217,2,0)</f>
        <v>VUT</v>
      </c>
      <c r="C1945" s="11">
        <v>168322</v>
      </c>
      <c r="D1945" s="16">
        <v>2018</v>
      </c>
      <c r="E1945" s="13">
        <v>258</v>
      </c>
      <c r="F1945" s="8">
        <v>1.5327764641579829</v>
      </c>
    </row>
    <row r="1946" spans="1:6" x14ac:dyDescent="0.25">
      <c r="A1946" s="3" t="s">
        <v>168</v>
      </c>
      <c r="B1946" s="4" t="str">
        <f>VLOOKUP(A1946,Codes!$G$2:$H$217,2,0)</f>
        <v>VNM</v>
      </c>
      <c r="C1946" s="11">
        <v>62383724</v>
      </c>
      <c r="D1946" s="12">
        <v>2011</v>
      </c>
      <c r="E1946" s="13">
        <v>54756</v>
      </c>
      <c r="F1946" s="8">
        <v>0.87772894096543519</v>
      </c>
    </row>
    <row r="1947" spans="1:6" x14ac:dyDescent="0.25">
      <c r="A1947" s="4" t="s">
        <v>168</v>
      </c>
      <c r="B1947" s="4" t="str">
        <f>VLOOKUP(A1947,Codes!$G$2:$H$217,2,0)</f>
        <v>VNM</v>
      </c>
      <c r="C1947" s="11">
        <v>63211882</v>
      </c>
      <c r="D1947" s="12">
        <v>2012</v>
      </c>
      <c r="E1947" s="13">
        <v>51382</v>
      </c>
      <c r="F1947" s="8">
        <v>0.81285350750986973</v>
      </c>
    </row>
    <row r="1948" spans="1:6" x14ac:dyDescent="0.25">
      <c r="A1948" s="4" t="s">
        <v>168</v>
      </c>
      <c r="B1948" s="4" t="str">
        <f>VLOOKUP(A1948,Codes!$G$2:$H$217,2,0)</f>
        <v>VNM</v>
      </c>
      <c r="C1948" s="11">
        <v>63945704</v>
      </c>
      <c r="D1948" s="12">
        <v>2013</v>
      </c>
      <c r="E1948" s="13">
        <v>56370</v>
      </c>
      <c r="F1948" s="8">
        <v>0.8815291172648595</v>
      </c>
    </row>
    <row r="1949" spans="1:6" x14ac:dyDescent="0.25">
      <c r="A1949" s="4" t="s">
        <v>168</v>
      </c>
      <c r="B1949" s="4" t="str">
        <f>VLOOKUP(A1949,Codes!$G$2:$H$217,2,0)</f>
        <v>VNM</v>
      </c>
      <c r="C1949" s="11">
        <v>64593193</v>
      </c>
      <c r="D1949" s="16">
        <v>2014</v>
      </c>
      <c r="E1949" s="13">
        <v>56928</v>
      </c>
      <c r="F1949" s="8">
        <v>0.88133125730446549</v>
      </c>
    </row>
    <row r="1950" spans="1:6" x14ac:dyDescent="0.25">
      <c r="A1950" s="4" t="s">
        <v>168</v>
      </c>
      <c r="B1950" s="4" t="str">
        <f>VLOOKUP(A1950,Codes!$G$2:$H$217,2,0)</f>
        <v>VNM</v>
      </c>
      <c r="C1950" s="11">
        <v>65162936</v>
      </c>
      <c r="D1950" s="16">
        <v>2015</v>
      </c>
      <c r="E1950" s="13">
        <v>73817</v>
      </c>
      <c r="F1950" s="8">
        <v>1.1328065389809938</v>
      </c>
    </row>
    <row r="1951" spans="1:6" x14ac:dyDescent="0.25">
      <c r="A1951" s="4" t="s">
        <v>168</v>
      </c>
      <c r="B1951" s="4" t="str">
        <f>VLOOKUP(A1951,Codes!$G$2:$H$217,2,0)</f>
        <v>VNM</v>
      </c>
      <c r="C1951" s="11">
        <v>65677847</v>
      </c>
      <c r="D1951" s="16">
        <v>2016</v>
      </c>
      <c r="E1951" s="13">
        <v>87346</v>
      </c>
      <c r="F1951" s="8">
        <v>1.3299157020174548</v>
      </c>
    </row>
    <row r="1952" spans="1:6" x14ac:dyDescent="0.25">
      <c r="A1952" s="4" t="s">
        <v>168</v>
      </c>
      <c r="B1952" s="4" t="str">
        <f>VLOOKUP(A1952,Codes!$G$2:$H$217,2,0)</f>
        <v>VNM</v>
      </c>
      <c r="C1952" s="11">
        <v>66098814</v>
      </c>
      <c r="D1952" s="16">
        <v>2017</v>
      </c>
      <c r="E1952" s="13">
        <v>102447</v>
      </c>
      <c r="F1952" s="8">
        <v>1.5499067804756679</v>
      </c>
    </row>
    <row r="1953" spans="1:6" x14ac:dyDescent="0.25">
      <c r="A1953" s="4" t="s">
        <v>168</v>
      </c>
      <c r="B1953" s="4" t="str">
        <f>VLOOKUP(A1953,Codes!$G$2:$H$217,2,0)</f>
        <v>VNM</v>
      </c>
      <c r="C1953" s="11">
        <v>66454455</v>
      </c>
      <c r="D1953" s="16">
        <v>2018</v>
      </c>
      <c r="E1953" s="13">
        <v>106931</v>
      </c>
      <c r="F1953" s="8">
        <v>1.6090870055288242</v>
      </c>
    </row>
    <row r="1954" spans="1:6" x14ac:dyDescent="0.25">
      <c r="A1954" s="4" t="s">
        <v>168</v>
      </c>
      <c r="B1954" s="4" t="str">
        <f>VLOOKUP(A1954,Codes!$G$2:$H$217,2,0)</f>
        <v>VNM</v>
      </c>
      <c r="C1954" s="11">
        <v>66783128</v>
      </c>
      <c r="D1954" s="16">
        <v>2019</v>
      </c>
      <c r="E1954" s="13">
        <v>111338</v>
      </c>
      <c r="F1954" s="8">
        <v>1.6671576090296338</v>
      </c>
    </row>
    <row r="1955" spans="1:6" x14ac:dyDescent="0.25">
      <c r="A1955" s="4" t="s">
        <v>168</v>
      </c>
      <c r="B1955" s="4" t="str">
        <f>VLOOKUP(A1955,Codes!$G$2:$H$217,2,0)</f>
        <v>VNM</v>
      </c>
      <c r="C1955" s="11">
        <v>67105172</v>
      </c>
      <c r="D1955" s="16">
        <v>2020</v>
      </c>
      <c r="E1955" s="13">
        <v>111477</v>
      </c>
      <c r="F1955" s="8">
        <v>1.6612281390173622</v>
      </c>
    </row>
    <row r="1956" spans="1:6" x14ac:dyDescent="0.25">
      <c r="A1956" s="3" t="s">
        <v>169</v>
      </c>
      <c r="B1956" s="4" t="str">
        <f>VLOOKUP(A1956,Codes!$G$2:$H$217,2,0)</f>
        <v>ZMB</v>
      </c>
      <c r="C1956" s="11">
        <v>6163108</v>
      </c>
      <c r="D1956" s="12">
        <v>2006</v>
      </c>
      <c r="E1956" s="13">
        <v>3715</v>
      </c>
      <c r="F1956" s="8">
        <v>0.60278028553126117</v>
      </c>
    </row>
    <row r="1957" spans="1:6" x14ac:dyDescent="0.25">
      <c r="A1957" s="4" t="s">
        <v>169</v>
      </c>
      <c r="B1957" s="4" t="str">
        <f>VLOOKUP(A1957,Codes!$G$2:$H$217,2,0)</f>
        <v>ZMB</v>
      </c>
      <c r="C1957" s="11">
        <v>6323187</v>
      </c>
      <c r="D1957" s="12">
        <v>2007</v>
      </c>
      <c r="E1957" s="13">
        <v>5541</v>
      </c>
      <c r="F1957" s="8">
        <v>0.87629861334165826</v>
      </c>
    </row>
    <row r="1958" spans="1:6" x14ac:dyDescent="0.25">
      <c r="A1958" s="4" t="s">
        <v>169</v>
      </c>
      <c r="B1958" s="4" t="str">
        <f>VLOOKUP(A1958,Codes!$G$2:$H$217,2,0)</f>
        <v>ZMB</v>
      </c>
      <c r="C1958" s="11">
        <v>6497071</v>
      </c>
      <c r="D1958" s="12">
        <v>2008</v>
      </c>
      <c r="E1958" s="13">
        <v>6026</v>
      </c>
      <c r="F1958" s="8">
        <v>0.92749486653293467</v>
      </c>
    </row>
    <row r="1959" spans="1:6" x14ac:dyDescent="0.25">
      <c r="A1959" s="4" t="s">
        <v>169</v>
      </c>
      <c r="B1959" s="4" t="str">
        <f>VLOOKUP(A1959,Codes!$G$2:$H$217,2,0)</f>
        <v>ZMB</v>
      </c>
      <c r="C1959" s="11">
        <v>6685153</v>
      </c>
      <c r="D1959" s="12">
        <v>2009</v>
      </c>
      <c r="E1959" s="13">
        <v>5172</v>
      </c>
      <c r="F1959" s="8">
        <v>0.77365469421567468</v>
      </c>
    </row>
    <row r="1960" spans="1:6" x14ac:dyDescent="0.25">
      <c r="A1960" s="4" t="s">
        <v>169</v>
      </c>
      <c r="B1960" s="4" t="str">
        <f>VLOOKUP(A1960,Codes!$G$2:$H$217,2,0)</f>
        <v>ZMB</v>
      </c>
      <c r="C1960" s="11">
        <v>6888491</v>
      </c>
      <c r="D1960" s="12">
        <v>2010</v>
      </c>
      <c r="E1960" s="13">
        <v>6355</v>
      </c>
      <c r="F1960" s="8">
        <v>0.92255328489214838</v>
      </c>
    </row>
    <row r="1961" spans="1:6" x14ac:dyDescent="0.25">
      <c r="A1961" s="4" t="s">
        <v>169</v>
      </c>
      <c r="B1961" s="4" t="str">
        <f>VLOOKUP(A1961,Codes!$G$2:$H$217,2,0)</f>
        <v>ZMB</v>
      </c>
      <c r="C1961" s="11">
        <v>7122639</v>
      </c>
      <c r="D1961" s="12">
        <v>2011</v>
      </c>
      <c r="E1961" s="13">
        <v>7774</v>
      </c>
      <c r="F1961" s="8">
        <v>1.091449391159653</v>
      </c>
    </row>
    <row r="1962" spans="1:6" x14ac:dyDescent="0.25">
      <c r="A1962" s="4" t="s">
        <v>169</v>
      </c>
      <c r="B1962" s="4" t="str">
        <f>VLOOKUP(A1962,Codes!$G$2:$H$217,2,0)</f>
        <v>ZMB</v>
      </c>
      <c r="C1962" s="11">
        <v>7372153</v>
      </c>
      <c r="D1962" s="12">
        <v>2012</v>
      </c>
      <c r="E1962" s="13">
        <v>8849</v>
      </c>
      <c r="F1962" s="8">
        <v>1.2003277739894982</v>
      </c>
    </row>
    <row r="1963" spans="1:6" x14ac:dyDescent="0.25">
      <c r="A1963" s="4" t="s">
        <v>169</v>
      </c>
      <c r="B1963" s="4" t="str">
        <f>VLOOKUP(A1963,Codes!$G$2:$H$217,2,0)</f>
        <v>ZMB</v>
      </c>
      <c r="C1963" s="11">
        <v>7637361</v>
      </c>
      <c r="D1963" s="12">
        <v>2013</v>
      </c>
      <c r="E1963" s="13">
        <v>9403</v>
      </c>
      <c r="F1963" s="8">
        <v>1.231184436613642</v>
      </c>
    </row>
    <row r="1964" spans="1:6" x14ac:dyDescent="0.25">
      <c r="A1964" s="4" t="s">
        <v>169</v>
      </c>
      <c r="B1964" s="4" t="str">
        <f>VLOOKUP(A1964,Codes!$G$2:$H$217,2,0)</f>
        <v>ZMB</v>
      </c>
      <c r="C1964" s="11">
        <v>7919603</v>
      </c>
      <c r="D1964" s="16">
        <v>2014</v>
      </c>
      <c r="E1964" s="13">
        <v>9402</v>
      </c>
      <c r="F1964" s="8">
        <v>1.1871807210538206</v>
      </c>
    </row>
    <row r="1965" spans="1:6" x14ac:dyDescent="0.25">
      <c r="A1965" s="4" t="s">
        <v>169</v>
      </c>
      <c r="B1965" s="4" t="str">
        <f>VLOOKUP(A1965,Codes!$G$2:$H$217,2,0)</f>
        <v>ZMB</v>
      </c>
      <c r="C1965" s="11">
        <v>8218966</v>
      </c>
      <c r="D1965" s="16">
        <v>2015</v>
      </c>
      <c r="E1965" s="13">
        <v>9137</v>
      </c>
      <c r="F1965" s="8">
        <v>1.1116970188220756</v>
      </c>
    </row>
    <row r="1966" spans="1:6" x14ac:dyDescent="0.25">
      <c r="A1966" s="4" t="s">
        <v>169</v>
      </c>
      <c r="B1966" s="4" t="str">
        <f>VLOOKUP(A1966,Codes!$G$2:$H$217,2,0)</f>
        <v>ZMB</v>
      </c>
      <c r="C1966" s="11">
        <v>8523879</v>
      </c>
      <c r="D1966" s="16">
        <v>2016</v>
      </c>
      <c r="E1966" s="13">
        <v>8874</v>
      </c>
      <c r="F1966" s="8">
        <v>1.0410753132464692</v>
      </c>
    </row>
    <row r="1967" spans="1:6" x14ac:dyDescent="0.25">
      <c r="A1967" s="4" t="s">
        <v>169</v>
      </c>
      <c r="B1967" s="4" t="str">
        <f>VLOOKUP(A1967,Codes!$G$2:$H$217,2,0)</f>
        <v>ZMB</v>
      </c>
      <c r="C1967" s="11">
        <v>8848789</v>
      </c>
      <c r="D1967" s="16">
        <v>2017</v>
      </c>
      <c r="E1967" s="13">
        <v>9399</v>
      </c>
      <c r="F1967" s="8">
        <v>1.0621792428319854</v>
      </c>
    </row>
    <row r="1968" spans="1:6" x14ac:dyDescent="0.25">
      <c r="A1968" s="4" t="s">
        <v>169</v>
      </c>
      <c r="B1968" s="4" t="str">
        <f>VLOOKUP(A1968,Codes!$G$2:$H$217,2,0)</f>
        <v>ZMB</v>
      </c>
      <c r="C1968" s="11">
        <v>9190193</v>
      </c>
      <c r="D1968" s="16">
        <v>2018</v>
      </c>
      <c r="E1968" s="13">
        <v>10239</v>
      </c>
      <c r="F1968" s="8">
        <v>1.1141224128807741</v>
      </c>
    </row>
    <row r="1969" spans="1:6" x14ac:dyDescent="0.25">
      <c r="A1969" s="4" t="s">
        <v>169</v>
      </c>
      <c r="B1969" s="4" t="str">
        <f>VLOOKUP(A1969,Codes!$G$2:$H$217,2,0)</f>
        <v>ZMB</v>
      </c>
      <c r="C1969" s="11">
        <v>9541753</v>
      </c>
      <c r="D1969" s="16">
        <v>2019</v>
      </c>
      <c r="E1969" s="13">
        <v>9606</v>
      </c>
      <c r="F1969" s="8">
        <v>1.0067332491209948</v>
      </c>
    </row>
    <row r="1970" spans="1:6" x14ac:dyDescent="0.25">
      <c r="A1970" s="4" t="s">
        <v>169</v>
      </c>
      <c r="B1970" s="4" t="str">
        <f>VLOOKUP(A1970,Codes!$G$2:$H$217,2,0)</f>
        <v>ZMB</v>
      </c>
      <c r="C1970" s="11">
        <v>9899869</v>
      </c>
      <c r="D1970" s="16">
        <v>2020</v>
      </c>
      <c r="E1970" s="13">
        <v>10640</v>
      </c>
      <c r="F1970" s="8">
        <v>1.0747616963416384</v>
      </c>
    </row>
    <row r="1971" spans="1:6" x14ac:dyDescent="0.25">
      <c r="A1971" s="3" t="s">
        <v>170</v>
      </c>
      <c r="B1971" s="4" t="str">
        <f>VLOOKUP(A1971,Codes!$G$2:$H$217,2,0)</f>
        <v>ZWE</v>
      </c>
      <c r="C1971" s="11">
        <v>7114894</v>
      </c>
      <c r="D1971" s="12">
        <v>2011</v>
      </c>
      <c r="E1971" s="13">
        <v>8541</v>
      </c>
      <c r="F1971" s="8">
        <v>1.2004395286844751</v>
      </c>
    </row>
    <row r="1972" spans="1:6" x14ac:dyDescent="0.25">
      <c r="A1972" s="4" t="s">
        <v>170</v>
      </c>
      <c r="B1972" s="4" t="str">
        <f>VLOOKUP(A1972,Codes!$G$2:$H$217,2,0)</f>
        <v>ZWE</v>
      </c>
      <c r="C1972" s="11">
        <v>7215013</v>
      </c>
      <c r="D1972" s="12">
        <v>2012</v>
      </c>
      <c r="E1972" s="13">
        <v>9491</v>
      </c>
      <c r="F1972" s="8">
        <v>1.315451545270951</v>
      </c>
    </row>
    <row r="1973" spans="1:6" x14ac:dyDescent="0.25">
      <c r="A1973" s="4" t="s">
        <v>170</v>
      </c>
      <c r="B1973" s="4" t="str">
        <f>VLOOKUP(A1973,Codes!$G$2:$H$217,2,0)</f>
        <v>ZWE</v>
      </c>
      <c r="C1973" s="11">
        <v>7321283</v>
      </c>
      <c r="D1973" s="12">
        <v>2013</v>
      </c>
      <c r="E1973" s="13">
        <v>9782</v>
      </c>
      <c r="F1973" s="8">
        <v>1.3361046144507731</v>
      </c>
    </row>
    <row r="1974" spans="1:6" x14ac:dyDescent="0.25">
      <c r="A1974" s="4" t="s">
        <v>170</v>
      </c>
      <c r="B1974" s="4" t="str">
        <f>VLOOKUP(A1974,Codes!$G$2:$H$217,2,0)</f>
        <v>ZWE</v>
      </c>
      <c r="C1974" s="11">
        <v>7430927</v>
      </c>
      <c r="D1974" s="16">
        <v>2014</v>
      </c>
      <c r="E1974" s="13">
        <v>9465</v>
      </c>
      <c r="F1974" s="8">
        <v>1.2737307202721813</v>
      </c>
    </row>
    <row r="1975" spans="1:6" x14ac:dyDescent="0.25">
      <c r="A1975" s="4" t="s">
        <v>170</v>
      </c>
      <c r="B1975" s="4" t="str">
        <f>VLOOKUP(A1975,Codes!$G$2:$H$217,2,0)</f>
        <v>ZWE</v>
      </c>
      <c r="C1975" s="11">
        <v>7543272</v>
      </c>
      <c r="D1975" s="16">
        <v>2015</v>
      </c>
      <c r="E1975" s="13">
        <v>9055</v>
      </c>
      <c r="F1975" s="8">
        <v>1.2004074624380507</v>
      </c>
    </row>
    <row r="1976" spans="1:6" x14ac:dyDescent="0.25">
      <c r="A1976" s="4" t="s">
        <v>170</v>
      </c>
      <c r="B1976" s="4" t="str">
        <f>VLOOKUP(A1976,Codes!$G$2:$H$217,2,0)</f>
        <v>ZWE</v>
      </c>
      <c r="C1976" s="11">
        <v>7642765</v>
      </c>
      <c r="D1976" s="16">
        <v>2016</v>
      </c>
      <c r="E1976" s="13">
        <v>8124</v>
      </c>
      <c r="F1976" s="8">
        <v>1.062966086226647</v>
      </c>
    </row>
    <row r="1977" spans="1:6" x14ac:dyDescent="0.25">
      <c r="A1977" s="4" t="s">
        <v>170</v>
      </c>
      <c r="B1977" s="4" t="str">
        <f>VLOOKUP(A1977,Codes!$G$2:$H$217,2,0)</f>
        <v>ZWE</v>
      </c>
      <c r="C1977" s="11">
        <v>7759792</v>
      </c>
      <c r="D1977" s="16">
        <v>2017</v>
      </c>
      <c r="E1977" s="13">
        <v>9518</v>
      </c>
      <c r="F1977" s="8">
        <v>1.2265792691350488</v>
      </c>
    </row>
    <row r="1978" spans="1:6" x14ac:dyDescent="0.25">
      <c r="A1978" s="4" t="s">
        <v>170</v>
      </c>
      <c r="B1978" s="4" t="str">
        <f>VLOOKUP(A1978,Codes!$G$2:$H$217,2,0)</f>
        <v>ZWE</v>
      </c>
      <c r="C1978" s="11">
        <v>7892169</v>
      </c>
      <c r="D1978" s="16">
        <v>2018</v>
      </c>
      <c r="E1978" s="13">
        <v>16810</v>
      </c>
      <c r="F1978" s="8">
        <v>2.1299594572797411</v>
      </c>
    </row>
    <row r="1979" spans="1:6" x14ac:dyDescent="0.25">
      <c r="A1979" s="4" t="s">
        <v>170</v>
      </c>
      <c r="B1979" s="4" t="str">
        <f>VLOOKUP(A1979,Codes!$G$2:$H$217,2,0)</f>
        <v>ZWE</v>
      </c>
      <c r="C1979" s="11">
        <v>8034692</v>
      </c>
      <c r="D1979" s="24">
        <v>2019</v>
      </c>
      <c r="E1979" s="13">
        <v>25028</v>
      </c>
      <c r="F1979" s="8">
        <v>3.1149918378949684</v>
      </c>
    </row>
    <row r="1980" spans="1:6" x14ac:dyDescent="0.25">
      <c r="A1980" s="4" t="s">
        <v>170</v>
      </c>
      <c r="B1980" s="4" t="str">
        <f>VLOOKUP(A1980,Codes!$G$2:$H$217,2,0)</f>
        <v>ZWE</v>
      </c>
      <c r="C1980" s="11">
        <v>8185716</v>
      </c>
      <c r="D1980" s="24">
        <v>2020</v>
      </c>
      <c r="E1980" s="13">
        <v>20273</v>
      </c>
      <c r="F1980" s="8">
        <v>2.4766312439864762</v>
      </c>
    </row>
  </sheetData>
  <autoFilter ref="A1:F1980" xr:uid="{476B9B49-1256-478E-951B-E9E0C0B36D6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F840-6873-44BF-9509-716BB85D6184}">
  <dimension ref="A1:H264"/>
  <sheetViews>
    <sheetView topLeftCell="A169" workbookViewId="0">
      <selection activeCell="G199" sqref="G199"/>
    </sheetView>
  </sheetViews>
  <sheetFormatPr defaultRowHeight="15" x14ac:dyDescent="0.25"/>
  <cols>
    <col min="1" max="3" width="9.140625" style="7"/>
  </cols>
  <sheetData>
    <row r="1" spans="1:8" x14ac:dyDescent="0.25">
      <c r="A1" s="5" t="s">
        <v>6</v>
      </c>
      <c r="B1" s="6" t="s">
        <v>171</v>
      </c>
      <c r="C1" s="6">
        <v>4</v>
      </c>
    </row>
    <row r="2" spans="1:8" x14ac:dyDescent="0.25">
      <c r="A2" s="5" t="s">
        <v>7</v>
      </c>
      <c r="B2" s="6" t="s">
        <v>172</v>
      </c>
      <c r="C2" s="6">
        <v>8</v>
      </c>
      <c r="G2" t="s">
        <v>6</v>
      </c>
      <c r="H2" t="s">
        <v>171</v>
      </c>
    </row>
    <row r="3" spans="1:8" x14ac:dyDescent="0.25">
      <c r="A3" s="5" t="s">
        <v>8</v>
      </c>
      <c r="B3" s="6" t="s">
        <v>173</v>
      </c>
      <c r="C3" s="6">
        <v>12</v>
      </c>
      <c r="G3" t="s">
        <v>7</v>
      </c>
      <c r="H3" t="s">
        <v>172</v>
      </c>
    </row>
    <row r="4" spans="1:8" x14ac:dyDescent="0.25">
      <c r="A4" s="5" t="s">
        <v>174</v>
      </c>
      <c r="B4" s="6" t="s">
        <v>175</v>
      </c>
      <c r="C4" s="6">
        <v>16</v>
      </c>
      <c r="G4" t="s">
        <v>8</v>
      </c>
      <c r="H4" t="s">
        <v>173</v>
      </c>
    </row>
    <row r="5" spans="1:8" x14ac:dyDescent="0.25">
      <c r="A5" s="5" t="s">
        <v>176</v>
      </c>
      <c r="B5" s="6" t="s">
        <v>177</v>
      </c>
      <c r="C5" s="6">
        <v>20</v>
      </c>
      <c r="G5" t="s">
        <v>174</v>
      </c>
      <c r="H5" t="s">
        <v>175</v>
      </c>
    </row>
    <row r="6" spans="1:8" x14ac:dyDescent="0.25">
      <c r="A6" s="5" t="s">
        <v>178</v>
      </c>
      <c r="B6" s="6" t="s">
        <v>179</v>
      </c>
      <c r="C6" s="6">
        <v>24</v>
      </c>
      <c r="G6" t="s">
        <v>176</v>
      </c>
      <c r="H6" t="s">
        <v>177</v>
      </c>
    </row>
    <row r="7" spans="1:8" x14ac:dyDescent="0.25">
      <c r="A7" s="5" t="s">
        <v>180</v>
      </c>
      <c r="B7" s="6" t="s">
        <v>181</v>
      </c>
      <c r="C7" s="6">
        <v>660</v>
      </c>
      <c r="G7" t="s">
        <v>178</v>
      </c>
      <c r="H7" t="s">
        <v>179</v>
      </c>
    </row>
    <row r="8" spans="1:8" x14ac:dyDescent="0.25">
      <c r="A8" s="5" t="s">
        <v>182</v>
      </c>
      <c r="B8" s="6" t="s">
        <v>183</v>
      </c>
      <c r="C8" s="6">
        <v>28</v>
      </c>
      <c r="G8" t="s">
        <v>182</v>
      </c>
      <c r="H8" t="s">
        <v>183</v>
      </c>
    </row>
    <row r="9" spans="1:8" x14ac:dyDescent="0.25">
      <c r="A9" s="5" t="s">
        <v>10</v>
      </c>
      <c r="B9" s="6" t="s">
        <v>184</v>
      </c>
      <c r="C9" s="6">
        <v>32</v>
      </c>
      <c r="G9" t="s">
        <v>10</v>
      </c>
      <c r="H9" t="s">
        <v>184</v>
      </c>
    </row>
    <row r="10" spans="1:8" x14ac:dyDescent="0.25">
      <c r="A10" s="5" t="s">
        <v>11</v>
      </c>
      <c r="B10" s="6" t="s">
        <v>185</v>
      </c>
      <c r="C10" s="6">
        <v>51</v>
      </c>
      <c r="G10" t="s">
        <v>11</v>
      </c>
      <c r="H10" t="s">
        <v>185</v>
      </c>
    </row>
    <row r="11" spans="1:8" x14ac:dyDescent="0.25">
      <c r="A11" s="5" t="s">
        <v>186</v>
      </c>
      <c r="B11" s="6" t="s">
        <v>187</v>
      </c>
      <c r="C11" s="6">
        <v>533</v>
      </c>
      <c r="G11" t="s">
        <v>186</v>
      </c>
      <c r="H11" t="s">
        <v>187</v>
      </c>
    </row>
    <row r="12" spans="1:8" x14ac:dyDescent="0.25">
      <c r="A12" s="5" t="s">
        <v>12</v>
      </c>
      <c r="B12" s="6" t="s">
        <v>188</v>
      </c>
      <c r="C12" s="6">
        <v>36</v>
      </c>
      <c r="G12" t="s">
        <v>12</v>
      </c>
      <c r="H12" t="s">
        <v>188</v>
      </c>
    </row>
    <row r="13" spans="1:8" x14ac:dyDescent="0.25">
      <c r="A13" s="5" t="s">
        <v>13</v>
      </c>
      <c r="B13" s="6" t="s">
        <v>189</v>
      </c>
      <c r="C13" s="6">
        <v>40</v>
      </c>
      <c r="G13" t="s">
        <v>13</v>
      </c>
      <c r="H13" t="s">
        <v>189</v>
      </c>
    </row>
    <row r="14" spans="1:8" x14ac:dyDescent="0.25">
      <c r="A14" s="5" t="s">
        <v>14</v>
      </c>
      <c r="B14" s="6" t="s">
        <v>190</v>
      </c>
      <c r="C14" s="6">
        <v>31</v>
      </c>
      <c r="G14" t="s">
        <v>14</v>
      </c>
      <c r="H14" t="s">
        <v>190</v>
      </c>
    </row>
    <row r="15" spans="1:8" x14ac:dyDescent="0.25">
      <c r="A15" s="5" t="s">
        <v>191</v>
      </c>
      <c r="B15" s="6" t="s">
        <v>192</v>
      </c>
      <c r="C15" s="6">
        <v>44</v>
      </c>
      <c r="G15" t="s">
        <v>191</v>
      </c>
      <c r="H15" t="s">
        <v>192</v>
      </c>
    </row>
    <row r="16" spans="1:8" x14ac:dyDescent="0.25">
      <c r="A16" s="5" t="s">
        <v>193</v>
      </c>
      <c r="B16" s="6" t="s">
        <v>194</v>
      </c>
      <c r="C16" s="6">
        <v>48</v>
      </c>
      <c r="G16" t="s">
        <v>193</v>
      </c>
      <c r="H16" t="s">
        <v>194</v>
      </c>
    </row>
    <row r="17" spans="1:8" x14ac:dyDescent="0.25">
      <c r="A17" s="5" t="s">
        <v>16</v>
      </c>
      <c r="B17" s="6" t="s">
        <v>195</v>
      </c>
      <c r="C17" s="6">
        <v>50</v>
      </c>
      <c r="G17" t="s">
        <v>16</v>
      </c>
      <c r="H17" t="s">
        <v>195</v>
      </c>
    </row>
    <row r="18" spans="1:8" x14ac:dyDescent="0.25">
      <c r="A18" s="5" t="s">
        <v>196</v>
      </c>
      <c r="B18" s="6" t="s">
        <v>197</v>
      </c>
      <c r="C18" s="6">
        <v>52</v>
      </c>
      <c r="G18" t="s">
        <v>196</v>
      </c>
      <c r="H18" t="s">
        <v>197</v>
      </c>
    </row>
    <row r="19" spans="1:8" x14ac:dyDescent="0.25">
      <c r="A19" s="5" t="s">
        <v>18</v>
      </c>
      <c r="B19" s="6" t="s">
        <v>198</v>
      </c>
      <c r="C19" s="6">
        <v>112</v>
      </c>
      <c r="G19" t="s">
        <v>18</v>
      </c>
      <c r="H19" t="s">
        <v>198</v>
      </c>
    </row>
    <row r="20" spans="1:8" x14ac:dyDescent="0.25">
      <c r="A20" s="5" t="s">
        <v>19</v>
      </c>
      <c r="B20" s="6" t="s">
        <v>199</v>
      </c>
      <c r="C20" s="6">
        <v>56</v>
      </c>
      <c r="G20" t="s">
        <v>19</v>
      </c>
      <c r="H20" t="s">
        <v>199</v>
      </c>
    </row>
    <row r="21" spans="1:8" x14ac:dyDescent="0.25">
      <c r="A21" s="5" t="s">
        <v>200</v>
      </c>
      <c r="B21" s="6" t="s">
        <v>201</v>
      </c>
      <c r="C21" s="6">
        <v>58</v>
      </c>
      <c r="G21" t="s">
        <v>202</v>
      </c>
      <c r="H21" t="s">
        <v>203</v>
      </c>
    </row>
    <row r="22" spans="1:8" x14ac:dyDescent="0.25">
      <c r="A22" s="5" t="s">
        <v>202</v>
      </c>
      <c r="B22" s="6" t="s">
        <v>203</v>
      </c>
      <c r="C22" s="6">
        <v>84</v>
      </c>
      <c r="G22" t="s">
        <v>21</v>
      </c>
      <c r="H22" t="s">
        <v>204</v>
      </c>
    </row>
    <row r="23" spans="1:8" x14ac:dyDescent="0.25">
      <c r="A23" s="5" t="s">
        <v>21</v>
      </c>
      <c r="B23" s="6" t="s">
        <v>204</v>
      </c>
      <c r="C23" s="6">
        <v>204</v>
      </c>
      <c r="G23" t="s">
        <v>205</v>
      </c>
      <c r="H23" t="s">
        <v>206</v>
      </c>
    </row>
    <row r="24" spans="1:8" x14ac:dyDescent="0.25">
      <c r="A24" s="5" t="s">
        <v>205</v>
      </c>
      <c r="B24" s="6" t="s">
        <v>206</v>
      </c>
      <c r="C24" s="6">
        <v>60</v>
      </c>
      <c r="G24" t="s">
        <v>22</v>
      </c>
      <c r="H24" t="s">
        <v>207</v>
      </c>
    </row>
    <row r="25" spans="1:8" x14ac:dyDescent="0.25">
      <c r="A25" s="5" t="s">
        <v>22</v>
      </c>
      <c r="B25" s="6" t="s">
        <v>207</v>
      </c>
      <c r="C25" s="6">
        <v>64</v>
      </c>
      <c r="G25" t="s">
        <v>23</v>
      </c>
      <c r="H25" t="s">
        <v>208</v>
      </c>
    </row>
    <row r="26" spans="1:8" x14ac:dyDescent="0.25">
      <c r="A26" s="5" t="s">
        <v>23</v>
      </c>
      <c r="B26" s="6" t="s">
        <v>208</v>
      </c>
      <c r="C26" s="6">
        <v>68</v>
      </c>
      <c r="G26" t="s">
        <v>24</v>
      </c>
      <c r="H26" t="s">
        <v>209</v>
      </c>
    </row>
    <row r="27" spans="1:8" x14ac:dyDescent="0.25">
      <c r="A27" s="5" t="s">
        <v>24</v>
      </c>
      <c r="B27" s="6" t="s">
        <v>209</v>
      </c>
      <c r="C27" s="6">
        <v>70</v>
      </c>
      <c r="G27" t="s">
        <v>25</v>
      </c>
      <c r="H27" t="s">
        <v>210</v>
      </c>
    </row>
    <row r="28" spans="1:8" x14ac:dyDescent="0.25">
      <c r="A28" s="5" t="s">
        <v>25</v>
      </c>
      <c r="B28" s="6" t="s">
        <v>210</v>
      </c>
      <c r="C28" s="6">
        <v>72</v>
      </c>
      <c r="G28" t="s">
        <v>26</v>
      </c>
      <c r="H28" t="s">
        <v>27</v>
      </c>
    </row>
    <row r="29" spans="1:8" x14ac:dyDescent="0.25">
      <c r="A29" s="5" t="s">
        <v>211</v>
      </c>
      <c r="B29" s="6" t="s">
        <v>212</v>
      </c>
      <c r="C29" s="6">
        <v>80</v>
      </c>
      <c r="G29" t="s">
        <v>215</v>
      </c>
      <c r="H29" t="s">
        <v>216</v>
      </c>
    </row>
    <row r="30" spans="1:8" x14ac:dyDescent="0.25">
      <c r="A30" s="5" t="s">
        <v>26</v>
      </c>
      <c r="B30" s="6" t="s">
        <v>27</v>
      </c>
      <c r="C30" s="6">
        <v>76</v>
      </c>
      <c r="G30" t="s">
        <v>28</v>
      </c>
      <c r="H30" t="s">
        <v>218</v>
      </c>
    </row>
    <row r="31" spans="1:8" x14ac:dyDescent="0.25">
      <c r="A31" s="5" t="s">
        <v>213</v>
      </c>
      <c r="B31" s="6" t="s">
        <v>214</v>
      </c>
      <c r="C31" s="6">
        <v>86</v>
      </c>
      <c r="G31" t="s">
        <v>29</v>
      </c>
      <c r="H31" t="s">
        <v>219</v>
      </c>
    </row>
    <row r="32" spans="1:8" x14ac:dyDescent="0.25">
      <c r="A32" s="5" t="s">
        <v>215</v>
      </c>
      <c r="B32" s="6" t="s">
        <v>216</v>
      </c>
      <c r="C32" s="6">
        <v>92</v>
      </c>
      <c r="G32" t="s">
        <v>30</v>
      </c>
      <c r="H32" t="s">
        <v>220</v>
      </c>
    </row>
    <row r="33" spans="1:8" x14ac:dyDescent="0.25">
      <c r="A33" s="5" t="s">
        <v>217</v>
      </c>
      <c r="B33" s="6" t="s">
        <v>218</v>
      </c>
      <c r="C33" s="6">
        <v>96</v>
      </c>
      <c r="G33" t="s">
        <v>221</v>
      </c>
      <c r="H33" t="s">
        <v>222</v>
      </c>
    </row>
    <row r="34" spans="1:8" x14ac:dyDescent="0.25">
      <c r="A34" s="5" t="s">
        <v>29</v>
      </c>
      <c r="B34" s="6" t="s">
        <v>219</v>
      </c>
      <c r="C34" s="6">
        <v>100</v>
      </c>
      <c r="G34" t="s">
        <v>31</v>
      </c>
      <c r="H34" t="s">
        <v>228</v>
      </c>
    </row>
    <row r="35" spans="1:8" x14ac:dyDescent="0.25">
      <c r="A35" s="5" t="s">
        <v>30</v>
      </c>
      <c r="B35" s="6" t="s">
        <v>220</v>
      </c>
      <c r="C35" s="6">
        <v>854</v>
      </c>
      <c r="G35" t="s">
        <v>32</v>
      </c>
      <c r="H35" t="s">
        <v>223</v>
      </c>
    </row>
    <row r="36" spans="1:8" x14ac:dyDescent="0.25">
      <c r="A36" s="5" t="s">
        <v>221</v>
      </c>
      <c r="B36" s="6" t="s">
        <v>222</v>
      </c>
      <c r="C36" s="6">
        <v>108</v>
      </c>
      <c r="G36" t="s">
        <v>224</v>
      </c>
      <c r="H36" t="s">
        <v>225</v>
      </c>
    </row>
    <row r="37" spans="1:8" x14ac:dyDescent="0.25">
      <c r="A37" s="5" t="s">
        <v>32</v>
      </c>
      <c r="B37" s="6" t="s">
        <v>223</v>
      </c>
      <c r="C37" s="6">
        <v>116</v>
      </c>
      <c r="G37" t="s">
        <v>226</v>
      </c>
      <c r="H37" t="s">
        <v>227</v>
      </c>
    </row>
    <row r="38" spans="1:8" x14ac:dyDescent="0.25">
      <c r="A38" s="5" t="s">
        <v>224</v>
      </c>
      <c r="B38" s="6" t="s">
        <v>225</v>
      </c>
      <c r="C38" s="6">
        <v>120</v>
      </c>
      <c r="G38" t="s">
        <v>229</v>
      </c>
      <c r="H38" t="s">
        <v>230</v>
      </c>
    </row>
    <row r="39" spans="1:8" x14ac:dyDescent="0.25">
      <c r="A39" s="5" t="s">
        <v>226</v>
      </c>
      <c r="B39" s="6" t="s">
        <v>227</v>
      </c>
      <c r="C39" s="6">
        <v>124</v>
      </c>
      <c r="G39" t="s">
        <v>34</v>
      </c>
      <c r="H39" t="s">
        <v>231</v>
      </c>
    </row>
    <row r="40" spans="1:8" x14ac:dyDescent="0.25">
      <c r="A40" s="5" t="s">
        <v>31</v>
      </c>
      <c r="B40" s="6" t="s">
        <v>228</v>
      </c>
      <c r="C40" s="6">
        <v>132</v>
      </c>
      <c r="G40" t="s">
        <v>35</v>
      </c>
      <c r="H40" t="s">
        <v>232</v>
      </c>
    </row>
    <row r="41" spans="1:8" x14ac:dyDescent="0.25">
      <c r="A41" s="5" t="s">
        <v>229</v>
      </c>
      <c r="B41" s="6" t="s">
        <v>230</v>
      </c>
      <c r="C41" s="6">
        <v>136</v>
      </c>
      <c r="G41" t="s">
        <v>564</v>
      </c>
      <c r="H41" t="s">
        <v>563</v>
      </c>
    </row>
    <row r="42" spans="1:8" x14ac:dyDescent="0.25">
      <c r="A42" s="5" t="s">
        <v>34</v>
      </c>
      <c r="B42" s="6" t="s">
        <v>231</v>
      </c>
      <c r="C42" s="6">
        <v>140</v>
      </c>
      <c r="G42" t="s">
        <v>36</v>
      </c>
      <c r="H42" t="s">
        <v>233</v>
      </c>
    </row>
    <row r="43" spans="1:8" x14ac:dyDescent="0.25">
      <c r="A43" s="5" t="s">
        <v>35</v>
      </c>
      <c r="B43" s="6" t="s">
        <v>232</v>
      </c>
      <c r="C43" s="6">
        <v>148</v>
      </c>
      <c r="G43" t="s">
        <v>234</v>
      </c>
      <c r="H43" t="s">
        <v>235</v>
      </c>
    </row>
    <row r="44" spans="1:8" x14ac:dyDescent="0.25">
      <c r="A44" s="5" t="s">
        <v>36</v>
      </c>
      <c r="B44" s="6" t="s">
        <v>233</v>
      </c>
      <c r="C44" s="6">
        <v>152</v>
      </c>
      <c r="G44" t="s">
        <v>38</v>
      </c>
      <c r="H44" t="s">
        <v>240</v>
      </c>
    </row>
    <row r="45" spans="1:8" x14ac:dyDescent="0.25">
      <c r="A45" s="5" t="s">
        <v>234</v>
      </c>
      <c r="B45" s="6" t="s">
        <v>235</v>
      </c>
      <c r="C45" s="6">
        <v>156</v>
      </c>
      <c r="G45" t="s">
        <v>39</v>
      </c>
      <c r="H45" t="s">
        <v>241</v>
      </c>
    </row>
    <row r="46" spans="1:8" x14ac:dyDescent="0.25">
      <c r="A46" s="5" t="s">
        <v>236</v>
      </c>
      <c r="B46" s="6" t="s">
        <v>237</v>
      </c>
      <c r="C46" s="6">
        <v>162</v>
      </c>
      <c r="G46" t="s">
        <v>40</v>
      </c>
      <c r="H46" t="s">
        <v>566</v>
      </c>
    </row>
    <row r="47" spans="1:8" x14ac:dyDescent="0.25">
      <c r="A47" s="5" t="s">
        <v>238</v>
      </c>
      <c r="B47" s="6" t="s">
        <v>239</v>
      </c>
      <c r="C47" s="6">
        <v>166</v>
      </c>
      <c r="G47" t="s">
        <v>243</v>
      </c>
      <c r="H47" t="s">
        <v>244</v>
      </c>
    </row>
    <row r="48" spans="1:8" x14ac:dyDescent="0.25">
      <c r="A48" s="5" t="s">
        <v>38</v>
      </c>
      <c r="B48" s="6" t="s">
        <v>240</v>
      </c>
      <c r="C48" s="6">
        <v>170</v>
      </c>
      <c r="G48" t="s">
        <v>41</v>
      </c>
      <c r="H48" t="s">
        <v>247</v>
      </c>
    </row>
    <row r="49" spans="1:8" x14ac:dyDescent="0.25">
      <c r="A49" s="5" t="s">
        <v>39</v>
      </c>
      <c r="B49" s="6" t="s">
        <v>241</v>
      </c>
      <c r="C49" s="6">
        <v>174</v>
      </c>
      <c r="G49" t="s">
        <v>565</v>
      </c>
      <c r="H49" t="s">
        <v>249</v>
      </c>
    </row>
    <row r="50" spans="1:8" x14ac:dyDescent="0.25">
      <c r="A50" s="5" t="s">
        <v>40</v>
      </c>
      <c r="B50" s="6" t="s">
        <v>242</v>
      </c>
      <c r="C50" s="6">
        <v>180</v>
      </c>
      <c r="G50" t="s">
        <v>42</v>
      </c>
      <c r="H50" t="s">
        <v>250</v>
      </c>
    </row>
    <row r="51" spans="1:8" x14ac:dyDescent="0.25">
      <c r="A51" s="5" t="s">
        <v>243</v>
      </c>
      <c r="B51" s="6" t="s">
        <v>244</v>
      </c>
      <c r="C51" s="6">
        <v>178</v>
      </c>
      <c r="G51" t="s">
        <v>568</v>
      </c>
      <c r="H51" t="s">
        <v>567</v>
      </c>
    </row>
    <row r="52" spans="1:8" x14ac:dyDescent="0.25">
      <c r="A52" s="5" t="s">
        <v>245</v>
      </c>
      <c r="B52" s="6" t="s">
        <v>246</v>
      </c>
      <c r="C52" s="6">
        <v>184</v>
      </c>
      <c r="G52" t="s">
        <v>43</v>
      </c>
      <c r="H52" t="s">
        <v>253</v>
      </c>
    </row>
    <row r="53" spans="1:8" x14ac:dyDescent="0.25">
      <c r="A53" s="5" t="s">
        <v>41</v>
      </c>
      <c r="B53" s="6" t="s">
        <v>247</v>
      </c>
      <c r="C53" s="6">
        <v>188</v>
      </c>
      <c r="G53" t="s">
        <v>569</v>
      </c>
      <c r="H53" t="s">
        <v>254</v>
      </c>
    </row>
    <row r="54" spans="1:8" x14ac:dyDescent="0.25">
      <c r="A54" s="5" t="s">
        <v>248</v>
      </c>
      <c r="B54" s="6" t="s">
        <v>249</v>
      </c>
      <c r="C54" s="6">
        <v>384</v>
      </c>
      <c r="G54" t="s">
        <v>45</v>
      </c>
      <c r="H54" t="s">
        <v>257</v>
      </c>
    </row>
    <row r="55" spans="1:8" x14ac:dyDescent="0.25">
      <c r="A55" s="5" t="s">
        <v>42</v>
      </c>
      <c r="B55" s="6" t="s">
        <v>250</v>
      </c>
      <c r="C55" s="6">
        <v>191</v>
      </c>
      <c r="G55" t="s">
        <v>46</v>
      </c>
      <c r="H55" t="s">
        <v>258</v>
      </c>
    </row>
    <row r="56" spans="1:8" x14ac:dyDescent="0.25">
      <c r="A56" s="5" t="s">
        <v>251</v>
      </c>
      <c r="B56" s="6" t="s">
        <v>252</v>
      </c>
      <c r="C56" s="6">
        <v>192</v>
      </c>
      <c r="G56" t="s">
        <v>259</v>
      </c>
      <c r="H56" t="s">
        <v>260</v>
      </c>
    </row>
    <row r="57" spans="1:8" x14ac:dyDescent="0.25">
      <c r="A57" s="5" t="s">
        <v>43</v>
      </c>
      <c r="B57" s="6" t="s">
        <v>253</v>
      </c>
      <c r="C57" s="6">
        <v>196</v>
      </c>
      <c r="G57" t="s">
        <v>48</v>
      </c>
      <c r="H57" t="s">
        <v>261</v>
      </c>
    </row>
    <row r="58" spans="1:8" x14ac:dyDescent="0.25">
      <c r="A58" s="5" t="s">
        <v>44</v>
      </c>
      <c r="B58" s="6" t="s">
        <v>254</v>
      </c>
      <c r="C58" s="6">
        <v>203</v>
      </c>
      <c r="G58" t="s">
        <v>264</v>
      </c>
      <c r="H58" t="s">
        <v>265</v>
      </c>
    </row>
    <row r="59" spans="1:8" x14ac:dyDescent="0.25">
      <c r="A59" s="5" t="s">
        <v>255</v>
      </c>
      <c r="B59" s="6" t="s">
        <v>256</v>
      </c>
      <c r="C59" s="6">
        <v>200</v>
      </c>
      <c r="G59" t="s">
        <v>49</v>
      </c>
      <c r="H59" t="s">
        <v>266</v>
      </c>
    </row>
    <row r="60" spans="1:8" x14ac:dyDescent="0.25">
      <c r="A60" s="5" t="s">
        <v>45</v>
      </c>
      <c r="B60" s="6" t="s">
        <v>257</v>
      </c>
      <c r="C60" s="6">
        <v>208</v>
      </c>
      <c r="G60" t="s">
        <v>50</v>
      </c>
      <c r="H60" t="s">
        <v>267</v>
      </c>
    </row>
    <row r="61" spans="1:8" x14ac:dyDescent="0.25">
      <c r="A61" s="5" t="s">
        <v>46</v>
      </c>
      <c r="B61" s="6" t="s">
        <v>258</v>
      </c>
      <c r="C61" s="6">
        <v>262</v>
      </c>
      <c r="G61" t="s">
        <v>268</v>
      </c>
      <c r="H61" t="s">
        <v>269</v>
      </c>
    </row>
    <row r="62" spans="1:8" x14ac:dyDescent="0.25">
      <c r="A62" s="5" t="s">
        <v>259</v>
      </c>
      <c r="B62" s="6" t="s">
        <v>260</v>
      </c>
      <c r="C62" s="6">
        <v>212</v>
      </c>
      <c r="G62" t="s">
        <v>270</v>
      </c>
      <c r="H62" t="s">
        <v>271</v>
      </c>
    </row>
    <row r="63" spans="1:8" x14ac:dyDescent="0.25">
      <c r="A63" s="5" t="s">
        <v>48</v>
      </c>
      <c r="B63" s="6" t="s">
        <v>261</v>
      </c>
      <c r="C63" s="6">
        <v>214</v>
      </c>
      <c r="G63" t="s">
        <v>51</v>
      </c>
      <c r="H63" t="s">
        <v>272</v>
      </c>
    </row>
    <row r="64" spans="1:8" x14ac:dyDescent="0.25">
      <c r="A64" s="5" t="s">
        <v>262</v>
      </c>
      <c r="B64" s="6" t="s">
        <v>263</v>
      </c>
      <c r="C64" s="6">
        <v>626</v>
      </c>
      <c r="G64" t="s">
        <v>52</v>
      </c>
      <c r="H64" t="s">
        <v>503</v>
      </c>
    </row>
    <row r="65" spans="1:8" x14ac:dyDescent="0.25">
      <c r="A65" s="5" t="s">
        <v>264</v>
      </c>
      <c r="B65" s="6" t="s">
        <v>265</v>
      </c>
      <c r="C65" s="6">
        <v>218</v>
      </c>
      <c r="G65" t="s">
        <v>53</v>
      </c>
      <c r="H65" t="s">
        <v>273</v>
      </c>
    </row>
    <row r="66" spans="1:8" x14ac:dyDescent="0.25">
      <c r="A66" s="5" t="s">
        <v>49</v>
      </c>
      <c r="B66" s="6" t="s">
        <v>266</v>
      </c>
      <c r="C66" s="6">
        <v>818</v>
      </c>
      <c r="G66" t="s">
        <v>570</v>
      </c>
      <c r="H66" t="s">
        <v>279</v>
      </c>
    </row>
    <row r="67" spans="1:8" x14ac:dyDescent="0.25">
      <c r="A67" s="5" t="s">
        <v>50</v>
      </c>
      <c r="B67" s="6" t="s">
        <v>267</v>
      </c>
      <c r="C67" s="6">
        <v>222</v>
      </c>
      <c r="G67" t="s">
        <v>54</v>
      </c>
      <c r="H67" t="s">
        <v>282</v>
      </c>
    </row>
    <row r="68" spans="1:8" x14ac:dyDescent="0.25">
      <c r="A68" s="5" t="s">
        <v>268</v>
      </c>
      <c r="B68" s="6" t="s">
        <v>269</v>
      </c>
      <c r="C68" s="6">
        <v>226</v>
      </c>
      <c r="G68" t="s">
        <v>55</v>
      </c>
      <c r="H68" t="s">
        <v>283</v>
      </c>
    </row>
    <row r="69" spans="1:8" x14ac:dyDescent="0.25">
      <c r="A69" s="5" t="s">
        <v>270</v>
      </c>
      <c r="B69" s="6" t="s">
        <v>271</v>
      </c>
      <c r="C69" s="6">
        <v>232</v>
      </c>
      <c r="G69" t="s">
        <v>56</v>
      </c>
      <c r="H69" t="s">
        <v>298</v>
      </c>
    </row>
    <row r="70" spans="1:8" x14ac:dyDescent="0.25">
      <c r="A70" s="5" t="s">
        <v>51</v>
      </c>
      <c r="B70" s="6" t="s">
        <v>272</v>
      </c>
      <c r="C70" s="6">
        <v>233</v>
      </c>
      <c r="G70" t="s">
        <v>303</v>
      </c>
      <c r="H70" t="s">
        <v>304</v>
      </c>
    </row>
    <row r="71" spans="1:8" x14ac:dyDescent="0.25">
      <c r="A71" s="5" t="s">
        <v>53</v>
      </c>
      <c r="B71" s="6" t="s">
        <v>273</v>
      </c>
      <c r="C71" s="6">
        <v>231</v>
      </c>
      <c r="G71" t="s">
        <v>57</v>
      </c>
      <c r="H71" t="s">
        <v>305</v>
      </c>
    </row>
    <row r="72" spans="1:8" x14ac:dyDescent="0.25">
      <c r="A72" s="5" t="s">
        <v>274</v>
      </c>
      <c r="B72" s="6" t="s">
        <v>275</v>
      </c>
      <c r="C72" s="6">
        <v>230</v>
      </c>
      <c r="G72" t="s">
        <v>306</v>
      </c>
      <c r="H72" t="s">
        <v>307</v>
      </c>
    </row>
    <row r="73" spans="1:8" x14ac:dyDescent="0.25">
      <c r="A73" s="5" t="s">
        <v>276</v>
      </c>
      <c r="B73" s="6" t="s">
        <v>277</v>
      </c>
      <c r="C73" s="6">
        <v>918</v>
      </c>
      <c r="G73" t="s">
        <v>58</v>
      </c>
      <c r="H73" t="s">
        <v>310</v>
      </c>
    </row>
    <row r="74" spans="1:8" x14ac:dyDescent="0.25">
      <c r="A74" s="5" t="s">
        <v>278</v>
      </c>
      <c r="B74" s="6" t="s">
        <v>279</v>
      </c>
      <c r="C74" s="6">
        <v>234</v>
      </c>
      <c r="G74" t="s">
        <v>59</v>
      </c>
      <c r="H74" t="s">
        <v>313</v>
      </c>
    </row>
    <row r="75" spans="1:8" x14ac:dyDescent="0.25">
      <c r="A75" s="5" t="s">
        <v>280</v>
      </c>
      <c r="B75" s="6" t="s">
        <v>281</v>
      </c>
      <c r="C75" s="6">
        <v>238</v>
      </c>
      <c r="G75" t="s">
        <v>60</v>
      </c>
      <c r="H75" t="s">
        <v>314</v>
      </c>
    </row>
    <row r="76" spans="1:8" x14ac:dyDescent="0.25">
      <c r="A76" s="5" t="s">
        <v>54</v>
      </c>
      <c r="B76" s="6" t="s">
        <v>282</v>
      </c>
      <c r="C76" s="6">
        <v>242</v>
      </c>
      <c r="G76" t="s">
        <v>315</v>
      </c>
      <c r="H76" t="s">
        <v>316</v>
      </c>
    </row>
    <row r="77" spans="1:8" x14ac:dyDescent="0.25">
      <c r="A77" s="5" t="s">
        <v>55</v>
      </c>
      <c r="B77" s="6" t="s">
        <v>283</v>
      </c>
      <c r="C77" s="6">
        <v>246</v>
      </c>
      <c r="G77" t="s">
        <v>61</v>
      </c>
      <c r="H77" t="s">
        <v>317</v>
      </c>
    </row>
    <row r="78" spans="1:8" x14ac:dyDescent="0.25">
      <c r="A78" s="5" t="s">
        <v>284</v>
      </c>
      <c r="B78" s="6" t="s">
        <v>285</v>
      </c>
      <c r="C78" s="6">
        <v>592</v>
      </c>
      <c r="G78" t="s">
        <v>318</v>
      </c>
      <c r="H78" t="s">
        <v>319</v>
      </c>
    </row>
    <row r="79" spans="1:8" x14ac:dyDescent="0.25">
      <c r="A79" s="5" t="s">
        <v>286</v>
      </c>
      <c r="B79" s="6" t="s">
        <v>287</v>
      </c>
      <c r="C79" s="6">
        <v>717</v>
      </c>
      <c r="G79" t="s">
        <v>320</v>
      </c>
      <c r="H79" t="s">
        <v>321</v>
      </c>
    </row>
    <row r="80" spans="1:8" x14ac:dyDescent="0.25">
      <c r="A80" s="5" t="s">
        <v>288</v>
      </c>
      <c r="B80" s="6" t="s">
        <v>289</v>
      </c>
      <c r="C80" s="6">
        <v>835</v>
      </c>
      <c r="G80" t="s">
        <v>324</v>
      </c>
      <c r="H80" t="s">
        <v>325</v>
      </c>
    </row>
    <row r="81" spans="1:8" x14ac:dyDescent="0.25">
      <c r="A81" s="5" t="s">
        <v>290</v>
      </c>
      <c r="B81" s="6" t="s">
        <v>291</v>
      </c>
      <c r="C81" s="6">
        <v>868</v>
      </c>
      <c r="G81" t="s">
        <v>63</v>
      </c>
      <c r="H81" t="s">
        <v>326</v>
      </c>
    </row>
    <row r="82" spans="1:8" x14ac:dyDescent="0.25">
      <c r="A82" s="5" t="s">
        <v>292</v>
      </c>
      <c r="B82" s="6" t="s">
        <v>293</v>
      </c>
      <c r="C82" s="6">
        <v>866</v>
      </c>
      <c r="G82" t="s">
        <v>64</v>
      </c>
      <c r="H82" t="s">
        <v>327</v>
      </c>
    </row>
    <row r="83" spans="1:8" x14ac:dyDescent="0.25">
      <c r="A83" s="5" t="s">
        <v>294</v>
      </c>
      <c r="B83" s="6" t="s">
        <v>295</v>
      </c>
      <c r="C83" s="6">
        <v>836</v>
      </c>
      <c r="G83" t="s">
        <v>328</v>
      </c>
      <c r="H83" t="s">
        <v>329</v>
      </c>
    </row>
    <row r="84" spans="1:8" x14ac:dyDescent="0.25">
      <c r="A84" s="5" t="s">
        <v>296</v>
      </c>
      <c r="B84" s="6" t="s">
        <v>297</v>
      </c>
      <c r="C84" s="6">
        <v>260</v>
      </c>
      <c r="G84" t="s">
        <v>65</v>
      </c>
      <c r="H84" t="s">
        <v>330</v>
      </c>
    </row>
    <row r="85" spans="1:8" x14ac:dyDescent="0.25">
      <c r="A85" s="5" t="s">
        <v>56</v>
      </c>
      <c r="B85" s="6" t="s">
        <v>298</v>
      </c>
      <c r="C85" s="6">
        <v>250</v>
      </c>
      <c r="G85" t="s">
        <v>66</v>
      </c>
      <c r="H85" t="s">
        <v>331</v>
      </c>
    </row>
    <row r="86" spans="1:8" x14ac:dyDescent="0.25">
      <c r="A86" s="5" t="s">
        <v>299</v>
      </c>
      <c r="B86" s="6" t="s">
        <v>300</v>
      </c>
      <c r="C86" s="6">
        <v>838</v>
      </c>
      <c r="G86" t="s">
        <v>334</v>
      </c>
      <c r="H86" t="s">
        <v>335</v>
      </c>
    </row>
    <row r="87" spans="1:8" x14ac:dyDescent="0.25">
      <c r="A87" s="5" t="s">
        <v>301</v>
      </c>
      <c r="B87" s="6" t="s">
        <v>302</v>
      </c>
      <c r="C87" s="6">
        <v>254</v>
      </c>
      <c r="G87" t="s">
        <v>571</v>
      </c>
      <c r="H87" t="s">
        <v>68</v>
      </c>
    </row>
    <row r="88" spans="1:8" x14ac:dyDescent="0.25">
      <c r="A88" s="5" t="s">
        <v>303</v>
      </c>
      <c r="B88" s="6" t="s">
        <v>304</v>
      </c>
      <c r="C88" s="6">
        <v>258</v>
      </c>
      <c r="G88" t="s">
        <v>69</v>
      </c>
      <c r="H88" t="s">
        <v>337</v>
      </c>
    </row>
    <row r="89" spans="1:8" x14ac:dyDescent="0.25">
      <c r="A89" s="5" t="s">
        <v>57</v>
      </c>
      <c r="B89" s="6" t="s">
        <v>305</v>
      </c>
      <c r="C89" s="6">
        <v>266</v>
      </c>
      <c r="G89" t="s">
        <v>70</v>
      </c>
      <c r="H89" t="s">
        <v>338</v>
      </c>
    </row>
    <row r="90" spans="1:8" x14ac:dyDescent="0.25">
      <c r="A90" s="5" t="s">
        <v>306</v>
      </c>
      <c r="B90" s="6" t="s">
        <v>307</v>
      </c>
      <c r="C90" s="6">
        <v>270</v>
      </c>
      <c r="G90" t="s">
        <v>71</v>
      </c>
      <c r="H90" t="s">
        <v>339</v>
      </c>
    </row>
    <row r="91" spans="1:8" x14ac:dyDescent="0.25">
      <c r="A91" s="5" t="s">
        <v>308</v>
      </c>
      <c r="B91" s="6" t="s">
        <v>309</v>
      </c>
      <c r="C91" s="6">
        <v>274</v>
      </c>
      <c r="G91" t="s">
        <v>72</v>
      </c>
      <c r="H91" t="s">
        <v>340</v>
      </c>
    </row>
    <row r="92" spans="1:8" x14ac:dyDescent="0.25">
      <c r="A92" s="5" t="s">
        <v>58</v>
      </c>
      <c r="B92" s="6" t="s">
        <v>310</v>
      </c>
      <c r="C92" s="6">
        <v>268</v>
      </c>
      <c r="G92" t="s">
        <v>73</v>
      </c>
      <c r="H92" t="s">
        <v>341</v>
      </c>
    </row>
    <row r="93" spans="1:8" x14ac:dyDescent="0.25">
      <c r="A93" s="5" t="s">
        <v>311</v>
      </c>
      <c r="B93" s="6" t="s">
        <v>312</v>
      </c>
      <c r="C93" s="6">
        <v>278</v>
      </c>
      <c r="G93" t="s">
        <v>74</v>
      </c>
      <c r="H93" t="s">
        <v>342</v>
      </c>
    </row>
    <row r="94" spans="1:8" x14ac:dyDescent="0.25">
      <c r="A94" s="5" t="s">
        <v>59</v>
      </c>
      <c r="B94" s="6" t="s">
        <v>313</v>
      </c>
      <c r="C94" s="6">
        <v>276</v>
      </c>
      <c r="G94" t="s">
        <v>75</v>
      </c>
      <c r="H94" t="s">
        <v>343</v>
      </c>
    </row>
    <row r="95" spans="1:8" x14ac:dyDescent="0.25">
      <c r="A95" s="5" t="s">
        <v>60</v>
      </c>
      <c r="B95" s="6" t="s">
        <v>314</v>
      </c>
      <c r="C95" s="6">
        <v>288</v>
      </c>
      <c r="G95" t="s">
        <v>573</v>
      </c>
      <c r="H95" t="s">
        <v>572</v>
      </c>
    </row>
    <row r="96" spans="1:8" x14ac:dyDescent="0.25">
      <c r="A96" s="5" t="s">
        <v>315</v>
      </c>
      <c r="B96" s="6" t="s">
        <v>316</v>
      </c>
      <c r="C96" s="6">
        <v>292</v>
      </c>
      <c r="G96" t="s">
        <v>77</v>
      </c>
      <c r="H96" t="s">
        <v>344</v>
      </c>
    </row>
    <row r="97" spans="1:8" x14ac:dyDescent="0.25">
      <c r="A97" s="5" t="s">
        <v>61</v>
      </c>
      <c r="B97" s="6" t="s">
        <v>317</v>
      </c>
      <c r="C97" s="6">
        <v>300</v>
      </c>
      <c r="G97" t="s">
        <v>78</v>
      </c>
      <c r="H97" t="s">
        <v>345</v>
      </c>
    </row>
    <row r="98" spans="1:8" x14ac:dyDescent="0.25">
      <c r="A98" s="5" t="s">
        <v>318</v>
      </c>
      <c r="B98" s="6" t="s">
        <v>319</v>
      </c>
      <c r="C98" s="6">
        <v>304</v>
      </c>
      <c r="G98" t="s">
        <v>79</v>
      </c>
      <c r="H98" t="s">
        <v>346</v>
      </c>
    </row>
    <row r="99" spans="1:8" x14ac:dyDescent="0.25">
      <c r="A99" s="5" t="s">
        <v>320</v>
      </c>
      <c r="B99" s="6" t="s">
        <v>321</v>
      </c>
      <c r="C99" s="6">
        <v>308</v>
      </c>
      <c r="G99" t="s">
        <v>80</v>
      </c>
      <c r="H99" t="s">
        <v>347</v>
      </c>
    </row>
    <row r="100" spans="1:8" x14ac:dyDescent="0.25">
      <c r="A100" s="5" t="s">
        <v>322</v>
      </c>
      <c r="B100" s="6" t="s">
        <v>323</v>
      </c>
      <c r="C100" s="6">
        <v>312</v>
      </c>
      <c r="G100" t="s">
        <v>81</v>
      </c>
      <c r="H100" t="s">
        <v>350</v>
      </c>
    </row>
    <row r="101" spans="1:8" x14ac:dyDescent="0.25">
      <c r="A101" s="5" t="s">
        <v>324</v>
      </c>
      <c r="B101" s="6" t="s">
        <v>325</v>
      </c>
      <c r="C101" s="6">
        <v>316</v>
      </c>
      <c r="G101" t="s">
        <v>82</v>
      </c>
      <c r="H101" t="s">
        <v>351</v>
      </c>
    </row>
    <row r="102" spans="1:8" x14ac:dyDescent="0.25">
      <c r="A102" s="5" t="s">
        <v>63</v>
      </c>
      <c r="B102" s="6" t="s">
        <v>326</v>
      </c>
      <c r="C102" s="6">
        <v>320</v>
      </c>
      <c r="G102" t="s">
        <v>83</v>
      </c>
      <c r="H102" t="s">
        <v>352</v>
      </c>
    </row>
    <row r="103" spans="1:8" x14ac:dyDescent="0.25">
      <c r="A103" s="5" t="s">
        <v>64</v>
      </c>
      <c r="B103" s="6" t="s">
        <v>327</v>
      </c>
      <c r="C103" s="6">
        <v>324</v>
      </c>
      <c r="G103" t="s">
        <v>84</v>
      </c>
      <c r="H103" t="s">
        <v>353</v>
      </c>
    </row>
    <row r="104" spans="1:8" x14ac:dyDescent="0.25">
      <c r="A104" s="5" t="s">
        <v>328</v>
      </c>
      <c r="B104" s="6" t="s">
        <v>329</v>
      </c>
      <c r="C104" s="6">
        <v>624</v>
      </c>
      <c r="G104" t="s">
        <v>356</v>
      </c>
      <c r="H104" t="s">
        <v>357</v>
      </c>
    </row>
    <row r="105" spans="1:8" x14ac:dyDescent="0.25">
      <c r="A105" s="5" t="s">
        <v>65</v>
      </c>
      <c r="B105" s="6" t="s">
        <v>330</v>
      </c>
      <c r="C105" s="6">
        <v>328</v>
      </c>
      <c r="G105" t="s">
        <v>85</v>
      </c>
      <c r="H105" t="s">
        <v>589</v>
      </c>
    </row>
    <row r="106" spans="1:8" x14ac:dyDescent="0.25">
      <c r="A106" s="5" t="s">
        <v>66</v>
      </c>
      <c r="B106" s="6" t="s">
        <v>331</v>
      </c>
      <c r="C106" s="6">
        <v>332</v>
      </c>
      <c r="G106" t="s">
        <v>86</v>
      </c>
      <c r="H106" t="s">
        <v>358</v>
      </c>
    </row>
    <row r="107" spans="1:8" x14ac:dyDescent="0.25">
      <c r="A107" s="5" t="s">
        <v>332</v>
      </c>
      <c r="B107" s="6" t="s">
        <v>333</v>
      </c>
      <c r="C107" s="6">
        <v>336</v>
      </c>
      <c r="G107" t="s">
        <v>87</v>
      </c>
      <c r="H107" t="s">
        <v>359</v>
      </c>
    </row>
    <row r="108" spans="1:8" x14ac:dyDescent="0.25">
      <c r="A108" s="5" t="s">
        <v>334</v>
      </c>
      <c r="B108" s="6" t="s">
        <v>335</v>
      </c>
      <c r="C108" s="6">
        <v>340</v>
      </c>
      <c r="G108" t="s">
        <v>88</v>
      </c>
      <c r="H108" t="s">
        <v>360</v>
      </c>
    </row>
    <row r="109" spans="1:8" x14ac:dyDescent="0.25">
      <c r="A109" s="5" t="s">
        <v>336</v>
      </c>
      <c r="B109" s="6" t="s">
        <v>68</v>
      </c>
      <c r="C109" s="6">
        <v>344</v>
      </c>
      <c r="G109" t="s">
        <v>89</v>
      </c>
      <c r="H109" t="s">
        <v>361</v>
      </c>
    </row>
    <row r="110" spans="1:8" x14ac:dyDescent="0.25">
      <c r="A110" s="5" t="s">
        <v>69</v>
      </c>
      <c r="B110" s="6" t="s">
        <v>337</v>
      </c>
      <c r="C110" s="6">
        <v>348</v>
      </c>
      <c r="G110" t="s">
        <v>362</v>
      </c>
      <c r="H110" t="s">
        <v>363</v>
      </c>
    </row>
    <row r="111" spans="1:8" x14ac:dyDescent="0.25">
      <c r="A111" s="5" t="s">
        <v>70</v>
      </c>
      <c r="B111" s="6" t="s">
        <v>338</v>
      </c>
      <c r="C111" s="6">
        <v>352</v>
      </c>
      <c r="G111" t="s">
        <v>90</v>
      </c>
      <c r="H111" t="s">
        <v>364</v>
      </c>
    </row>
    <row r="112" spans="1:8" x14ac:dyDescent="0.25">
      <c r="A112" s="5" t="s">
        <v>71</v>
      </c>
      <c r="B112" s="6" t="s">
        <v>339</v>
      </c>
      <c r="C112" s="6">
        <v>356</v>
      </c>
      <c r="G112" t="s">
        <v>365</v>
      </c>
      <c r="H112" t="s">
        <v>366</v>
      </c>
    </row>
    <row r="113" spans="1:8" x14ac:dyDescent="0.25">
      <c r="A113" s="5" t="s">
        <v>72</v>
      </c>
      <c r="B113" s="6" t="s">
        <v>340</v>
      </c>
      <c r="C113" s="6">
        <v>360</v>
      </c>
      <c r="G113" t="s">
        <v>367</v>
      </c>
      <c r="H113" t="s">
        <v>368</v>
      </c>
    </row>
    <row r="114" spans="1:8" x14ac:dyDescent="0.25">
      <c r="A114" s="5" t="s">
        <v>73</v>
      </c>
      <c r="B114" s="6" t="s">
        <v>341</v>
      </c>
      <c r="C114" s="6">
        <v>364</v>
      </c>
      <c r="G114" t="s">
        <v>369</v>
      </c>
      <c r="H114" t="s">
        <v>370</v>
      </c>
    </row>
    <row r="115" spans="1:8" x14ac:dyDescent="0.25">
      <c r="A115" s="5" t="s">
        <v>74</v>
      </c>
      <c r="B115" s="6" t="s">
        <v>342</v>
      </c>
      <c r="C115" s="6">
        <v>368</v>
      </c>
      <c r="G115" t="s">
        <v>93</v>
      </c>
      <c r="H115" t="s">
        <v>371</v>
      </c>
    </row>
    <row r="116" spans="1:8" x14ac:dyDescent="0.25">
      <c r="A116" s="5" t="s">
        <v>75</v>
      </c>
      <c r="B116" s="6" t="s">
        <v>343</v>
      </c>
      <c r="C116" s="6">
        <v>372</v>
      </c>
      <c r="G116" t="s">
        <v>94</v>
      </c>
      <c r="H116" t="s">
        <v>372</v>
      </c>
    </row>
    <row r="117" spans="1:8" x14ac:dyDescent="0.25">
      <c r="A117" s="5" t="s">
        <v>77</v>
      </c>
      <c r="B117" s="6" t="s">
        <v>344</v>
      </c>
      <c r="C117" s="6">
        <v>376</v>
      </c>
      <c r="G117" t="s">
        <v>574</v>
      </c>
      <c r="H117" t="s">
        <v>374</v>
      </c>
    </row>
    <row r="118" spans="1:8" x14ac:dyDescent="0.25">
      <c r="A118" s="5" t="s">
        <v>78</v>
      </c>
      <c r="B118" s="6" t="s">
        <v>345</v>
      </c>
      <c r="C118" s="6">
        <v>380</v>
      </c>
      <c r="G118" t="s">
        <v>95</v>
      </c>
      <c r="H118" t="s">
        <v>377</v>
      </c>
    </row>
    <row r="119" spans="1:8" x14ac:dyDescent="0.25">
      <c r="A119" s="5" t="s">
        <v>79</v>
      </c>
      <c r="B119" s="6" t="s">
        <v>346</v>
      </c>
      <c r="C119" s="6">
        <v>388</v>
      </c>
      <c r="G119" t="s">
        <v>96</v>
      </c>
      <c r="H119" t="s">
        <v>378</v>
      </c>
    </row>
    <row r="120" spans="1:8" x14ac:dyDescent="0.25">
      <c r="A120" s="5" t="s">
        <v>80</v>
      </c>
      <c r="B120" s="6" t="s">
        <v>347</v>
      </c>
      <c r="C120" s="6">
        <v>392</v>
      </c>
      <c r="G120" t="s">
        <v>97</v>
      </c>
      <c r="H120" t="s">
        <v>379</v>
      </c>
    </row>
    <row r="121" spans="1:8" x14ac:dyDescent="0.25">
      <c r="A121" s="5" t="s">
        <v>348</v>
      </c>
      <c r="B121" s="6" t="s">
        <v>349</v>
      </c>
      <c r="C121" s="6">
        <v>396</v>
      </c>
      <c r="G121" t="s">
        <v>98</v>
      </c>
      <c r="H121" t="s">
        <v>380</v>
      </c>
    </row>
    <row r="122" spans="1:8" x14ac:dyDescent="0.25">
      <c r="A122" s="5" t="s">
        <v>81</v>
      </c>
      <c r="B122" s="6" t="s">
        <v>350</v>
      </c>
      <c r="C122" s="6">
        <v>400</v>
      </c>
      <c r="G122" t="s">
        <v>99</v>
      </c>
      <c r="H122" t="s">
        <v>381</v>
      </c>
    </row>
    <row r="123" spans="1:8" x14ac:dyDescent="0.25">
      <c r="A123" s="5" t="s">
        <v>82</v>
      </c>
      <c r="B123" s="6" t="s">
        <v>351</v>
      </c>
      <c r="C123" s="6">
        <v>398</v>
      </c>
      <c r="G123" t="s">
        <v>100</v>
      </c>
      <c r="H123" t="s">
        <v>382</v>
      </c>
    </row>
    <row r="124" spans="1:8" x14ac:dyDescent="0.25">
      <c r="A124" s="5" t="s">
        <v>83</v>
      </c>
      <c r="B124" s="6" t="s">
        <v>352</v>
      </c>
      <c r="C124" s="6">
        <v>404</v>
      </c>
      <c r="G124" t="s">
        <v>383</v>
      </c>
      <c r="H124" t="s">
        <v>384</v>
      </c>
    </row>
    <row r="125" spans="1:8" x14ac:dyDescent="0.25">
      <c r="A125" s="5" t="s">
        <v>84</v>
      </c>
      <c r="B125" s="6" t="s">
        <v>353</v>
      </c>
      <c r="C125" s="6">
        <v>296</v>
      </c>
      <c r="G125" t="s">
        <v>101</v>
      </c>
      <c r="H125" t="s">
        <v>387</v>
      </c>
    </row>
    <row r="126" spans="1:8" x14ac:dyDescent="0.25">
      <c r="A126" s="5" t="s">
        <v>354</v>
      </c>
      <c r="B126" s="6" t="s">
        <v>355</v>
      </c>
      <c r="C126" s="6">
        <v>408</v>
      </c>
      <c r="G126" t="s">
        <v>388</v>
      </c>
      <c r="H126" t="s">
        <v>389</v>
      </c>
    </row>
    <row r="127" spans="1:8" x14ac:dyDescent="0.25">
      <c r="A127" s="5" t="s">
        <v>356</v>
      </c>
      <c r="B127" s="6" t="s">
        <v>357</v>
      </c>
      <c r="C127" s="6">
        <v>410</v>
      </c>
      <c r="G127" t="s">
        <v>103</v>
      </c>
      <c r="H127" t="s">
        <v>390</v>
      </c>
    </row>
    <row r="128" spans="1:8" x14ac:dyDescent="0.25">
      <c r="A128" s="5" t="s">
        <v>86</v>
      </c>
      <c r="B128" s="6" t="s">
        <v>358</v>
      </c>
      <c r="C128" s="6">
        <v>414</v>
      </c>
      <c r="G128" t="s">
        <v>104</v>
      </c>
      <c r="H128" t="s">
        <v>391</v>
      </c>
    </row>
    <row r="129" spans="1:8" x14ac:dyDescent="0.25">
      <c r="A129" s="5" t="s">
        <v>87</v>
      </c>
      <c r="B129" s="6" t="s">
        <v>359</v>
      </c>
      <c r="C129" s="6">
        <v>417</v>
      </c>
      <c r="G129" t="s">
        <v>394</v>
      </c>
      <c r="H129" t="s">
        <v>395</v>
      </c>
    </row>
    <row r="130" spans="1:8" x14ac:dyDescent="0.25">
      <c r="A130" s="5" t="s">
        <v>88</v>
      </c>
      <c r="B130" s="6" t="s">
        <v>360</v>
      </c>
      <c r="C130" s="6">
        <v>418</v>
      </c>
      <c r="G130" t="s">
        <v>396</v>
      </c>
      <c r="H130" t="s">
        <v>397</v>
      </c>
    </row>
    <row r="131" spans="1:8" x14ac:dyDescent="0.25">
      <c r="A131" s="5" t="s">
        <v>89</v>
      </c>
      <c r="B131" s="6" t="s">
        <v>361</v>
      </c>
      <c r="C131" s="6">
        <v>428</v>
      </c>
      <c r="G131" t="s">
        <v>105</v>
      </c>
      <c r="H131" t="s">
        <v>398</v>
      </c>
    </row>
    <row r="132" spans="1:8" x14ac:dyDescent="0.25">
      <c r="A132" s="5" t="s">
        <v>362</v>
      </c>
      <c r="B132" s="6" t="s">
        <v>363</v>
      </c>
      <c r="C132" s="6">
        <v>422</v>
      </c>
      <c r="G132" t="s">
        <v>106</v>
      </c>
      <c r="H132" t="s">
        <v>577</v>
      </c>
    </row>
    <row r="133" spans="1:8" x14ac:dyDescent="0.25">
      <c r="A133" s="5" t="s">
        <v>90</v>
      </c>
      <c r="B133" s="6" t="s">
        <v>364</v>
      </c>
      <c r="C133" s="6">
        <v>426</v>
      </c>
      <c r="G133" t="s">
        <v>107</v>
      </c>
      <c r="H133" t="s">
        <v>401</v>
      </c>
    </row>
    <row r="134" spans="1:8" x14ac:dyDescent="0.25">
      <c r="A134" s="5" t="s">
        <v>365</v>
      </c>
      <c r="B134" s="6" t="s">
        <v>366</v>
      </c>
      <c r="C134" s="6">
        <v>430</v>
      </c>
      <c r="G134" t="s">
        <v>108</v>
      </c>
      <c r="H134" t="s">
        <v>402</v>
      </c>
    </row>
    <row r="135" spans="1:8" x14ac:dyDescent="0.25">
      <c r="A135" s="5" t="s">
        <v>367</v>
      </c>
      <c r="B135" s="6" t="s">
        <v>368</v>
      </c>
      <c r="C135" s="6">
        <v>434</v>
      </c>
      <c r="G135" t="s">
        <v>109</v>
      </c>
      <c r="H135" t="s">
        <v>403</v>
      </c>
    </row>
    <row r="136" spans="1:8" x14ac:dyDescent="0.25">
      <c r="A136" s="5" t="s">
        <v>369</v>
      </c>
      <c r="B136" s="6" t="s">
        <v>370</v>
      </c>
      <c r="C136" s="6">
        <v>438</v>
      </c>
      <c r="G136" t="s">
        <v>110</v>
      </c>
      <c r="H136" t="s">
        <v>404</v>
      </c>
    </row>
    <row r="137" spans="1:8" x14ac:dyDescent="0.25">
      <c r="A137" s="5" t="s">
        <v>93</v>
      </c>
      <c r="B137" s="6" t="s">
        <v>371</v>
      </c>
      <c r="C137" s="6">
        <v>440</v>
      </c>
      <c r="G137" t="s">
        <v>405</v>
      </c>
      <c r="H137" t="s">
        <v>406</v>
      </c>
    </row>
    <row r="138" spans="1:8" x14ac:dyDescent="0.25">
      <c r="A138" s="5" t="s">
        <v>94</v>
      </c>
      <c r="B138" s="6" t="s">
        <v>372</v>
      </c>
      <c r="C138" s="6">
        <v>442</v>
      </c>
      <c r="G138" t="s">
        <v>111</v>
      </c>
      <c r="H138" t="s">
        <v>407</v>
      </c>
    </row>
    <row r="139" spans="1:8" x14ac:dyDescent="0.25">
      <c r="A139" s="5" t="s">
        <v>373</v>
      </c>
      <c r="B139" s="6" t="s">
        <v>374</v>
      </c>
      <c r="C139" s="6">
        <v>446</v>
      </c>
      <c r="G139" t="s">
        <v>112</v>
      </c>
      <c r="H139" t="s">
        <v>408</v>
      </c>
    </row>
    <row r="140" spans="1:8" x14ac:dyDescent="0.25">
      <c r="A140" s="5" t="s">
        <v>375</v>
      </c>
      <c r="B140" s="6" t="s">
        <v>376</v>
      </c>
      <c r="C140" s="6">
        <v>807</v>
      </c>
      <c r="G140" t="s">
        <v>412</v>
      </c>
      <c r="H140" t="s">
        <v>413</v>
      </c>
    </row>
    <row r="141" spans="1:8" x14ac:dyDescent="0.25">
      <c r="A141" s="5" t="s">
        <v>95</v>
      </c>
      <c r="B141" s="6" t="s">
        <v>377</v>
      </c>
      <c r="C141" s="6">
        <v>450</v>
      </c>
      <c r="G141" t="s">
        <v>114</v>
      </c>
      <c r="H141" t="s">
        <v>414</v>
      </c>
    </row>
    <row r="142" spans="1:8" x14ac:dyDescent="0.25">
      <c r="A142" s="5" t="s">
        <v>96</v>
      </c>
      <c r="B142" s="6" t="s">
        <v>378</v>
      </c>
      <c r="C142" s="6">
        <v>454</v>
      </c>
      <c r="G142" t="s">
        <v>415</v>
      </c>
      <c r="H142" t="s">
        <v>416</v>
      </c>
    </row>
    <row r="143" spans="1:8" x14ac:dyDescent="0.25">
      <c r="A143" s="5" t="s">
        <v>97</v>
      </c>
      <c r="B143" s="6" t="s">
        <v>379</v>
      </c>
      <c r="C143" s="6">
        <v>458</v>
      </c>
      <c r="G143" t="s">
        <v>115</v>
      </c>
      <c r="H143" t="s">
        <v>417</v>
      </c>
    </row>
    <row r="144" spans="1:8" x14ac:dyDescent="0.25">
      <c r="A144" s="5" t="s">
        <v>98</v>
      </c>
      <c r="B144" s="6" t="s">
        <v>380</v>
      </c>
      <c r="C144" s="6">
        <v>462</v>
      </c>
      <c r="G144" t="s">
        <v>116</v>
      </c>
      <c r="H144" t="s">
        <v>418</v>
      </c>
    </row>
    <row r="145" spans="1:8" x14ac:dyDescent="0.25">
      <c r="A145" s="5" t="s">
        <v>99</v>
      </c>
      <c r="B145" s="6" t="s">
        <v>381</v>
      </c>
      <c r="C145" s="6">
        <v>466</v>
      </c>
      <c r="G145" t="s">
        <v>117</v>
      </c>
      <c r="H145" t="s">
        <v>376</v>
      </c>
    </row>
    <row r="146" spans="1:8" x14ac:dyDescent="0.25">
      <c r="A146" s="5" t="s">
        <v>100</v>
      </c>
      <c r="B146" s="6" t="s">
        <v>382</v>
      </c>
      <c r="C146" s="6">
        <v>470</v>
      </c>
      <c r="G146" t="s">
        <v>423</v>
      </c>
      <c r="H146" t="s">
        <v>424</v>
      </c>
    </row>
    <row r="147" spans="1:8" x14ac:dyDescent="0.25">
      <c r="A147" s="5" t="s">
        <v>383</v>
      </c>
      <c r="B147" s="6" t="s">
        <v>384</v>
      </c>
      <c r="C147" s="6">
        <v>584</v>
      </c>
      <c r="G147" t="s">
        <v>118</v>
      </c>
      <c r="H147" t="s">
        <v>425</v>
      </c>
    </row>
    <row r="148" spans="1:8" x14ac:dyDescent="0.25">
      <c r="A148" s="5" t="s">
        <v>385</v>
      </c>
      <c r="B148" s="6" t="s">
        <v>386</v>
      </c>
      <c r="C148" s="6">
        <v>474</v>
      </c>
      <c r="G148" t="s">
        <v>119</v>
      </c>
      <c r="H148" t="s">
        <v>426</v>
      </c>
    </row>
    <row r="149" spans="1:8" x14ac:dyDescent="0.25">
      <c r="A149" s="5" t="s">
        <v>101</v>
      </c>
      <c r="B149" s="6" t="s">
        <v>387</v>
      </c>
      <c r="C149" s="6">
        <v>478</v>
      </c>
      <c r="G149" t="s">
        <v>120</v>
      </c>
      <c r="H149" t="s">
        <v>429</v>
      </c>
    </row>
    <row r="150" spans="1:8" x14ac:dyDescent="0.25">
      <c r="A150" s="5" t="s">
        <v>388</v>
      </c>
      <c r="B150" s="6" t="s">
        <v>389</v>
      </c>
      <c r="C150" s="6">
        <v>480</v>
      </c>
      <c r="G150" t="s">
        <v>430</v>
      </c>
      <c r="H150" t="s">
        <v>431</v>
      </c>
    </row>
    <row r="151" spans="1:8" x14ac:dyDescent="0.25">
      <c r="A151" s="5" t="s">
        <v>103</v>
      </c>
      <c r="B151" s="6" t="s">
        <v>390</v>
      </c>
      <c r="C151" s="6">
        <v>484</v>
      </c>
      <c r="G151" t="s">
        <v>432</v>
      </c>
      <c r="H151" t="s">
        <v>433</v>
      </c>
    </row>
    <row r="152" spans="1:8" x14ac:dyDescent="0.25">
      <c r="A152" s="5" t="s">
        <v>104</v>
      </c>
      <c r="B152" s="6" t="s">
        <v>391</v>
      </c>
      <c r="C152" s="6">
        <v>583</v>
      </c>
      <c r="G152" t="s">
        <v>434</v>
      </c>
      <c r="H152" t="s">
        <v>435</v>
      </c>
    </row>
    <row r="153" spans="1:8" x14ac:dyDescent="0.25">
      <c r="A153" s="5" t="s">
        <v>392</v>
      </c>
      <c r="B153" s="6" t="s">
        <v>393</v>
      </c>
      <c r="C153" s="6">
        <v>488</v>
      </c>
      <c r="G153" t="s">
        <v>122</v>
      </c>
      <c r="H153" t="s">
        <v>436</v>
      </c>
    </row>
    <row r="154" spans="1:8" x14ac:dyDescent="0.25">
      <c r="A154" s="5" t="s">
        <v>394</v>
      </c>
      <c r="B154" s="6" t="s">
        <v>395</v>
      </c>
      <c r="C154" s="6">
        <v>498</v>
      </c>
      <c r="G154" t="s">
        <v>123</v>
      </c>
      <c r="H154" t="s">
        <v>439</v>
      </c>
    </row>
    <row r="155" spans="1:8" x14ac:dyDescent="0.25">
      <c r="A155" s="5" t="s">
        <v>396</v>
      </c>
      <c r="B155" s="6" t="s">
        <v>397</v>
      </c>
      <c r="C155" s="6">
        <v>492</v>
      </c>
      <c r="G155" t="s">
        <v>440</v>
      </c>
      <c r="H155" t="s">
        <v>441</v>
      </c>
    </row>
    <row r="156" spans="1:8" x14ac:dyDescent="0.25">
      <c r="A156" s="5" t="s">
        <v>105</v>
      </c>
      <c r="B156" s="6" t="s">
        <v>398</v>
      </c>
      <c r="C156" s="6">
        <v>496</v>
      </c>
      <c r="G156" t="s">
        <v>125</v>
      </c>
      <c r="H156" t="s">
        <v>444</v>
      </c>
    </row>
    <row r="157" spans="1:8" x14ac:dyDescent="0.25">
      <c r="A157" s="5" t="s">
        <v>399</v>
      </c>
      <c r="B157" s="6" t="s">
        <v>400</v>
      </c>
      <c r="C157" s="6">
        <v>500</v>
      </c>
      <c r="G157" t="s">
        <v>126</v>
      </c>
      <c r="H157" t="s">
        <v>445</v>
      </c>
    </row>
    <row r="158" spans="1:8" x14ac:dyDescent="0.25">
      <c r="A158" s="5" t="s">
        <v>107</v>
      </c>
      <c r="B158" s="6" t="s">
        <v>401</v>
      </c>
      <c r="C158" s="6">
        <v>504</v>
      </c>
      <c r="G158" t="s">
        <v>127</v>
      </c>
      <c r="H158" t="s">
        <v>446</v>
      </c>
    </row>
    <row r="159" spans="1:8" x14ac:dyDescent="0.25">
      <c r="A159" s="5" t="s">
        <v>108</v>
      </c>
      <c r="B159" s="6" t="s">
        <v>402</v>
      </c>
      <c r="C159" s="6">
        <v>508</v>
      </c>
      <c r="G159" t="s">
        <v>128</v>
      </c>
      <c r="H159" t="s">
        <v>447</v>
      </c>
    </row>
    <row r="160" spans="1:8" x14ac:dyDescent="0.25">
      <c r="A160" s="5" t="s">
        <v>109</v>
      </c>
      <c r="B160" s="6" t="s">
        <v>403</v>
      </c>
      <c r="C160" s="6">
        <v>104</v>
      </c>
      <c r="G160" t="s">
        <v>129</v>
      </c>
      <c r="H160" t="s">
        <v>580</v>
      </c>
    </row>
    <row r="161" spans="1:8" x14ac:dyDescent="0.25">
      <c r="A161" s="5" t="s">
        <v>110</v>
      </c>
      <c r="B161" s="6" t="s">
        <v>404</v>
      </c>
      <c r="C161" s="6">
        <v>516</v>
      </c>
      <c r="G161" t="s">
        <v>130</v>
      </c>
      <c r="H161" t="s">
        <v>451</v>
      </c>
    </row>
    <row r="162" spans="1:8" x14ac:dyDescent="0.25">
      <c r="A162" s="5" t="s">
        <v>405</v>
      </c>
      <c r="B162" s="6" t="s">
        <v>406</v>
      </c>
      <c r="C162" s="6">
        <v>520</v>
      </c>
      <c r="G162" t="s">
        <v>131</v>
      </c>
      <c r="H162" t="s">
        <v>452</v>
      </c>
    </row>
    <row r="163" spans="1:8" x14ac:dyDescent="0.25">
      <c r="A163" s="5" t="s">
        <v>111</v>
      </c>
      <c r="B163" s="6" t="s">
        <v>407</v>
      </c>
      <c r="C163" s="6">
        <v>524</v>
      </c>
      <c r="G163" t="s">
        <v>132</v>
      </c>
      <c r="H163" t="s">
        <v>463</v>
      </c>
    </row>
    <row r="164" spans="1:8" x14ac:dyDescent="0.25">
      <c r="A164" s="5" t="s">
        <v>112</v>
      </c>
      <c r="B164" s="6" t="s">
        <v>408</v>
      </c>
      <c r="C164" s="6">
        <v>528</v>
      </c>
      <c r="G164" t="s">
        <v>464</v>
      </c>
      <c r="H164" t="s">
        <v>465</v>
      </c>
    </row>
    <row r="165" spans="1:8" x14ac:dyDescent="0.25">
      <c r="A165" s="5" t="s">
        <v>113</v>
      </c>
      <c r="B165" s="6" t="s">
        <v>409</v>
      </c>
      <c r="C165" s="6">
        <v>530</v>
      </c>
      <c r="G165" t="s">
        <v>133</v>
      </c>
      <c r="H165" t="s">
        <v>467</v>
      </c>
    </row>
    <row r="166" spans="1:8" x14ac:dyDescent="0.25">
      <c r="A166" s="5" t="s">
        <v>410</v>
      </c>
      <c r="B166" s="6" t="s">
        <v>411</v>
      </c>
      <c r="C166" s="6">
        <v>536</v>
      </c>
      <c r="G166" t="s">
        <v>134</v>
      </c>
      <c r="H166" t="s">
        <v>470</v>
      </c>
    </row>
    <row r="167" spans="1:8" x14ac:dyDescent="0.25">
      <c r="A167" s="5" t="s">
        <v>412</v>
      </c>
      <c r="B167" s="6" t="s">
        <v>413</v>
      </c>
      <c r="C167" s="6">
        <v>540</v>
      </c>
      <c r="G167" t="s">
        <v>135</v>
      </c>
      <c r="H167" t="s">
        <v>471</v>
      </c>
    </row>
    <row r="168" spans="1:8" x14ac:dyDescent="0.25">
      <c r="A168" s="5" t="s">
        <v>114</v>
      </c>
      <c r="B168" s="6" t="s">
        <v>414</v>
      </c>
      <c r="C168" s="6">
        <v>554</v>
      </c>
      <c r="G168" t="s">
        <v>136</v>
      </c>
      <c r="H168" t="s">
        <v>581</v>
      </c>
    </row>
    <row r="169" spans="1:8" x14ac:dyDescent="0.25">
      <c r="A169" s="5" t="s">
        <v>415</v>
      </c>
      <c r="B169" s="6" t="s">
        <v>416</v>
      </c>
      <c r="C169" s="6">
        <v>558</v>
      </c>
      <c r="G169" t="s">
        <v>472</v>
      </c>
      <c r="H169" t="s">
        <v>473</v>
      </c>
    </row>
    <row r="170" spans="1:8" x14ac:dyDescent="0.25">
      <c r="A170" s="5" t="s">
        <v>115</v>
      </c>
      <c r="B170" s="6" t="s">
        <v>417</v>
      </c>
      <c r="C170" s="6">
        <v>562</v>
      </c>
      <c r="G170" t="s">
        <v>138</v>
      </c>
      <c r="H170" t="s">
        <v>474</v>
      </c>
    </row>
    <row r="171" spans="1:8" x14ac:dyDescent="0.25">
      <c r="A171" s="5" t="s">
        <v>116</v>
      </c>
      <c r="B171" s="6" t="s">
        <v>418</v>
      </c>
      <c r="C171" s="6">
        <v>566</v>
      </c>
      <c r="G171" t="s">
        <v>477</v>
      </c>
      <c r="H171" t="s">
        <v>478</v>
      </c>
    </row>
    <row r="172" spans="1:8" x14ac:dyDescent="0.25">
      <c r="A172" s="5" t="s">
        <v>419</v>
      </c>
      <c r="B172" s="6" t="s">
        <v>420</v>
      </c>
      <c r="C172" s="6">
        <v>570</v>
      </c>
      <c r="G172" t="s">
        <v>584</v>
      </c>
      <c r="H172" t="s">
        <v>583</v>
      </c>
    </row>
    <row r="173" spans="1:8" x14ac:dyDescent="0.25">
      <c r="A173" s="5" t="s">
        <v>421</v>
      </c>
      <c r="B173" s="6" t="s">
        <v>422</v>
      </c>
      <c r="C173" s="6">
        <v>574</v>
      </c>
      <c r="G173" t="s">
        <v>140</v>
      </c>
      <c r="H173" t="s">
        <v>479</v>
      </c>
    </row>
    <row r="174" spans="1:8" x14ac:dyDescent="0.25">
      <c r="A174" s="5" t="s">
        <v>423</v>
      </c>
      <c r="B174" s="6" t="s">
        <v>424</v>
      </c>
      <c r="C174" s="6">
        <v>580</v>
      </c>
      <c r="G174" t="s">
        <v>141</v>
      </c>
      <c r="H174" t="s">
        <v>480</v>
      </c>
    </row>
    <row r="175" spans="1:8" x14ac:dyDescent="0.25">
      <c r="A175" s="5" t="s">
        <v>118</v>
      </c>
      <c r="B175" s="6" t="s">
        <v>425</v>
      </c>
      <c r="C175" s="6">
        <v>578</v>
      </c>
      <c r="G175" t="s">
        <v>481</v>
      </c>
      <c r="H175" t="s">
        <v>482</v>
      </c>
    </row>
    <row r="176" spans="1:8" x14ac:dyDescent="0.25">
      <c r="A176" s="5" t="s">
        <v>119</v>
      </c>
      <c r="B176" s="6" t="s">
        <v>426</v>
      </c>
      <c r="C176" s="6">
        <v>512</v>
      </c>
      <c r="G176" t="s">
        <v>483</v>
      </c>
      <c r="H176" t="s">
        <v>484</v>
      </c>
    </row>
    <row r="177" spans="1:8" x14ac:dyDescent="0.25">
      <c r="A177" s="5" t="s">
        <v>427</v>
      </c>
      <c r="B177" s="6" t="s">
        <v>428</v>
      </c>
      <c r="C177" s="6">
        <v>582</v>
      </c>
      <c r="G177" t="s">
        <v>142</v>
      </c>
      <c r="H177" t="s">
        <v>485</v>
      </c>
    </row>
    <row r="178" spans="1:8" x14ac:dyDescent="0.25">
      <c r="A178" s="5" t="s">
        <v>120</v>
      </c>
      <c r="B178" s="6" t="s">
        <v>429</v>
      </c>
      <c r="C178" s="6">
        <v>586</v>
      </c>
      <c r="G178" t="s">
        <v>143</v>
      </c>
      <c r="H178" t="s">
        <v>582</v>
      </c>
    </row>
    <row r="179" spans="1:8" x14ac:dyDescent="0.25">
      <c r="A179" s="5" t="s">
        <v>430</v>
      </c>
      <c r="B179" s="6" t="s">
        <v>431</v>
      </c>
      <c r="C179" s="6">
        <v>585</v>
      </c>
      <c r="G179" t="s">
        <v>144</v>
      </c>
      <c r="H179" t="s">
        <v>488</v>
      </c>
    </row>
    <row r="180" spans="1:8" x14ac:dyDescent="0.25">
      <c r="A180" s="5" t="s">
        <v>432</v>
      </c>
      <c r="B180" s="6" t="s">
        <v>433</v>
      </c>
      <c r="C180" s="6">
        <v>591</v>
      </c>
      <c r="G180" t="s">
        <v>145</v>
      </c>
      <c r="H180" t="s">
        <v>491</v>
      </c>
    </row>
    <row r="181" spans="1:8" x14ac:dyDescent="0.25">
      <c r="A181" s="5" t="s">
        <v>434</v>
      </c>
      <c r="B181" s="6" t="s">
        <v>435</v>
      </c>
      <c r="C181" s="6">
        <v>598</v>
      </c>
      <c r="G181" t="s">
        <v>492</v>
      </c>
      <c r="H181" t="s">
        <v>493</v>
      </c>
    </row>
    <row r="182" spans="1:8" x14ac:dyDescent="0.25">
      <c r="A182" s="5" t="s">
        <v>122</v>
      </c>
      <c r="B182" s="6" t="s">
        <v>436</v>
      </c>
      <c r="C182" s="6">
        <v>600</v>
      </c>
      <c r="G182" t="s">
        <v>494</v>
      </c>
      <c r="H182" t="s">
        <v>495</v>
      </c>
    </row>
    <row r="183" spans="1:8" x14ac:dyDescent="0.25">
      <c r="A183" s="5" t="s">
        <v>437</v>
      </c>
      <c r="B183" s="6" t="s">
        <v>438</v>
      </c>
      <c r="C183" s="6">
        <v>459</v>
      </c>
      <c r="G183" t="s">
        <v>576</v>
      </c>
      <c r="H183" t="s">
        <v>575</v>
      </c>
    </row>
    <row r="184" spans="1:8" x14ac:dyDescent="0.25">
      <c r="A184" s="5" t="s">
        <v>123</v>
      </c>
      <c r="B184" s="6" t="s">
        <v>439</v>
      </c>
      <c r="C184" s="6">
        <v>604</v>
      </c>
      <c r="G184" t="s">
        <v>496</v>
      </c>
      <c r="H184" t="s">
        <v>497</v>
      </c>
    </row>
    <row r="185" spans="1:8" x14ac:dyDescent="0.25">
      <c r="A185" s="5" t="s">
        <v>440</v>
      </c>
      <c r="B185" s="6" t="s">
        <v>441</v>
      </c>
      <c r="C185" s="6">
        <v>608</v>
      </c>
      <c r="G185" t="s">
        <v>498</v>
      </c>
      <c r="H185" t="s">
        <v>499</v>
      </c>
    </row>
    <row r="186" spans="1:8" x14ac:dyDescent="0.25">
      <c r="A186" s="5" t="s">
        <v>442</v>
      </c>
      <c r="B186" s="6" t="s">
        <v>443</v>
      </c>
      <c r="C186" s="6">
        <v>612</v>
      </c>
      <c r="G186" t="s">
        <v>148</v>
      </c>
      <c r="H186" t="s">
        <v>500</v>
      </c>
    </row>
    <row r="187" spans="1:8" x14ac:dyDescent="0.25">
      <c r="A187" s="5" t="s">
        <v>125</v>
      </c>
      <c r="B187" s="6" t="s">
        <v>444</v>
      </c>
      <c r="C187" s="6">
        <v>616</v>
      </c>
      <c r="G187" t="s">
        <v>149</v>
      </c>
      <c r="H187" t="s">
        <v>504</v>
      </c>
    </row>
    <row r="188" spans="1:8" x14ac:dyDescent="0.25">
      <c r="A188" s="5" t="s">
        <v>126</v>
      </c>
      <c r="B188" s="6" t="s">
        <v>445</v>
      </c>
      <c r="C188" s="6">
        <v>620</v>
      </c>
      <c r="G188" t="s">
        <v>150</v>
      </c>
      <c r="H188" t="s">
        <v>505</v>
      </c>
    </row>
    <row r="189" spans="1:8" x14ac:dyDescent="0.25">
      <c r="A189" s="5" t="s">
        <v>127</v>
      </c>
      <c r="B189" s="6" t="s">
        <v>446</v>
      </c>
      <c r="C189" s="6">
        <v>630</v>
      </c>
      <c r="G189" t="s">
        <v>506</v>
      </c>
      <c r="H189" t="s">
        <v>507</v>
      </c>
    </row>
    <row r="190" spans="1:8" x14ac:dyDescent="0.25">
      <c r="A190" s="5" t="s">
        <v>128</v>
      </c>
      <c r="B190" s="6" t="s">
        <v>447</v>
      </c>
      <c r="C190" s="6">
        <v>634</v>
      </c>
      <c r="G190" t="s">
        <v>151</v>
      </c>
      <c r="H190" t="s">
        <v>509</v>
      </c>
    </row>
    <row r="191" spans="1:8" x14ac:dyDescent="0.25">
      <c r="A191" s="5" t="s">
        <v>448</v>
      </c>
      <c r="B191" s="6" t="s">
        <v>449</v>
      </c>
      <c r="C191" s="6">
        <v>638</v>
      </c>
      <c r="G191" t="s">
        <v>152</v>
      </c>
      <c r="H191" t="s">
        <v>510</v>
      </c>
    </row>
    <row r="192" spans="1:8" x14ac:dyDescent="0.25">
      <c r="A192" s="5" t="s">
        <v>129</v>
      </c>
      <c r="B192" s="6" t="s">
        <v>450</v>
      </c>
      <c r="C192" s="6">
        <v>642</v>
      </c>
      <c r="G192" t="s">
        <v>153</v>
      </c>
      <c r="H192" t="s">
        <v>511</v>
      </c>
    </row>
    <row r="193" spans="1:8" x14ac:dyDescent="0.25">
      <c r="A193" s="5" t="s">
        <v>130</v>
      </c>
      <c r="B193" s="6" t="s">
        <v>451</v>
      </c>
      <c r="C193" s="6">
        <v>643</v>
      </c>
      <c r="G193" t="s">
        <v>154</v>
      </c>
      <c r="H193" t="s">
        <v>512</v>
      </c>
    </row>
    <row r="194" spans="1:8" x14ac:dyDescent="0.25">
      <c r="A194" s="5" t="s">
        <v>131</v>
      </c>
      <c r="B194" s="6" t="s">
        <v>452</v>
      </c>
      <c r="C194" s="6">
        <v>646</v>
      </c>
      <c r="G194" t="s">
        <v>155</v>
      </c>
      <c r="H194" t="s">
        <v>586</v>
      </c>
    </row>
    <row r="195" spans="1:8" x14ac:dyDescent="0.25">
      <c r="A195" s="5" t="s">
        <v>453</v>
      </c>
      <c r="B195" s="6" t="s">
        <v>454</v>
      </c>
      <c r="C195" s="6">
        <v>647</v>
      </c>
      <c r="G195" t="s">
        <v>156</v>
      </c>
      <c r="H195" t="s">
        <v>513</v>
      </c>
    </row>
    <row r="196" spans="1:8" x14ac:dyDescent="0.25">
      <c r="A196" s="5" t="s">
        <v>455</v>
      </c>
      <c r="B196" s="6" t="s">
        <v>456</v>
      </c>
      <c r="C196" s="6">
        <v>461</v>
      </c>
      <c r="G196" t="s">
        <v>157</v>
      </c>
      <c r="H196" t="s">
        <v>516</v>
      </c>
    </row>
    <row r="197" spans="1:8" x14ac:dyDescent="0.25">
      <c r="A197" s="5" t="s">
        <v>457</v>
      </c>
      <c r="B197" s="6" t="s">
        <v>458</v>
      </c>
      <c r="C197" s="6">
        <v>654</v>
      </c>
      <c r="G197" t="s">
        <v>158</v>
      </c>
      <c r="H197" t="s">
        <v>517</v>
      </c>
    </row>
    <row r="198" spans="1:8" x14ac:dyDescent="0.25">
      <c r="A198" s="5" t="s">
        <v>459</v>
      </c>
      <c r="B198" s="6" t="s">
        <v>460</v>
      </c>
      <c r="C198" s="6">
        <v>658</v>
      </c>
      <c r="G198" t="s">
        <v>159</v>
      </c>
      <c r="H198" t="s">
        <v>518</v>
      </c>
    </row>
    <row r="199" spans="1:8" x14ac:dyDescent="0.25">
      <c r="A199" s="5" t="s">
        <v>461</v>
      </c>
      <c r="B199" s="6" t="s">
        <v>462</v>
      </c>
      <c r="C199" s="6">
        <v>666</v>
      </c>
      <c r="G199" t="s">
        <v>587</v>
      </c>
      <c r="H199" t="s">
        <v>519</v>
      </c>
    </row>
    <row r="200" spans="1:8" x14ac:dyDescent="0.25">
      <c r="A200" s="5" t="s">
        <v>132</v>
      </c>
      <c r="B200" s="6" t="s">
        <v>463</v>
      </c>
      <c r="C200" s="6">
        <v>882</v>
      </c>
      <c r="G200" t="s">
        <v>520</v>
      </c>
      <c r="H200" t="s">
        <v>521</v>
      </c>
    </row>
    <row r="201" spans="1:8" x14ac:dyDescent="0.25">
      <c r="A201" s="5" t="s">
        <v>464</v>
      </c>
      <c r="B201" s="6" t="s">
        <v>465</v>
      </c>
      <c r="C201" s="6">
        <v>674</v>
      </c>
      <c r="G201" t="s">
        <v>585</v>
      </c>
      <c r="H201" t="s">
        <v>523</v>
      </c>
    </row>
    <row r="202" spans="1:8" x14ac:dyDescent="0.25">
      <c r="A202" s="5" t="s">
        <v>466</v>
      </c>
      <c r="B202" s="6" t="s">
        <v>467</v>
      </c>
      <c r="C202" s="6">
        <v>678</v>
      </c>
      <c r="G202" t="s">
        <v>524</v>
      </c>
      <c r="H202" t="s">
        <v>525</v>
      </c>
    </row>
    <row r="203" spans="1:8" x14ac:dyDescent="0.25">
      <c r="A203" s="5" t="s">
        <v>468</v>
      </c>
      <c r="B203" s="6" t="s">
        <v>469</v>
      </c>
      <c r="C203" s="6">
        <v>457</v>
      </c>
      <c r="G203" t="s">
        <v>161</v>
      </c>
      <c r="H203" t="s">
        <v>526</v>
      </c>
    </row>
    <row r="204" spans="1:8" x14ac:dyDescent="0.25">
      <c r="A204" s="5" t="s">
        <v>134</v>
      </c>
      <c r="B204" s="6" t="s">
        <v>470</v>
      </c>
      <c r="C204" s="6">
        <v>682</v>
      </c>
      <c r="G204" t="s">
        <v>162</v>
      </c>
      <c r="H204" t="s">
        <v>527</v>
      </c>
    </row>
    <row r="205" spans="1:8" x14ac:dyDescent="0.25">
      <c r="A205" s="5" t="s">
        <v>135</v>
      </c>
      <c r="B205" s="6" t="s">
        <v>471</v>
      </c>
      <c r="C205" s="6">
        <v>686</v>
      </c>
      <c r="G205" t="s">
        <v>163</v>
      </c>
      <c r="H205" t="s">
        <v>528</v>
      </c>
    </row>
    <row r="206" spans="1:8" x14ac:dyDescent="0.25">
      <c r="A206" s="5" t="s">
        <v>472</v>
      </c>
      <c r="B206" s="6" t="s">
        <v>473</v>
      </c>
      <c r="C206" s="6">
        <v>690</v>
      </c>
      <c r="G206" t="s">
        <v>164</v>
      </c>
      <c r="H206" t="s">
        <v>529</v>
      </c>
    </row>
    <row r="207" spans="1:8" x14ac:dyDescent="0.25">
      <c r="A207" s="5" t="s">
        <v>138</v>
      </c>
      <c r="B207" s="6" t="s">
        <v>474</v>
      </c>
      <c r="C207" s="6">
        <v>694</v>
      </c>
      <c r="G207" t="s">
        <v>530</v>
      </c>
      <c r="H207" t="s">
        <v>531</v>
      </c>
    </row>
    <row r="208" spans="1:8" x14ac:dyDescent="0.25">
      <c r="A208" s="5" t="s">
        <v>475</v>
      </c>
      <c r="B208" s="6" t="s">
        <v>476</v>
      </c>
      <c r="C208" s="6">
        <v>698</v>
      </c>
      <c r="G208" t="s">
        <v>165</v>
      </c>
      <c r="H208" t="s">
        <v>534</v>
      </c>
    </row>
    <row r="209" spans="1:8" x14ac:dyDescent="0.25">
      <c r="A209" s="5" t="s">
        <v>477</v>
      </c>
      <c r="B209" s="6" t="s">
        <v>478</v>
      </c>
      <c r="C209" s="6">
        <v>702</v>
      </c>
      <c r="G209" t="s">
        <v>166</v>
      </c>
      <c r="H209" t="s">
        <v>537</v>
      </c>
    </row>
    <row r="210" spans="1:8" x14ac:dyDescent="0.25">
      <c r="A210" s="5" t="s">
        <v>140</v>
      </c>
      <c r="B210" s="6" t="s">
        <v>479</v>
      </c>
      <c r="C210" s="6">
        <v>703</v>
      </c>
      <c r="G210" t="s">
        <v>538</v>
      </c>
      <c r="H210" t="s">
        <v>539</v>
      </c>
    </row>
    <row r="211" spans="1:8" x14ac:dyDescent="0.25">
      <c r="A211" s="5" t="s">
        <v>141</v>
      </c>
      <c r="B211" s="6" t="s">
        <v>480</v>
      </c>
      <c r="C211" s="6">
        <v>705</v>
      </c>
      <c r="G211" t="s">
        <v>588</v>
      </c>
      <c r="H211" t="s">
        <v>541</v>
      </c>
    </row>
    <row r="212" spans="1:8" x14ac:dyDescent="0.25">
      <c r="A212" s="5" t="s">
        <v>481</v>
      </c>
      <c r="B212" s="6" t="s">
        <v>482</v>
      </c>
      <c r="C212" s="6">
        <v>90</v>
      </c>
      <c r="G212" t="s">
        <v>168</v>
      </c>
      <c r="H212" t="s">
        <v>542</v>
      </c>
    </row>
    <row r="213" spans="1:8" x14ac:dyDescent="0.25">
      <c r="A213" s="5" t="s">
        <v>483</v>
      </c>
      <c r="B213" s="6" t="s">
        <v>484</v>
      </c>
      <c r="C213" s="6">
        <v>706</v>
      </c>
      <c r="G213" t="s">
        <v>543</v>
      </c>
      <c r="H213" t="s">
        <v>544</v>
      </c>
    </row>
    <row r="214" spans="1:8" x14ac:dyDescent="0.25">
      <c r="A214" s="5" t="s">
        <v>142</v>
      </c>
      <c r="B214" s="6" t="s">
        <v>485</v>
      </c>
      <c r="C214" s="6">
        <v>710</v>
      </c>
      <c r="G214" t="s">
        <v>579</v>
      </c>
      <c r="H214" t="s">
        <v>578</v>
      </c>
    </row>
    <row r="215" spans="1:8" x14ac:dyDescent="0.25">
      <c r="A215" s="5" t="s">
        <v>486</v>
      </c>
      <c r="B215" s="6" t="s">
        <v>487</v>
      </c>
      <c r="C215" s="6">
        <v>810</v>
      </c>
      <c r="G215" t="s">
        <v>555</v>
      </c>
      <c r="H215" t="s">
        <v>556</v>
      </c>
    </row>
    <row r="216" spans="1:8" x14ac:dyDescent="0.25">
      <c r="A216" s="5" t="s">
        <v>144</v>
      </c>
      <c r="B216" s="6" t="s">
        <v>488</v>
      </c>
      <c r="C216" s="6">
        <v>724</v>
      </c>
      <c r="G216" t="s">
        <v>169</v>
      </c>
      <c r="H216" t="s">
        <v>561</v>
      </c>
    </row>
    <row r="217" spans="1:8" x14ac:dyDescent="0.25">
      <c r="A217" s="5" t="s">
        <v>489</v>
      </c>
      <c r="B217" s="6" t="s">
        <v>490</v>
      </c>
      <c r="C217" s="6">
        <v>839</v>
      </c>
      <c r="G217" t="s">
        <v>170</v>
      </c>
      <c r="H217" t="s">
        <v>562</v>
      </c>
    </row>
    <row r="218" spans="1:8" x14ac:dyDescent="0.25">
      <c r="A218" s="5" t="s">
        <v>145</v>
      </c>
      <c r="B218" s="6" t="s">
        <v>491</v>
      </c>
      <c r="C218" s="6">
        <v>144</v>
      </c>
    </row>
    <row r="219" spans="1:8" x14ac:dyDescent="0.25">
      <c r="A219" s="5" t="s">
        <v>492</v>
      </c>
      <c r="B219" s="6" t="s">
        <v>493</v>
      </c>
      <c r="C219" s="6">
        <v>659</v>
      </c>
    </row>
    <row r="220" spans="1:8" x14ac:dyDescent="0.25">
      <c r="A220" s="5" t="s">
        <v>494</v>
      </c>
      <c r="B220" s="6" t="s">
        <v>495</v>
      </c>
      <c r="C220" s="6">
        <v>662</v>
      </c>
    </row>
    <row r="221" spans="1:8" x14ac:dyDescent="0.25">
      <c r="A221" s="5" t="s">
        <v>496</v>
      </c>
      <c r="B221" s="6" t="s">
        <v>497</v>
      </c>
      <c r="C221" s="6">
        <v>670</v>
      </c>
    </row>
    <row r="222" spans="1:8" x14ac:dyDescent="0.25">
      <c r="A222" s="5" t="s">
        <v>498</v>
      </c>
      <c r="B222" s="6" t="s">
        <v>499</v>
      </c>
      <c r="C222" s="6">
        <v>736</v>
      </c>
    </row>
    <row r="223" spans="1:8" x14ac:dyDescent="0.25">
      <c r="A223" s="5" t="s">
        <v>148</v>
      </c>
      <c r="B223" s="6" t="s">
        <v>500</v>
      </c>
      <c r="C223" s="6">
        <v>740</v>
      </c>
    </row>
    <row r="224" spans="1:8" x14ac:dyDescent="0.25">
      <c r="A224" s="5" t="s">
        <v>501</v>
      </c>
      <c r="B224" s="6" t="s">
        <v>502</v>
      </c>
      <c r="C224" s="6">
        <v>744</v>
      </c>
    </row>
    <row r="225" spans="1:3" x14ac:dyDescent="0.25">
      <c r="A225" s="4" t="s">
        <v>52</v>
      </c>
      <c r="B225" s="6" t="s">
        <v>503</v>
      </c>
      <c r="C225" s="6">
        <v>748</v>
      </c>
    </row>
    <row r="226" spans="1:3" x14ac:dyDescent="0.25">
      <c r="A226" s="5" t="s">
        <v>149</v>
      </c>
      <c r="B226" s="6" t="s">
        <v>504</v>
      </c>
      <c r="C226" s="6">
        <v>752</v>
      </c>
    </row>
    <row r="227" spans="1:3" x14ac:dyDescent="0.25">
      <c r="A227" s="5" t="s">
        <v>150</v>
      </c>
      <c r="B227" s="6" t="s">
        <v>505</v>
      </c>
      <c r="C227" s="6">
        <v>756</v>
      </c>
    </row>
    <row r="228" spans="1:3" x14ac:dyDescent="0.25">
      <c r="A228" s="5" t="s">
        <v>506</v>
      </c>
      <c r="B228" s="6" t="s">
        <v>507</v>
      </c>
      <c r="C228" s="6">
        <v>760</v>
      </c>
    </row>
    <row r="229" spans="1:3" x14ac:dyDescent="0.25">
      <c r="A229" s="5" t="s">
        <v>508</v>
      </c>
      <c r="B229" s="6" t="s">
        <v>509</v>
      </c>
      <c r="C229" s="6">
        <v>158</v>
      </c>
    </row>
    <row r="230" spans="1:3" x14ac:dyDescent="0.25">
      <c r="A230" s="5" t="s">
        <v>152</v>
      </c>
      <c r="B230" s="6" t="s">
        <v>510</v>
      </c>
      <c r="C230" s="6">
        <v>762</v>
      </c>
    </row>
    <row r="231" spans="1:3" x14ac:dyDescent="0.25">
      <c r="A231" s="5" t="s">
        <v>153</v>
      </c>
      <c r="B231" s="6" t="s">
        <v>511</v>
      </c>
      <c r="C231" s="6">
        <v>834</v>
      </c>
    </row>
    <row r="232" spans="1:3" x14ac:dyDescent="0.25">
      <c r="A232" s="5" t="s">
        <v>154</v>
      </c>
      <c r="B232" s="6" t="s">
        <v>512</v>
      </c>
      <c r="C232" s="6">
        <v>764</v>
      </c>
    </row>
    <row r="233" spans="1:3" x14ac:dyDescent="0.25">
      <c r="A233" s="5" t="s">
        <v>156</v>
      </c>
      <c r="B233" s="6" t="s">
        <v>513</v>
      </c>
      <c r="C233" s="6">
        <v>768</v>
      </c>
    </row>
    <row r="234" spans="1:3" x14ac:dyDescent="0.25">
      <c r="A234" s="5" t="s">
        <v>514</v>
      </c>
      <c r="B234" s="6" t="s">
        <v>515</v>
      </c>
      <c r="C234" s="6">
        <v>772</v>
      </c>
    </row>
    <row r="235" spans="1:3" x14ac:dyDescent="0.25">
      <c r="A235" s="5" t="s">
        <v>157</v>
      </c>
      <c r="B235" s="6" t="s">
        <v>516</v>
      </c>
      <c r="C235" s="6">
        <v>776</v>
      </c>
    </row>
    <row r="236" spans="1:3" x14ac:dyDescent="0.25">
      <c r="A236" s="5" t="s">
        <v>158</v>
      </c>
      <c r="B236" s="6" t="s">
        <v>517</v>
      </c>
      <c r="C236" s="6">
        <v>780</v>
      </c>
    </row>
    <row r="237" spans="1:3" x14ac:dyDescent="0.25">
      <c r="A237" s="5" t="s">
        <v>159</v>
      </c>
      <c r="B237" s="6" t="s">
        <v>518</v>
      </c>
      <c r="C237" s="6">
        <v>788</v>
      </c>
    </row>
    <row r="238" spans="1:3" x14ac:dyDescent="0.25">
      <c r="A238" s="5" t="s">
        <v>160</v>
      </c>
      <c r="B238" s="6" t="s">
        <v>519</v>
      </c>
      <c r="C238" s="6">
        <v>792</v>
      </c>
    </row>
    <row r="239" spans="1:3" x14ac:dyDescent="0.25">
      <c r="A239" s="5" t="s">
        <v>520</v>
      </c>
      <c r="B239" s="6" t="s">
        <v>521</v>
      </c>
      <c r="C239" s="6">
        <v>795</v>
      </c>
    </row>
    <row r="240" spans="1:3" x14ac:dyDescent="0.25">
      <c r="A240" s="5" t="s">
        <v>522</v>
      </c>
      <c r="B240" s="6" t="s">
        <v>523</v>
      </c>
      <c r="C240" s="6">
        <v>796</v>
      </c>
    </row>
    <row r="241" spans="1:3" x14ac:dyDescent="0.25">
      <c r="A241" s="5" t="s">
        <v>524</v>
      </c>
      <c r="B241" s="6" t="s">
        <v>525</v>
      </c>
      <c r="C241" s="6">
        <v>798</v>
      </c>
    </row>
    <row r="242" spans="1:3" x14ac:dyDescent="0.25">
      <c r="A242" s="5" t="s">
        <v>161</v>
      </c>
      <c r="B242" s="6" t="s">
        <v>526</v>
      </c>
      <c r="C242" s="6">
        <v>800</v>
      </c>
    </row>
    <row r="243" spans="1:3" x14ac:dyDescent="0.25">
      <c r="A243" s="5" t="s">
        <v>162</v>
      </c>
      <c r="B243" s="6" t="s">
        <v>527</v>
      </c>
      <c r="C243" s="6">
        <v>804</v>
      </c>
    </row>
    <row r="244" spans="1:3" x14ac:dyDescent="0.25">
      <c r="A244" s="5" t="s">
        <v>163</v>
      </c>
      <c r="B244" s="6" t="s">
        <v>528</v>
      </c>
      <c r="C244" s="6">
        <v>784</v>
      </c>
    </row>
    <row r="245" spans="1:3" x14ac:dyDescent="0.25">
      <c r="A245" s="5" t="s">
        <v>164</v>
      </c>
      <c r="B245" s="6" t="s">
        <v>529</v>
      </c>
      <c r="C245" s="6">
        <v>826</v>
      </c>
    </row>
    <row r="246" spans="1:3" x14ac:dyDescent="0.25">
      <c r="A246" s="5" t="s">
        <v>530</v>
      </c>
      <c r="B246" s="6" t="s">
        <v>531</v>
      </c>
      <c r="C246" s="6">
        <v>840</v>
      </c>
    </row>
    <row r="247" spans="1:3" x14ac:dyDescent="0.25">
      <c r="A247" s="5" t="s">
        <v>532</v>
      </c>
      <c r="B247" s="6" t="s">
        <v>533</v>
      </c>
      <c r="C247" s="6">
        <v>898</v>
      </c>
    </row>
    <row r="248" spans="1:3" x14ac:dyDescent="0.25">
      <c r="A248" s="5" t="s">
        <v>165</v>
      </c>
      <c r="B248" s="6" t="s">
        <v>534</v>
      </c>
      <c r="C248" s="6">
        <v>858</v>
      </c>
    </row>
    <row r="249" spans="1:3" x14ac:dyDescent="0.25">
      <c r="A249" s="5" t="s">
        <v>535</v>
      </c>
      <c r="B249" s="6" t="s">
        <v>536</v>
      </c>
      <c r="C249" s="6">
        <v>849</v>
      </c>
    </row>
    <row r="250" spans="1:3" x14ac:dyDescent="0.25">
      <c r="A250" s="5" t="s">
        <v>166</v>
      </c>
      <c r="B250" s="6" t="s">
        <v>537</v>
      </c>
      <c r="C250" s="6">
        <v>860</v>
      </c>
    </row>
    <row r="251" spans="1:3" x14ac:dyDescent="0.25">
      <c r="A251" s="5" t="s">
        <v>538</v>
      </c>
      <c r="B251" s="6" t="s">
        <v>539</v>
      </c>
      <c r="C251" s="6">
        <v>548</v>
      </c>
    </row>
    <row r="252" spans="1:3" x14ac:dyDescent="0.25">
      <c r="A252" s="5" t="s">
        <v>540</v>
      </c>
      <c r="B252" s="6" t="s">
        <v>541</v>
      </c>
      <c r="C252" s="6">
        <v>862</v>
      </c>
    </row>
    <row r="253" spans="1:3" x14ac:dyDescent="0.25">
      <c r="A253" s="5" t="s">
        <v>168</v>
      </c>
      <c r="B253" s="6" t="s">
        <v>542</v>
      </c>
      <c r="C253" s="6">
        <v>704</v>
      </c>
    </row>
    <row r="254" spans="1:3" x14ac:dyDescent="0.25">
      <c r="A254" s="5" t="s">
        <v>543</v>
      </c>
      <c r="B254" s="6" t="s">
        <v>544</v>
      </c>
      <c r="C254" s="6">
        <v>850</v>
      </c>
    </row>
    <row r="255" spans="1:3" x14ac:dyDescent="0.25">
      <c r="A255" s="5" t="s">
        <v>545</v>
      </c>
      <c r="B255" s="6" t="s">
        <v>546</v>
      </c>
      <c r="C255" s="6">
        <v>872</v>
      </c>
    </row>
    <row r="256" spans="1:3" x14ac:dyDescent="0.25">
      <c r="A256" s="5" t="s">
        <v>547</v>
      </c>
      <c r="B256" s="6" t="s">
        <v>548</v>
      </c>
      <c r="C256" s="6">
        <v>876</v>
      </c>
    </row>
    <row r="257" spans="1:3" x14ac:dyDescent="0.25">
      <c r="A257" s="5" t="s">
        <v>549</v>
      </c>
      <c r="B257" s="6" t="s">
        <v>550</v>
      </c>
      <c r="C257" s="6">
        <v>732</v>
      </c>
    </row>
    <row r="258" spans="1:3" x14ac:dyDescent="0.25">
      <c r="A258" s="5" t="s">
        <v>551</v>
      </c>
      <c r="B258" s="6" t="s">
        <v>552</v>
      </c>
      <c r="C258" s="6">
        <v>0</v>
      </c>
    </row>
    <row r="259" spans="1:3" x14ac:dyDescent="0.25">
      <c r="A259" s="5" t="s">
        <v>553</v>
      </c>
      <c r="B259" s="6" t="s">
        <v>554</v>
      </c>
      <c r="C259" s="6">
        <v>720</v>
      </c>
    </row>
    <row r="260" spans="1:3" x14ac:dyDescent="0.25">
      <c r="A260" s="5" t="s">
        <v>555</v>
      </c>
      <c r="B260" s="6" t="s">
        <v>556</v>
      </c>
      <c r="C260" s="6">
        <v>887</v>
      </c>
    </row>
    <row r="261" spans="1:3" x14ac:dyDescent="0.25">
      <c r="A261" s="5" t="s">
        <v>557</v>
      </c>
      <c r="B261" s="6" t="s">
        <v>558</v>
      </c>
      <c r="C261" s="6">
        <v>891</v>
      </c>
    </row>
    <row r="262" spans="1:3" x14ac:dyDescent="0.25">
      <c r="A262" s="5" t="s">
        <v>559</v>
      </c>
      <c r="B262" s="6" t="s">
        <v>560</v>
      </c>
      <c r="C262" s="6">
        <v>890</v>
      </c>
    </row>
    <row r="263" spans="1:3" x14ac:dyDescent="0.25">
      <c r="A263" s="5" t="s">
        <v>169</v>
      </c>
      <c r="B263" s="6" t="s">
        <v>561</v>
      </c>
      <c r="C263" s="6">
        <v>894</v>
      </c>
    </row>
    <row r="264" spans="1:3" x14ac:dyDescent="0.25">
      <c r="A264" s="5" t="s">
        <v>170</v>
      </c>
      <c r="B264" s="6" t="s">
        <v>562</v>
      </c>
      <c r="C264" s="6">
        <v>716</v>
      </c>
    </row>
  </sheetData>
  <sortState xmlns:xlrd2="http://schemas.microsoft.com/office/spreadsheetml/2017/richdata2" ref="G2:H217">
    <sortCondition ref="G2:G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new_lics</vt:lpstr>
      <vt:lpstr>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Frederic Meunier</dc:creator>
  <cp:keywords/>
  <dc:description/>
  <cp:lastModifiedBy>Rita Ramalho</cp:lastModifiedBy>
  <cp:revision/>
  <dcterms:created xsi:type="dcterms:W3CDTF">2021-12-03T20:20:17Z</dcterms:created>
  <dcterms:modified xsi:type="dcterms:W3CDTF">2024-03-01T17:10:54Z</dcterms:modified>
  <cp:category/>
  <cp:contentStatus/>
</cp:coreProperties>
</file>